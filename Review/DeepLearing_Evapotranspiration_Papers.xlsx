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glio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Autore sconosciuto</author>
  </authors>
  <commentList>
    <comment ref="BI1" authorId="0">
      <text>
        <r>
          <rPr>
            <sz val="10"/>
            <rFont val="Arial"/>
            <family val="2"/>
          </rPr>
          <t xml:space="preserve">Lorenzo Cavallaro:
</t>
        </r>
        <r>
          <rPr>
            <sz val="9"/>
            <color rgb="FF000000"/>
            <rFont val="Tahoma"/>
            <family val="2"/>
            <charset val="1"/>
          </rPr>
          <t xml:space="preserve">Deep Neural Network</t>
        </r>
      </text>
    </comment>
    <comment ref="BJ1" authorId="0">
      <text>
        <r>
          <rPr>
            <sz val="10"/>
            <rFont val="Arial"/>
            <family val="2"/>
          </rPr>
          <t xml:space="preserve">Lorenzo Cavallaro:
</t>
        </r>
        <r>
          <rPr>
            <sz val="9"/>
            <color rgb="FF000000"/>
            <rFont val="Tahoma"/>
            <family val="0"/>
            <charset val="1"/>
          </rPr>
          <t xml:space="preserve">Multi Layer Perceptron</t>
        </r>
      </text>
    </comment>
    <comment ref="BL1" authorId="0">
      <text>
        <r>
          <rPr>
            <sz val="10"/>
            <rFont val="Arial"/>
            <family val="2"/>
          </rPr>
          <t xml:space="preserve">Lorenzo Cavallaro:
</t>
        </r>
        <r>
          <rPr>
            <sz val="9"/>
            <color rgb="FF000000"/>
            <rFont val="Tahoma"/>
            <family val="0"/>
            <charset val="1"/>
          </rPr>
          <t xml:space="preserve">Back Propagation NN</t>
        </r>
      </text>
    </comment>
    <comment ref="BM1" authorId="0">
      <text>
        <r>
          <rPr>
            <sz val="10"/>
            <rFont val="Arial"/>
            <family val="2"/>
          </rPr>
          <t xml:space="preserve">Lorenzo Cavallaro:
</t>
        </r>
        <r>
          <rPr>
            <sz val="9"/>
            <color rgb="FF000000"/>
            <rFont val="Tahoma"/>
            <family val="0"/>
            <charset val="1"/>
          </rPr>
          <t xml:space="preserve">Generalized Regression NN</t>
        </r>
      </text>
    </comment>
    <comment ref="BN1" authorId="0">
      <text>
        <r>
          <rPr>
            <sz val="10"/>
            <rFont val="Arial"/>
            <family val="2"/>
          </rPr>
          <t xml:space="preserve">Lorenzo Cavallaro:
</t>
        </r>
        <r>
          <rPr>
            <sz val="9"/>
            <color rgb="FF000000"/>
            <rFont val="Tahoma"/>
            <family val="0"/>
            <charset val="1"/>
          </rPr>
          <t xml:space="preserve">Deep Belief Network</t>
        </r>
      </text>
    </comment>
    <comment ref="BO18" authorId="0">
      <text>
        <r>
          <rPr>
            <sz val="10"/>
            <rFont val="Arial"/>
            <family val="2"/>
          </rPr>
          <t xml:space="preserve">Lorenzo Cavallaro:
</t>
        </r>
        <r>
          <rPr>
            <sz val="9"/>
            <color rgb="FF000000"/>
            <rFont val="Tahoma"/>
            <family val="0"/>
            <charset val="1"/>
          </rPr>
          <t xml:space="preserve">Hybrid DL</t>
        </r>
      </text>
    </comment>
    <comment ref="BO32" authorId="0">
      <text>
        <r>
          <rPr>
            <sz val="10"/>
            <rFont val="Arial"/>
            <family val="2"/>
          </rPr>
          <t xml:space="preserve">Lorenzo Cavallaro:
</t>
        </r>
        <r>
          <rPr>
            <sz val="9"/>
            <color rgb="FF000000"/>
            <rFont val="Tahoma"/>
            <family val="2"/>
            <charset val="1"/>
          </rPr>
          <t xml:space="preserve">Temporal Fusion Transformer,
Neural Basis Expansion Analysis for Interpretable Time Series Forecasting</t>
        </r>
      </text>
    </comment>
    <comment ref="BR1" authorId="0">
      <text>
        <r>
          <rPr>
            <sz val="10"/>
            <rFont val="Arial"/>
            <family val="2"/>
          </rPr>
          <t xml:space="preserve">Lorenzo Cavallaro:
</t>
        </r>
        <r>
          <rPr>
            <sz val="9"/>
            <color rgb="FF000000"/>
            <rFont val="Tahoma"/>
            <family val="2"/>
            <charset val="1"/>
          </rPr>
          <t xml:space="preserve">Long Short-Term Memory</t>
        </r>
      </text>
    </comment>
    <comment ref="BR13" authorId="0">
      <text>
        <r>
          <rPr>
            <sz val="10"/>
            <rFont val="Arial"/>
            <family val="2"/>
          </rPr>
          <t xml:space="preserve">Lorenzo Cavallaro:
</t>
        </r>
        <r>
          <rPr>
            <sz val="9"/>
            <color rgb="FF000000"/>
            <rFont val="Tahoma"/>
            <family val="2"/>
            <charset val="1"/>
          </rPr>
          <t xml:space="preserve">Transfer Learning based</t>
        </r>
      </text>
    </comment>
    <comment ref="BR22" authorId="0">
      <text>
        <r>
          <rPr>
            <sz val="10"/>
            <rFont val="Arial"/>
            <family val="2"/>
          </rPr>
          <t xml:space="preserve">Lorenzo Cavallaro:
</t>
        </r>
        <r>
          <rPr>
            <sz val="9"/>
            <color rgb="FF000000"/>
            <rFont val="Tahoma"/>
            <family val="0"/>
            <charset val="1"/>
          </rPr>
          <t xml:space="preserve">HS-LSTM</t>
        </r>
      </text>
    </comment>
    <comment ref="BR35" authorId="0">
      <text>
        <r>
          <rPr>
            <sz val="10"/>
            <rFont val="Arial"/>
            <family val="2"/>
          </rPr>
          <t xml:space="preserve">Lorenzo Cavallaro:
</t>
        </r>
        <r>
          <rPr>
            <sz val="9"/>
            <color rgb="FF000000"/>
            <rFont val="Tahoma"/>
            <family val="2"/>
            <charset val="1"/>
          </rPr>
          <t xml:space="preserve">Also D-LSTM</t>
        </r>
      </text>
    </comment>
    <comment ref="BS1" authorId="0">
      <text>
        <r>
          <rPr>
            <sz val="10"/>
            <rFont val="Arial"/>
            <family val="2"/>
          </rPr>
          <t xml:space="preserve">Lorenzo Cavallaro:
</t>
        </r>
        <r>
          <rPr>
            <sz val="9"/>
            <color rgb="FF000000"/>
            <rFont val="Tahoma"/>
            <family val="2"/>
            <charset val="1"/>
          </rPr>
          <t xml:space="preserve">Bidirectional Long Short-Term Memory</t>
        </r>
      </text>
    </comment>
    <comment ref="BT1" authorId="0">
      <text>
        <r>
          <rPr>
            <sz val="10"/>
            <rFont val="Arial"/>
            <family val="2"/>
          </rPr>
          <t xml:space="preserve">Lorenzo Cavallaro:
</t>
        </r>
        <r>
          <rPr>
            <sz val="9"/>
            <color rgb="FF000000"/>
            <rFont val="Tahoma"/>
            <family val="2"/>
            <charset val="1"/>
          </rPr>
          <t xml:space="preserve">Gated Recurrent Units </t>
        </r>
      </text>
    </comment>
    <comment ref="BV1" authorId="0">
      <text>
        <r>
          <rPr>
            <sz val="10"/>
            <rFont val="Arial"/>
            <family val="2"/>
          </rPr>
          <t xml:space="preserve">Lorenzo Cavallaro:
</t>
        </r>
        <r>
          <rPr>
            <sz val="9"/>
            <color rgb="FF000000"/>
            <rFont val="Tahoma"/>
            <family val="0"/>
            <charset val="1"/>
          </rPr>
          <t xml:space="preserve">Sequence-to-sequence Regression LSTM</t>
        </r>
      </text>
    </comment>
    <comment ref="BW1" authorId="0">
      <text>
        <r>
          <rPr>
            <sz val="10"/>
            <rFont val="Arial"/>
            <family val="2"/>
          </rPr>
          <t xml:space="preserve">Lorenzo Cavallaro:
</t>
        </r>
        <r>
          <rPr>
            <sz val="9"/>
            <color rgb="FF000000"/>
            <rFont val="Tahoma"/>
            <family val="2"/>
            <charset val="1"/>
          </rPr>
          <t xml:space="preserve">Convolutional Long Short-Term Memory</t>
        </r>
      </text>
    </comment>
    <comment ref="BW25" authorId="0">
      <text>
        <r>
          <rPr>
            <sz val="10"/>
            <rFont val="Arial"/>
            <family val="2"/>
          </rPr>
          <t xml:space="preserve">Lorenzo Cavallaro:
</t>
        </r>
        <r>
          <rPr>
            <sz val="9"/>
            <color rgb="FF000000"/>
            <rFont val="Tahoma"/>
            <family val="0"/>
            <charset val="1"/>
          </rPr>
          <t xml:space="preserve">Enhanced with SPPM (Spatial Pyramid Pooling Module) and MSAModule (Multi-head Self-Attentation Module)</t>
        </r>
      </text>
    </comment>
    <comment ref="BX1" authorId="0">
      <text>
        <r>
          <rPr>
            <sz val="10"/>
            <rFont val="Arial"/>
            <family val="2"/>
          </rPr>
          <t xml:space="preserve">Lorenzo Cavallaro:
</t>
        </r>
        <r>
          <rPr>
            <sz val="9"/>
            <color rgb="FF000000"/>
            <rFont val="Tahoma"/>
            <family val="2"/>
            <charset val="1"/>
          </rPr>
          <t xml:space="preserve">Nonlinear Autoregressive Network with Exogeneous Inputs</t>
        </r>
      </text>
    </comment>
    <comment ref="BY1" authorId="0">
      <text>
        <r>
          <rPr>
            <sz val="10"/>
            <rFont val="Arial"/>
            <family val="2"/>
          </rPr>
          <t xml:space="preserve">Lorenzo Cavallaro:
</t>
        </r>
        <r>
          <rPr>
            <sz val="9"/>
            <color rgb="FF000000"/>
            <rFont val="Tahoma"/>
            <family val="2"/>
            <charset val="1"/>
          </rPr>
          <t xml:space="preserve">Convolutional Neural Network</t>
        </r>
      </text>
    </comment>
    <comment ref="CE1" authorId="0">
      <text>
        <r>
          <rPr>
            <sz val="10"/>
            <rFont val="Arial"/>
            <family val="2"/>
          </rPr>
          <t xml:space="preserve">Lorenzo Cavallaro:
</t>
        </r>
        <r>
          <rPr>
            <sz val="9"/>
            <color rgb="FF000000"/>
            <rFont val="Tahoma"/>
            <family val="0"/>
            <charset val="1"/>
          </rPr>
          <t xml:space="preserve">Auto Encoders</t>
        </r>
      </text>
    </comment>
    <comment ref="CH1" authorId="0">
      <text>
        <r>
          <rPr>
            <sz val="10"/>
            <rFont val="Arial"/>
            <family val="2"/>
          </rPr>
          <t xml:space="preserve">Lorenzo Cavallaro:
</t>
        </r>
        <r>
          <rPr>
            <sz val="9"/>
            <color rgb="FF000000"/>
            <rFont val="Tahoma"/>
            <family val="0"/>
            <charset val="1"/>
          </rPr>
          <t xml:space="preserve">Firefly Algorithm Extreme Machine</t>
        </r>
      </text>
    </comment>
    <comment ref="CI1" authorId="0">
      <text>
        <r>
          <rPr>
            <sz val="10"/>
            <rFont val="Arial"/>
            <family val="2"/>
          </rPr>
          <t xml:space="preserve">Lorenzo Cavallaro:
</t>
        </r>
        <r>
          <rPr>
            <sz val="9"/>
            <color rgb="FF000000"/>
            <rFont val="Tahoma"/>
            <family val="0"/>
            <charset val="1"/>
          </rPr>
          <t xml:space="preserve">Adaptive Beuro-Fuzzy Inference Systm</t>
        </r>
      </text>
    </comment>
    <comment ref="CJ1" authorId="0">
      <text>
        <r>
          <rPr>
            <sz val="10"/>
            <rFont val="Arial"/>
            <family val="2"/>
          </rPr>
          <t xml:space="preserve">Lorenzo Cavallaro:
</t>
        </r>
        <r>
          <rPr>
            <sz val="9"/>
            <color rgb="FF000000"/>
            <rFont val="Tahoma"/>
            <family val="0"/>
            <charset val="1"/>
          </rPr>
          <t xml:space="preserve">Matrix Product State</t>
        </r>
      </text>
    </comment>
    <comment ref="CL1" authorId="0">
      <text>
        <r>
          <rPr>
            <sz val="10"/>
            <rFont val="Arial"/>
            <family val="2"/>
          </rPr>
          <t xml:space="preserve">Lorenzo Cavallaro:
</t>
        </r>
      </text>
    </comment>
    <comment ref="CN1" authorId="0">
      <text>
        <r>
          <rPr>
            <sz val="10"/>
            <rFont val="Arial"/>
            <family val="2"/>
          </rPr>
          <t xml:space="preserve">Lorenzo Cavallaro:
</t>
        </r>
        <r>
          <rPr>
            <sz val="9"/>
            <color rgb="FF000000"/>
            <rFont val="Tahoma"/>
            <family val="0"/>
            <charset val="1"/>
          </rPr>
          <t xml:space="preserve">Shallow Learning</t>
        </r>
      </text>
    </comment>
    <comment ref="CO1" authorId="0">
      <text>
        <r>
          <rPr>
            <sz val="10"/>
            <rFont val="Arial"/>
            <family val="2"/>
          </rPr>
          <t xml:space="preserve">Lorenzo Cavallaro:
</t>
        </r>
        <r>
          <rPr>
            <sz val="9"/>
            <color rgb="FF000000"/>
            <rFont val="Tahoma"/>
            <family val="0"/>
            <charset val="1"/>
          </rPr>
          <t xml:space="preserve">Probabilistic LR</t>
        </r>
      </text>
    </comment>
    <comment ref="CP1" authorId="0">
      <text>
        <r>
          <rPr>
            <sz val="10"/>
            <rFont val="Arial"/>
            <family val="2"/>
          </rPr>
          <t xml:space="preserve">Lorenzo Cavallaro:
</t>
        </r>
        <r>
          <rPr>
            <sz val="9"/>
            <color rgb="FF000000"/>
            <rFont val="Tahoma"/>
            <family val="0"/>
            <charset val="1"/>
          </rPr>
          <t xml:space="preserve">eXplainable Machine Learning</t>
        </r>
      </text>
    </comment>
    <comment ref="CQ1" authorId="0">
      <text>
        <r>
          <rPr>
            <sz val="10"/>
            <rFont val="Arial"/>
            <family val="2"/>
          </rPr>
          <t xml:space="preserve">Lorenzo Cavallaro:
</t>
        </r>
        <r>
          <rPr>
            <sz val="9"/>
            <color rgb="FF000000"/>
            <rFont val="Tahoma"/>
            <family val="0"/>
            <charset val="1"/>
          </rPr>
          <t xml:space="preserve">Multiple Nonlinear Regression</t>
        </r>
      </text>
    </comment>
    <comment ref="CR1" authorId="0">
      <text>
        <r>
          <rPr>
            <sz val="10"/>
            <rFont val="Arial"/>
            <family val="2"/>
          </rPr>
          <t xml:space="preserve">Lorenzo Cavallaro:
</t>
        </r>
        <r>
          <rPr>
            <sz val="9"/>
            <color rgb="FF000000"/>
            <rFont val="Tahoma"/>
            <family val="0"/>
            <charset val="1"/>
          </rPr>
          <t xml:space="preserve">CatBoost Regressor
</t>
        </r>
      </text>
    </comment>
    <comment ref="CS1" authorId="0">
      <text>
        <r>
          <rPr>
            <sz val="10"/>
            <rFont val="Arial"/>
            <family val="2"/>
          </rPr>
          <t xml:space="preserve">Lorenzo Cavallaro:
</t>
        </r>
        <r>
          <rPr>
            <sz val="9"/>
            <color rgb="FF000000"/>
            <rFont val="Tahoma"/>
            <family val="2"/>
            <charset val="1"/>
          </rPr>
          <t xml:space="preserve">Decision Tree</t>
        </r>
      </text>
    </comment>
    <comment ref="CU1" authorId="0">
      <text>
        <r>
          <rPr>
            <sz val="10"/>
            <rFont val="Arial"/>
            <family val="2"/>
          </rPr>
          <t xml:space="preserve">Lorenzo Cavallaro:
</t>
        </r>
        <r>
          <rPr>
            <sz val="9"/>
            <color rgb="FF000000"/>
            <rFont val="Tahoma"/>
            <family val="0"/>
            <charset val="1"/>
          </rPr>
          <t xml:space="preserve">Bagged Classification and Regression Trees</t>
        </r>
      </text>
    </comment>
    <comment ref="CW1" authorId="0">
      <text>
        <r>
          <rPr>
            <sz val="10"/>
            <rFont val="Arial"/>
            <family val="2"/>
          </rPr>
          <t xml:space="preserve">Lorenzo Cavallaro:
</t>
        </r>
        <r>
          <rPr>
            <sz val="9"/>
            <color rgb="FF000000"/>
            <rFont val="Tahoma"/>
            <family val="2"/>
            <charset val="1"/>
          </rPr>
          <t xml:space="preserve">Random Forest</t>
        </r>
      </text>
    </comment>
    <comment ref="CX1" authorId="0">
      <text>
        <r>
          <rPr>
            <sz val="10"/>
            <rFont val="Arial"/>
            <family val="2"/>
          </rPr>
          <t xml:space="preserve">Lorenzo Cavallaro:
</t>
        </r>
        <r>
          <rPr>
            <sz val="9"/>
            <color rgb="FF000000"/>
            <rFont val="Tahoma"/>
            <family val="0"/>
            <charset val="1"/>
          </rPr>
          <t xml:space="preserve">Distributed RF</t>
        </r>
      </text>
    </comment>
    <comment ref="CZ1" authorId="0">
      <text>
        <r>
          <rPr>
            <sz val="10"/>
            <rFont val="Arial"/>
            <family val="2"/>
          </rPr>
          <t xml:space="preserve">Lorenzo Cavallaro:
</t>
        </r>
        <r>
          <rPr>
            <sz val="9"/>
            <color rgb="FF000000"/>
            <rFont val="Tahoma"/>
            <family val="2"/>
            <charset val="1"/>
          </rPr>
          <t xml:space="preserve">Gradient Boostring Machine</t>
        </r>
      </text>
    </comment>
    <comment ref="DB1" authorId="0">
      <text>
        <r>
          <rPr>
            <sz val="10"/>
            <rFont val="Arial"/>
            <family val="2"/>
          </rPr>
          <t xml:space="preserve">Lorenzo Cavallaro:
</t>
        </r>
        <r>
          <rPr>
            <sz val="9"/>
            <color rgb="FF000000"/>
            <rFont val="Tahoma"/>
            <family val="0"/>
            <charset val="1"/>
          </rPr>
          <t xml:space="preserve">Deep forest</t>
        </r>
      </text>
    </comment>
    <comment ref="DD1" authorId="0">
      <text>
        <r>
          <rPr>
            <sz val="10"/>
            <rFont val="Arial"/>
            <family val="2"/>
          </rPr>
          <t xml:space="preserve">Lorenzo Cavallaro:
</t>
        </r>
        <r>
          <rPr>
            <sz val="9"/>
            <color rgb="FF000000"/>
            <rFont val="Tahoma"/>
            <family val="0"/>
            <charset val="1"/>
          </rPr>
          <t xml:space="preserve">Adaprive Boostingclassification Trees</t>
        </r>
      </text>
    </comment>
    <comment ref="DG1" authorId="0">
      <text>
        <r>
          <rPr>
            <sz val="10"/>
            <rFont val="Arial"/>
            <family val="2"/>
          </rPr>
          <t xml:space="preserve">Lorenzo Cavallaro:
</t>
        </r>
        <r>
          <rPr>
            <sz val="9"/>
            <color rgb="FF000000"/>
            <rFont val="Tahoma"/>
            <family val="0"/>
            <charset val="1"/>
          </rPr>
          <t xml:space="preserve">Semi-supervised Pseudo Labeling</t>
        </r>
      </text>
    </comment>
    <comment ref="DH1" authorId="0">
      <text>
        <r>
          <rPr>
            <sz val="10"/>
            <rFont val="Arial"/>
            <family val="2"/>
          </rPr>
          <t xml:space="preserve">Lorenzo Cavallaro:
</t>
        </r>
        <r>
          <rPr>
            <sz val="9"/>
            <color rgb="FF000000"/>
            <rFont val="Tahoma"/>
            <family val="2"/>
            <charset val="1"/>
          </rPr>
          <t xml:space="preserve">Generalized Linear Model</t>
        </r>
      </text>
    </comment>
    <comment ref="DI1" authorId="0">
      <text>
        <r>
          <rPr>
            <sz val="10"/>
            <rFont val="Arial"/>
            <family val="2"/>
          </rPr>
          <t xml:space="preserve">Lorenzo Cavallaro:
</t>
        </r>
        <r>
          <rPr>
            <sz val="9"/>
            <color rgb="FF000000"/>
            <rFont val="Tahoma"/>
            <family val="0"/>
            <charset val="1"/>
          </rPr>
          <t xml:space="preserve">Gaussian Process Regression</t>
        </r>
      </text>
    </comment>
    <comment ref="DK1" authorId="0">
      <text>
        <r>
          <rPr>
            <sz val="10"/>
            <rFont val="Arial"/>
            <family val="2"/>
          </rPr>
          <t xml:space="preserve">Lorenzo Cavallaro:
</t>
        </r>
        <r>
          <rPr>
            <sz val="9"/>
            <color rgb="FF000000"/>
            <rFont val="Tahoma"/>
            <family val="0"/>
            <charset val="1"/>
          </rPr>
          <t xml:space="preserve">Generalized Linear Model</t>
        </r>
      </text>
    </comment>
    <comment ref="DL1" authorId="0">
      <text>
        <r>
          <rPr>
            <sz val="10"/>
            <rFont val="Arial"/>
            <family val="2"/>
          </rPr>
          <t xml:space="preserve">Lorenzo Cavallaro:
</t>
        </r>
        <r>
          <rPr>
            <sz val="9"/>
            <color rgb="FF000000"/>
            <rFont val="Tahoma"/>
            <family val="0"/>
            <charset val="1"/>
          </rPr>
          <t xml:space="preserve">Multivariate Empirical Mode Decomposition</t>
        </r>
      </text>
    </comment>
    <comment ref="DP1" authorId="0">
      <text>
        <r>
          <rPr>
            <sz val="10"/>
            <rFont val="Arial"/>
            <family val="2"/>
          </rPr>
          <t xml:space="preserve">Lorenzo Cavallaro:
</t>
        </r>
        <r>
          <rPr>
            <sz val="9"/>
            <color rgb="FF000000"/>
            <rFont val="Tahoma"/>
            <family val="0"/>
            <charset val="1"/>
          </rPr>
          <t xml:space="preserve">Bayesian Model Averaging</t>
        </r>
      </text>
    </comment>
    <comment ref="DQ1" authorId="0">
      <text>
        <r>
          <rPr>
            <sz val="10"/>
            <rFont val="Arial"/>
            <family val="2"/>
          </rPr>
          <t xml:space="preserve">Lorenzo Cavallaro:
</t>
        </r>
        <r>
          <rPr>
            <sz val="9"/>
            <color rgb="FF000000"/>
            <rFont val="Tahoma"/>
            <family val="0"/>
            <charset val="1"/>
          </rPr>
          <t xml:space="preserve">Priestley-Taylor Jet Propulsion Laboratory</t>
        </r>
      </text>
    </comment>
    <comment ref="DR1" authorId="0">
      <text>
        <r>
          <rPr>
            <sz val="10"/>
            <rFont val="Arial"/>
            <family val="2"/>
          </rPr>
          <t xml:space="preserve">Lorenzo Cavallaro:
</t>
        </r>
        <r>
          <rPr>
            <sz val="9"/>
            <color rgb="FF000000"/>
            <rFont val="Tahoma"/>
            <family val="0"/>
            <charset val="1"/>
          </rPr>
          <t xml:space="preserve">Symbolic Regression</t>
        </r>
      </text>
    </comment>
    <comment ref="DS1" authorId="0">
      <text>
        <r>
          <rPr>
            <sz val="10"/>
            <rFont val="Arial"/>
            <family val="2"/>
          </rPr>
          <t xml:space="preserve">Lorenzo Cavallaro:
</t>
        </r>
        <r>
          <rPr>
            <sz val="9"/>
            <color rgb="FF000000"/>
            <rFont val="Tahoma"/>
            <family val="0"/>
            <charset val="1"/>
          </rPr>
          <t xml:space="preserve">Evolutionary Regression</t>
        </r>
      </text>
    </comment>
    <comment ref="DU1" authorId="0">
      <text>
        <r>
          <rPr>
            <sz val="10"/>
            <rFont val="Arial"/>
            <family val="2"/>
          </rPr>
          <t xml:space="preserve">Lorenzo Cavallaro:
</t>
        </r>
        <r>
          <rPr>
            <sz val="9"/>
            <color rgb="FF000000"/>
            <rFont val="Tahoma"/>
            <family val="2"/>
            <charset val="1"/>
          </rPr>
          <t xml:space="preserve">Support Vector Regression</t>
        </r>
      </text>
    </comment>
    <comment ref="DV1" authorId="0">
      <text>
        <r>
          <rPr>
            <sz val="10"/>
            <rFont val="Arial"/>
            <family val="2"/>
          </rPr>
          <t xml:space="preserve">Lorenzo Cavallaro:
</t>
        </r>
        <r>
          <rPr>
            <sz val="9"/>
            <color rgb="FF000000"/>
            <rFont val="Tahoma"/>
            <family val="0"/>
            <charset val="1"/>
          </rPr>
          <t xml:space="preserve">Reinforcement Learnng</t>
        </r>
      </text>
    </comment>
    <comment ref="DW1" authorId="0">
      <text>
        <r>
          <rPr>
            <sz val="10"/>
            <rFont val="Arial"/>
            <family val="2"/>
          </rPr>
          <t xml:space="preserve">Lorenzo Cavallaro:
</t>
        </r>
        <r>
          <rPr>
            <sz val="9"/>
            <color rgb="FF000000"/>
            <rFont val="Tahoma"/>
            <family val="2"/>
            <charset val="1"/>
          </rPr>
          <t xml:space="preserve">Deep Reinforcement Learning</t>
        </r>
      </text>
    </comment>
    <comment ref="DX1" authorId="0">
      <text>
        <r>
          <rPr>
            <sz val="10"/>
            <rFont val="Arial"/>
            <family val="2"/>
          </rPr>
          <t xml:space="preserve">Lorenzo Cavallaro:
</t>
        </r>
        <r>
          <rPr>
            <sz val="9"/>
            <color rgb="FF000000"/>
            <rFont val="Tahoma"/>
            <family val="0"/>
            <charset val="1"/>
          </rPr>
          <t xml:space="preserve">Multi task learning</t>
        </r>
      </text>
    </comment>
    <comment ref="EA1" authorId="0">
      <text>
        <r>
          <rPr>
            <sz val="10"/>
            <rFont val="Arial"/>
            <family val="2"/>
          </rPr>
          <t xml:space="preserve">Lorenzo Cavallaro:
</t>
        </r>
        <r>
          <rPr>
            <sz val="9"/>
            <color rgb="FF000000"/>
            <rFont val="Tahoma"/>
            <family val="2"/>
            <charset val="1"/>
          </rPr>
          <t xml:space="preserve">Root Mean Square Error</t>
        </r>
      </text>
    </comment>
    <comment ref="EA3" authorId="0">
      <text>
        <r>
          <rPr>
            <sz val="10"/>
            <rFont val="Arial"/>
            <family val="2"/>
          </rPr>
          <t xml:space="preserve">Lorenzo Cavallaro:
</t>
        </r>
        <r>
          <rPr>
            <sz val="9"/>
            <color rgb="FF000000"/>
            <rFont val="Tahoma"/>
            <family val="2"/>
            <charset val="1"/>
          </rPr>
          <t xml:space="preserve">NRMSE</t>
        </r>
      </text>
    </comment>
    <comment ref="EA8" authorId="0">
      <text>
        <r>
          <rPr>
            <sz val="10"/>
            <rFont val="Arial"/>
            <family val="2"/>
          </rPr>
          <t xml:space="preserve">Lorenzo Cavallaro:
</t>
        </r>
        <r>
          <rPr>
            <sz val="9"/>
            <color rgb="FF000000"/>
            <rFont val="Tahoma"/>
            <family val="2"/>
            <charset val="1"/>
          </rPr>
          <t xml:space="preserve">Normalized RMSE (NRMSE)</t>
        </r>
      </text>
    </comment>
    <comment ref="EA12" authorId="0">
      <text>
        <r>
          <rPr>
            <sz val="10"/>
            <rFont val="Arial"/>
            <family val="2"/>
          </rPr>
          <t xml:space="preserve">Lorenzo Cavallaro:
</t>
        </r>
        <r>
          <rPr>
            <sz val="9"/>
            <color rgb="FF000000"/>
            <rFont val="Tahoma"/>
            <family val="2"/>
            <charset val="1"/>
          </rPr>
          <t xml:space="preserve">RMSEV</t>
        </r>
      </text>
    </comment>
    <comment ref="EA14" authorId="0">
      <text>
        <r>
          <rPr>
            <sz val="10"/>
            <rFont val="Arial"/>
            <family val="2"/>
          </rPr>
          <t xml:space="preserve">Lorenzo Cavallaro:
</t>
        </r>
        <r>
          <rPr>
            <sz val="9"/>
            <color rgb="FF000000"/>
            <rFont val="Tahoma"/>
            <family val="2"/>
            <charset val="1"/>
          </rPr>
          <t xml:space="preserve">Both RMSE and Relative RMSE</t>
        </r>
      </text>
    </comment>
    <comment ref="EA16" authorId="0">
      <text>
        <r>
          <rPr>
            <sz val="10"/>
            <rFont val="Arial"/>
            <family val="2"/>
          </rPr>
          <t xml:space="preserve">Lorenzo Cavallaro:
</t>
        </r>
        <r>
          <rPr>
            <sz val="9"/>
            <color rgb="FF000000"/>
            <rFont val="Tahoma"/>
            <family val="0"/>
            <charset val="1"/>
          </rPr>
          <t xml:space="preserve">Personalized version</t>
        </r>
      </text>
    </comment>
    <comment ref="EA61" authorId="0">
      <text>
        <r>
          <rPr>
            <sz val="10"/>
            <rFont val="Arial"/>
            <family val="2"/>
          </rPr>
          <t xml:space="preserve">Lorenzo Cavallaro:
</t>
        </r>
        <r>
          <rPr>
            <sz val="9"/>
            <color rgb="FF000000"/>
            <rFont val="Tahoma"/>
            <family val="0"/>
            <charset val="1"/>
          </rPr>
          <t xml:space="preserve">also NRMSE</t>
        </r>
      </text>
    </comment>
    <comment ref="EA66" authorId="0">
      <text>
        <r>
          <rPr>
            <sz val="10"/>
            <rFont val="Arial"/>
            <family val="2"/>
          </rPr>
          <t xml:space="preserve">Lorenzo Cavallaro:
</t>
        </r>
        <r>
          <rPr>
            <sz val="9"/>
            <color rgb="FF000000"/>
            <rFont val="Tahoma"/>
            <family val="0"/>
            <charset val="1"/>
          </rPr>
          <t xml:space="preserve">also NRMSE</t>
        </r>
      </text>
    </comment>
    <comment ref="EB1" authorId="0">
      <text>
        <r>
          <rPr>
            <sz val="10"/>
            <rFont val="Arial"/>
            <family val="2"/>
          </rPr>
          <t xml:space="preserve">Lorenzo Cavallaro:
</t>
        </r>
        <r>
          <rPr>
            <sz val="9"/>
            <color rgb="FF000000"/>
            <rFont val="Tahoma"/>
            <family val="2"/>
            <charset val="1"/>
          </rPr>
          <t xml:space="preserve">Mean Square Error</t>
        </r>
      </text>
    </comment>
    <comment ref="EC1" authorId="0">
      <text>
        <r>
          <rPr>
            <sz val="10"/>
            <rFont val="Arial"/>
            <family val="2"/>
          </rPr>
          <t xml:space="preserve">Lorenzo Cavallaro:
</t>
        </r>
        <r>
          <rPr>
            <sz val="9"/>
            <color rgb="FF000000"/>
            <rFont val="Tahoma"/>
            <family val="0"/>
            <charset val="1"/>
          </rPr>
          <t xml:space="preserve">Root Mean Square Deviation of atomic position</t>
        </r>
      </text>
    </comment>
    <comment ref="EF1" authorId="0">
      <text>
        <r>
          <rPr>
            <sz val="10"/>
            <rFont val="Arial"/>
            <family val="2"/>
          </rPr>
          <t xml:space="preserve">Lorenzo Cavallaro:
</t>
        </r>
        <r>
          <rPr>
            <sz val="9"/>
            <color rgb="FF000000"/>
            <rFont val="Tahoma"/>
            <family val="0"/>
            <charset val="1"/>
          </rPr>
          <t xml:space="preserve">Standard deviation reduction</t>
        </r>
      </text>
    </comment>
    <comment ref="EG1" authorId="0">
      <text>
        <r>
          <rPr>
            <sz val="10"/>
            <rFont val="Arial"/>
            <family val="2"/>
          </rPr>
          <t xml:space="preserve">Lorenzo Cavallaro:
</t>
        </r>
        <r>
          <rPr>
            <sz val="9"/>
            <color rgb="FF000000"/>
            <rFont val="Tahoma"/>
            <family val="2"/>
            <charset val="1"/>
          </rPr>
          <t xml:space="preserve">Weighted Standard Error of Estimate</t>
        </r>
      </text>
    </comment>
    <comment ref="EH1" authorId="0">
      <text>
        <r>
          <rPr>
            <sz val="10"/>
            <rFont val="Arial"/>
            <family val="2"/>
          </rPr>
          <t xml:space="preserve">Lorenzo Cavallaro:
</t>
        </r>
        <r>
          <rPr>
            <sz val="9"/>
            <color rgb="FF000000"/>
            <rFont val="Tahoma"/>
            <family val="2"/>
            <charset val="1"/>
          </rPr>
          <t xml:space="preserve">Legate McCabe's index</t>
        </r>
      </text>
    </comment>
    <comment ref="EI1" authorId="0">
      <text>
        <r>
          <rPr>
            <sz val="10"/>
            <rFont val="Arial"/>
            <family val="2"/>
          </rPr>
          <t xml:space="preserve">Lorenzo Cavallaro:
</t>
        </r>
        <r>
          <rPr>
            <sz val="9"/>
            <color rgb="FF000000"/>
            <rFont val="Tahoma"/>
            <family val="2"/>
            <charset val="1"/>
          </rPr>
          <t xml:space="preserve">Mean Absolute Error</t>
        </r>
      </text>
    </comment>
    <comment ref="EJ1" authorId="0">
      <text>
        <r>
          <rPr>
            <sz val="10"/>
            <rFont val="Arial"/>
            <family val="2"/>
          </rPr>
          <t xml:space="preserve">Lorenzo Cavallaro:
</t>
        </r>
        <r>
          <rPr>
            <sz val="9"/>
            <color rgb="FF000000"/>
            <rFont val="Tahoma"/>
            <family val="2"/>
            <charset val="1"/>
          </rPr>
          <t xml:space="preserve">Weighted Absolute Percentage of Error</t>
        </r>
      </text>
    </comment>
    <comment ref="EK1" authorId="0">
      <text>
        <r>
          <rPr>
            <sz val="10"/>
            <rFont val="Arial"/>
            <family val="2"/>
          </rPr>
          <t xml:space="preserve">Lorenzo Cavallaro:
</t>
        </r>
        <r>
          <rPr>
            <sz val="9"/>
            <color rgb="FF000000"/>
            <rFont val="Tahoma"/>
            <family val="0"/>
            <charset val="1"/>
          </rPr>
          <t xml:space="preserve">Median Absolute Deviation</t>
        </r>
      </text>
    </comment>
    <comment ref="EL1" authorId="0">
      <text>
        <r>
          <rPr>
            <sz val="10"/>
            <rFont val="Arial"/>
            <family val="2"/>
          </rPr>
          <t xml:space="preserve">Lorenzo Cavallaro:
</t>
        </r>
        <r>
          <rPr>
            <sz val="9"/>
            <color rgb="FF000000"/>
            <rFont val="Tahoma"/>
            <family val="0"/>
            <charset val="1"/>
          </rPr>
          <t xml:space="preserve">Mean Deviation Error</t>
        </r>
      </text>
    </comment>
    <comment ref="EM1" authorId="0">
      <text>
        <r>
          <rPr>
            <sz val="10"/>
            <rFont val="Arial"/>
            <family val="2"/>
          </rPr>
          <t xml:space="preserve">Lorenzo Cavallaro:
</t>
        </r>
        <r>
          <rPr>
            <sz val="9"/>
            <color rgb="FF000000"/>
            <rFont val="Tahoma"/>
            <family val="2"/>
            <charset val="1"/>
          </rPr>
          <t xml:space="preserve">Average Absolute Relative Error</t>
        </r>
      </text>
    </comment>
    <comment ref="EN1" authorId="0">
      <text>
        <r>
          <rPr>
            <sz val="10"/>
            <rFont val="Arial"/>
            <family val="2"/>
          </rPr>
          <t xml:space="preserve">Lorenzo Cavallaro:
</t>
        </r>
        <r>
          <rPr>
            <sz val="9"/>
            <color rgb="FF000000"/>
            <rFont val="Tahoma"/>
            <family val="0"/>
            <charset val="1"/>
          </rPr>
          <t xml:space="preserve">Mean Absolute Percentage Error</t>
        </r>
      </text>
    </comment>
    <comment ref="EO1" authorId="0">
      <text>
        <r>
          <rPr>
            <sz val="10"/>
            <rFont val="Arial"/>
            <family val="2"/>
          </rPr>
          <t xml:space="preserve">Lorenzo Cavallaro:
</t>
        </r>
        <r>
          <rPr>
            <sz val="9"/>
            <color rgb="FF000000"/>
            <rFont val="Tahoma"/>
            <family val="0"/>
            <charset val="1"/>
          </rPr>
          <t xml:space="preserve">Median Absolute Percentage Error</t>
        </r>
      </text>
    </comment>
    <comment ref="EP1" authorId="0">
      <text>
        <r>
          <rPr>
            <sz val="10"/>
            <rFont val="Arial"/>
            <family val="2"/>
          </rPr>
          <t xml:space="preserve">Lorenzo Cavallaro:
</t>
        </r>
        <r>
          <rPr>
            <sz val="9"/>
            <color rgb="FF000000"/>
            <rFont val="Tahoma"/>
            <family val="2"/>
            <charset val="1"/>
          </rPr>
          <t xml:space="preserve">Bayesian Model Evidence</t>
        </r>
      </text>
    </comment>
    <comment ref="EQ1" authorId="0">
      <text>
        <r>
          <rPr>
            <sz val="10"/>
            <rFont val="Arial"/>
            <family val="2"/>
          </rPr>
          <t xml:space="preserve">Lorenzo Cavallaro:
</t>
        </r>
      </text>
    </comment>
    <comment ref="EQ71" authorId="0">
      <text>
        <r>
          <rPr>
            <sz val="10"/>
            <rFont val="Arial"/>
            <family val="2"/>
          </rPr>
          <t xml:space="preserve">Lorenzo Cavallaro:
</t>
        </r>
        <r>
          <rPr>
            <sz val="9"/>
            <color rgb="FF000000"/>
            <rFont val="Tahoma"/>
            <family val="0"/>
            <charset val="1"/>
          </rPr>
          <t xml:space="preserve">In percentage</t>
        </r>
      </text>
    </comment>
    <comment ref="ER61" authorId="0">
      <text>
        <r>
          <rPr>
            <sz val="10"/>
            <rFont val="Arial"/>
            <family val="2"/>
          </rPr>
          <t xml:space="preserve">Lorenzo Cavallaro:
</t>
        </r>
        <r>
          <rPr>
            <sz val="9"/>
            <color rgb="FF000000"/>
            <rFont val="Tahoma"/>
            <family val="0"/>
            <charset val="1"/>
          </rPr>
          <t xml:space="preserve">also NMAE</t>
        </r>
      </text>
    </comment>
    <comment ref="ES1" authorId="0">
      <text>
        <r>
          <rPr>
            <sz val="10"/>
            <rFont val="Arial"/>
            <family val="2"/>
          </rPr>
          <t xml:space="preserve">Lorenzo Cavallaro:
</t>
        </r>
        <r>
          <rPr>
            <sz val="9"/>
            <color rgb="FF000000"/>
            <rFont val="Tahoma"/>
            <family val="0"/>
            <charset val="1"/>
          </rPr>
          <t xml:space="preserve">Relative Bias</t>
        </r>
      </text>
    </comment>
    <comment ref="EU1" authorId="0">
      <text>
        <r>
          <rPr>
            <sz val="10"/>
            <rFont val="Arial"/>
            <family val="2"/>
          </rPr>
          <t xml:space="preserve">Lorenzo Cavallaro:
</t>
        </r>
        <r>
          <rPr>
            <sz val="9"/>
            <color rgb="FF000000"/>
            <rFont val="Tahoma"/>
            <family val="0"/>
            <charset val="1"/>
          </rPr>
          <t xml:space="preserve">Normalized RMSE</t>
        </r>
      </text>
    </comment>
    <comment ref="EV1" authorId="0">
      <text>
        <r>
          <rPr>
            <sz val="10"/>
            <rFont val="Arial"/>
            <family val="2"/>
          </rPr>
          <t xml:space="preserve">Lorenzo Cavallaro:
</t>
        </r>
        <r>
          <rPr>
            <sz val="9"/>
            <color rgb="FF000000"/>
            <rFont val="Tahoma"/>
            <family val="2"/>
            <charset val="1"/>
          </rPr>
          <t xml:space="preserve">Root Relative Squared Error</t>
        </r>
      </text>
    </comment>
    <comment ref="EW1" authorId="0">
      <text>
        <r>
          <rPr>
            <sz val="10"/>
            <rFont val="Arial"/>
            <family val="2"/>
          </rPr>
          <t xml:space="preserve">Lorenzo Cavallaro:
</t>
        </r>
        <r>
          <rPr>
            <sz val="9"/>
            <color rgb="FF000000"/>
            <rFont val="Tahoma"/>
            <family val="2"/>
            <charset val="1"/>
          </rPr>
          <t xml:space="preserve">Relative Absolute Error</t>
        </r>
      </text>
    </comment>
    <comment ref="EY1" authorId="0">
      <text>
        <r>
          <rPr>
            <sz val="10"/>
            <rFont val="Arial"/>
            <family val="2"/>
          </rPr>
          <t xml:space="preserve">Lorenzo Cavallaro:
</t>
        </r>
        <r>
          <rPr>
            <sz val="9"/>
            <color rgb="FF000000"/>
            <rFont val="Tahoma"/>
            <family val="2"/>
            <charset val="1"/>
          </rPr>
          <t xml:space="preserve">R-Square</t>
        </r>
      </text>
    </comment>
    <comment ref="EZ1" authorId="0">
      <text>
        <r>
          <rPr>
            <sz val="10"/>
            <rFont val="Arial"/>
            <family val="2"/>
          </rPr>
          <t xml:space="preserve">Lorenzo Cavallaro:
</t>
        </r>
        <r>
          <rPr>
            <sz val="9"/>
            <color rgb="FF000000"/>
            <rFont val="Tahoma"/>
            <family val="0"/>
            <charset val="1"/>
          </rPr>
          <t xml:space="preserve">Variance Accounted for</t>
        </r>
      </text>
    </comment>
    <comment ref="FB1" authorId="0">
      <text>
        <r>
          <rPr>
            <sz val="10"/>
            <rFont val="Arial"/>
            <family val="2"/>
          </rPr>
          <t xml:space="preserve">Lorenzo Cavallaro:
</t>
        </r>
        <r>
          <rPr>
            <sz val="9"/>
            <color rgb="FF000000"/>
            <rFont val="Tahoma"/>
            <family val="0"/>
            <charset val="1"/>
          </rPr>
          <t xml:space="preserve">Kling-Gupta Efficency</t>
        </r>
      </text>
    </comment>
    <comment ref="FC1" authorId="0">
      <text>
        <r>
          <rPr>
            <sz val="10"/>
            <rFont val="Arial"/>
            <family val="2"/>
          </rPr>
          <t xml:space="preserve">Lorenzo Cavallaro:
</t>
        </r>
        <r>
          <rPr>
            <sz val="9"/>
            <color rgb="FF000000"/>
            <rFont val="Tahoma"/>
            <family val="2"/>
            <charset val="1"/>
          </rPr>
          <t xml:space="preserve">Nash-Sutcliffe efficiencies</t>
        </r>
      </text>
    </comment>
    <comment ref="FE1" authorId="0">
      <text>
        <r>
          <rPr>
            <sz val="10"/>
            <rFont val="Arial"/>
            <family val="2"/>
          </rPr>
          <t xml:space="preserve">Lorenzo Cavallaro:
</t>
        </r>
        <r>
          <rPr>
            <sz val="9"/>
            <color rgb="FF000000"/>
            <rFont val="Tahoma"/>
            <family val="0"/>
            <charset val="1"/>
          </rPr>
          <t xml:space="preserve">Index of agreement</t>
        </r>
      </text>
    </comment>
    <comment ref="FI1" authorId="0">
      <text>
        <r>
          <rPr>
            <sz val="10"/>
            <rFont val="Arial"/>
            <family val="2"/>
          </rPr>
          <t xml:space="preserve">Lorenzo Cavallaro:
</t>
        </r>
        <r>
          <rPr>
            <sz val="9"/>
            <color rgb="FF000000"/>
            <rFont val="Tahoma"/>
            <family val="0"/>
            <charset val="1"/>
          </rPr>
          <t xml:space="preserve">Area Under the ROC Curve</t>
        </r>
      </text>
    </comment>
    <comment ref="FJ1" authorId="0">
      <text>
        <r>
          <rPr>
            <sz val="10"/>
            <rFont val="Arial"/>
            <family val="2"/>
          </rPr>
          <t xml:space="preserve">Lorenzo Cavallaro:
</t>
        </r>
        <r>
          <rPr>
            <sz val="9"/>
            <color rgb="FF000000"/>
            <rFont val="Tahoma"/>
            <family val="0"/>
            <charset val="1"/>
          </rPr>
          <t xml:space="preserve">Intersection Over Union</t>
        </r>
      </text>
    </comment>
    <comment ref="FK1" authorId="0">
      <text>
        <r>
          <rPr>
            <sz val="10"/>
            <rFont val="Arial"/>
            <family val="2"/>
          </rPr>
          <t xml:space="preserve">Lorenzo Cavallaro:
</t>
        </r>
        <r>
          <rPr>
            <sz val="9"/>
            <color rgb="FF000000"/>
            <rFont val="Tahoma"/>
            <family val="2"/>
            <charset val="1"/>
          </rPr>
          <t xml:space="preserve">Moderate Resolution Imaging Spectmradiometer</t>
        </r>
      </text>
    </comment>
    <comment ref="FN1" authorId="0">
      <text>
        <r>
          <rPr>
            <sz val="10"/>
            <rFont val="Arial"/>
            <family val="2"/>
          </rPr>
          <t xml:space="preserve">Lorenzo Cavallaro:
</t>
        </r>
        <r>
          <rPr>
            <sz val="9"/>
            <color rgb="FF000000"/>
            <rFont val="Tahoma"/>
            <family val="0"/>
            <charset val="1"/>
          </rPr>
          <t xml:space="preserve">Advanced Very High Resolution Rediometer</t>
        </r>
      </text>
    </comment>
    <comment ref="FO1" authorId="0">
      <text>
        <r>
          <rPr>
            <sz val="10"/>
            <rFont val="Arial"/>
            <family val="2"/>
          </rPr>
          <t xml:space="preserve">Lorenzo Cavallaro:
</t>
        </r>
        <r>
          <rPr>
            <sz val="9"/>
            <color rgb="FF000000"/>
            <rFont val="Tahoma"/>
            <family val="0"/>
            <charset val="1"/>
          </rPr>
          <t xml:space="preserve">NOAA Climate Data Record (CDR) of AVHRR Normalized Difference Vegetation Index NOAA Climate Data Record (CDR) of AVHRR Normalized Difference Vegetation Index (NDVI)</t>
        </r>
      </text>
    </comment>
    <comment ref="FQ1" authorId="0">
      <text>
        <r>
          <rPr>
            <sz val="10"/>
            <rFont val="Arial"/>
            <family val="2"/>
          </rPr>
          <t xml:space="preserve">Lorenzo Cavallaro:
</t>
        </r>
        <r>
          <rPr>
            <sz val="9"/>
            <color rgb="FF000000"/>
            <rFont val="Tahoma"/>
            <family val="0"/>
            <charset val="1"/>
          </rPr>
          <t xml:space="preserve">Soil Moisture and Ocean Salinity</t>
        </r>
      </text>
    </comment>
    <comment ref="FY1" authorId="0">
      <text>
        <r>
          <rPr>
            <sz val="10"/>
            <rFont val="Arial"/>
            <family val="2"/>
          </rPr>
          <t xml:space="preserve">Lorenzo Cavallaro:
</t>
        </r>
        <r>
          <rPr>
            <sz val="9"/>
            <color rgb="FF000000"/>
            <rFont val="Tahoma"/>
            <family val="0"/>
            <charset val="1"/>
          </rPr>
          <t xml:space="preserve">Global Land Surface Satellite</t>
        </r>
      </text>
    </comment>
    <comment ref="GE1" authorId="0">
      <text>
        <r>
          <rPr>
            <sz val="10"/>
            <rFont val="Arial"/>
            <family val="2"/>
          </rPr>
          <t xml:space="preserve">Lorenzo Cavallaro:
</t>
        </r>
        <r>
          <rPr>
            <sz val="9"/>
            <color rgb="FF000000"/>
            <rFont val="Tahoma"/>
            <family val="0"/>
            <charset val="1"/>
          </rPr>
          <t xml:space="preserve">North American Land Data Assimilation System</t>
        </r>
      </text>
    </comment>
    <comment ref="GF1" authorId="0">
      <text>
        <r>
          <rPr>
            <sz val="10"/>
            <rFont val="Arial"/>
            <family val="2"/>
          </rPr>
          <t xml:space="preserve">Lorenzo Cavallaro:
</t>
        </r>
        <r>
          <rPr>
            <sz val="9"/>
            <color rgb="FF000000"/>
            <rFont val="Tahoma"/>
            <family val="0"/>
            <charset val="1"/>
          </rPr>
          <t xml:space="preserve">Global Land Data Assimilation System</t>
        </r>
      </text>
    </comment>
    <comment ref="GF77" authorId="0">
      <text>
        <r>
          <rPr>
            <sz val="10"/>
            <rFont val="Arial"/>
            <family val="2"/>
          </rPr>
          <t xml:space="preserve">Lorenzo Cavallaro:
</t>
        </r>
        <r>
          <rPr>
            <sz val="9"/>
            <color rgb="FF000000"/>
            <rFont val="Tahoma"/>
            <family val="0"/>
            <charset val="1"/>
          </rPr>
          <t xml:space="preserve">NOAH</t>
        </r>
      </text>
    </comment>
    <comment ref="GS1" authorId="0">
      <text>
        <r>
          <rPr>
            <sz val="10"/>
            <rFont val="Arial"/>
            <family val="2"/>
          </rPr>
          <t xml:space="preserve">Lorenzo Cavallaro:
</t>
        </r>
        <r>
          <rPr>
            <sz val="9"/>
            <color rgb="FF000000"/>
            <rFont val="Tahoma"/>
            <family val="0"/>
            <charset val="1"/>
          </rPr>
          <t xml:space="preserve">National Science &amp; Technology Infrastructure</t>
        </r>
      </text>
    </comment>
    <comment ref="HQ1" authorId="0">
      <text>
        <r>
          <rPr>
            <sz val="10"/>
            <rFont val="Arial"/>
            <family val="2"/>
          </rPr>
          <t xml:space="preserve">Lorenzo Cavallaro:
</t>
        </r>
        <r>
          <rPr>
            <sz val="9"/>
            <color rgb="FF000000"/>
            <rFont val="Tahoma"/>
            <family val="0"/>
            <charset val="1"/>
          </rPr>
          <t xml:space="preserve">Crop Research Center</t>
        </r>
      </text>
    </comment>
    <comment ref="HT1" authorId="0">
      <text>
        <r>
          <rPr>
            <sz val="10"/>
            <rFont val="Arial"/>
            <family val="2"/>
          </rPr>
          <t xml:space="preserve">Lorenzo Cavallaro:
</t>
        </r>
        <r>
          <rPr>
            <sz val="9"/>
            <color rgb="FF000000"/>
            <rFont val="Tahoma"/>
            <family val="0"/>
            <charset val="1"/>
          </rPr>
          <t xml:space="preserve">digital elevation model (DEM) sourced from the US Geological Survey (USGS).</t>
        </r>
      </text>
    </comment>
    <comment ref="JT2" authorId="0">
      <text>
        <r>
          <rPr>
            <sz val="10"/>
            <rFont val="Arial"/>
            <family val="2"/>
          </rPr>
          <t xml:space="preserve">Lorenzo Cavallaro:
</t>
        </r>
        <r>
          <rPr>
            <sz val="9"/>
            <color rgb="FF000000"/>
            <rFont val="Tahoma"/>
            <family val="0"/>
            <charset val="1"/>
          </rPr>
          <t xml:space="preserve">Daily rainfall,
Max temperature,
Min temperature,
Solar radiation,
Max relative humiidty,
Min relative humidity,
Short crop evapotranspiration</t>
        </r>
      </text>
    </comment>
    <comment ref="JT3" authorId="0">
      <text>
        <r>
          <rPr>
            <sz val="10"/>
            <rFont val="Arial"/>
            <family val="2"/>
          </rPr>
          <t xml:space="preserve">Lorenzo Cavallaro:
</t>
        </r>
        <r>
          <rPr>
            <sz val="9"/>
            <color rgb="FF000000"/>
            <rFont val="Tahoma"/>
            <family val="0"/>
            <charset val="1"/>
          </rPr>
          <t xml:space="preserve">Precepitation,
Net radiation,
Air temperature,
Wind speed</t>
        </r>
      </text>
    </comment>
    <comment ref="JT4" authorId="0">
      <text>
        <r>
          <rPr>
            <sz val="10"/>
            <rFont val="Arial"/>
            <family val="2"/>
          </rPr>
          <t xml:space="preserve">Lorenzo Cavallaro:
</t>
        </r>
        <r>
          <rPr>
            <sz val="9"/>
            <color rgb="FF000000"/>
            <rFont val="Tahoma"/>
            <family val="0"/>
            <charset val="1"/>
          </rPr>
          <t xml:space="preserve">Wind speed,
Wind direction,
Air temperature,
Relative humidity,
Radiation fluxes (Rsd, Rsu, Rld, Rlu)</t>
        </r>
      </text>
    </comment>
    <comment ref="JT6" authorId="0">
      <text>
        <r>
          <rPr>
            <sz val="10"/>
            <rFont val="Arial"/>
            <family val="2"/>
          </rPr>
          <t xml:space="preserve">Lorenzo Cavallaro:
</t>
        </r>
        <r>
          <rPr>
            <sz val="9"/>
            <color rgb="FF000000"/>
            <rFont val="Tahoma"/>
            <family val="0"/>
            <charset val="1"/>
          </rPr>
          <t xml:space="preserve">Potential Evapotranspiration,
Actual Evapotranspiration</t>
        </r>
      </text>
    </comment>
    <comment ref="JT7" authorId="0">
      <text>
        <r>
          <rPr>
            <sz val="10"/>
            <rFont val="Arial"/>
            <family val="2"/>
          </rPr>
          <t xml:space="preserve">Lorenzo Cavallaro:
</t>
        </r>
        <r>
          <rPr>
            <sz val="9"/>
            <color rgb="FF000000"/>
            <rFont val="Tahoma"/>
            <family val="2"/>
            <charset val="1"/>
          </rPr>
          <t xml:space="preserve">Min temperature,
Max temperature,
Solar radiation</t>
        </r>
      </text>
    </comment>
    <comment ref="JT9" authorId="0">
      <text>
        <r>
          <rPr>
            <sz val="10"/>
            <rFont val="Arial"/>
            <family val="2"/>
          </rPr>
          <t xml:space="preserve">Lorenzo Cavallaro:
</t>
        </r>
        <r>
          <rPr>
            <sz val="9"/>
            <color rgb="FF000000"/>
            <rFont val="Tahoma"/>
            <family val="2"/>
            <charset val="1"/>
          </rPr>
          <t xml:space="preserve">Average temperature,
Maximum temperature,
Minimum temperature,
Maximum wind speed,
Relative humidity,
Average wind speed,
Total precipitation</t>
        </r>
      </text>
    </comment>
    <comment ref="JT11" authorId="0">
      <text>
        <r>
          <rPr>
            <sz val="10"/>
            <rFont val="Arial"/>
            <family val="2"/>
          </rPr>
          <t xml:space="preserve">Lorenzo Cavallaro:
</t>
        </r>
        <r>
          <rPr>
            <sz val="9"/>
            <color rgb="FF000000"/>
            <rFont val="Tahoma"/>
            <family val="2"/>
            <charset val="1"/>
          </rPr>
          <t xml:space="preserve">Temperature,
Humidity,
Wind speed,
Air pressure,
Solar radiation</t>
        </r>
      </text>
    </comment>
    <comment ref="JT14" authorId="0">
      <text>
        <r>
          <rPr>
            <sz val="10"/>
            <rFont val="Arial"/>
            <family val="2"/>
          </rPr>
          <t xml:space="preserve">Lorenzo Cavallaro:
</t>
        </r>
        <r>
          <rPr>
            <sz val="9"/>
            <color rgb="FF000000"/>
            <rFont val="Tahoma"/>
            <family val="2"/>
            <charset val="1"/>
          </rPr>
          <t xml:space="preserve">Temperature,
Radiation,
Humidity</t>
        </r>
      </text>
    </comment>
    <comment ref="JT15" authorId="0">
      <text>
        <r>
          <rPr>
            <sz val="10"/>
            <rFont val="Arial"/>
            <family val="2"/>
          </rPr>
          <t xml:space="preserve">Lorenzo Cavallaro:
</t>
        </r>
        <r>
          <rPr>
            <sz val="9"/>
            <color rgb="FF000000"/>
            <rFont val="Tahoma"/>
            <family val="2"/>
            <charset val="1"/>
          </rPr>
          <t xml:space="preserve">Max and min temp,
Max and min rel hum,
wind speed,
sunshine hours,
rainfall</t>
        </r>
      </text>
    </comment>
    <comment ref="JT16" authorId="0">
      <text>
        <r>
          <rPr>
            <sz val="10"/>
            <rFont val="Arial"/>
            <family val="2"/>
          </rPr>
          <t xml:space="preserve">Lorenzo Cavallaro:
</t>
        </r>
        <r>
          <rPr>
            <sz val="9"/>
            <color rgb="FF000000"/>
            <rFont val="Tahoma"/>
            <family val="2"/>
            <charset val="1"/>
          </rPr>
          <t xml:space="preserve">temp,
net radiation flux,
leaf area index</t>
        </r>
      </text>
    </comment>
    <comment ref="JT17" authorId="0">
      <text>
        <r>
          <rPr>
            <sz val="10"/>
            <rFont val="Arial"/>
            <family val="2"/>
          </rPr>
          <t xml:space="preserve">Lorenzo Cavallaro:
</t>
        </r>
        <r>
          <rPr>
            <sz val="9"/>
            <color rgb="FF000000"/>
            <rFont val="Tahoma"/>
            <family val="0"/>
            <charset val="1"/>
          </rPr>
          <t xml:space="preserve">Temperature
Humidity
Wind speed
Radiation</t>
        </r>
      </text>
    </comment>
    <comment ref="JT18" authorId="0">
      <text>
        <r>
          <rPr>
            <sz val="10"/>
            <rFont val="Arial"/>
            <family val="2"/>
          </rPr>
          <t xml:space="preserve">Lorenzo Cavallaro:
</t>
        </r>
        <r>
          <rPr>
            <sz val="9"/>
            <color rgb="FF000000"/>
            <rFont val="Tahoma"/>
            <family val="0"/>
            <charset val="1"/>
          </rPr>
          <t xml:space="preserve">Temp
Hum
Wind speed
Solar radiation
Air pressure</t>
        </r>
      </text>
    </comment>
    <comment ref="JT19" authorId="0">
      <text>
        <r>
          <rPr>
            <sz val="10"/>
            <rFont val="Arial"/>
            <family val="2"/>
          </rPr>
          <t xml:space="preserve">Lorenzo Cavallaro:
</t>
        </r>
      </text>
    </comment>
    <comment ref="JT22" authorId="0">
      <text>
        <r>
          <rPr>
            <sz val="10"/>
            <rFont val="Arial"/>
            <family val="2"/>
          </rPr>
          <t xml:space="preserve">Lorenzo Cavallaro:
</t>
        </r>
        <r>
          <rPr>
            <sz val="9"/>
            <color rgb="FF000000"/>
            <rFont val="Tahoma"/>
            <family val="0"/>
            <charset val="1"/>
          </rPr>
          <t xml:space="preserve">daily max and min temp</t>
        </r>
      </text>
    </comment>
    <comment ref="JT26" authorId="0">
      <text>
        <r>
          <rPr>
            <sz val="10"/>
            <rFont val="Arial"/>
            <family val="2"/>
          </rPr>
          <t xml:space="preserve">Lorenzo Cavallaro:
</t>
        </r>
        <r>
          <rPr>
            <sz val="9"/>
            <color rgb="FF000000"/>
            <rFont val="Tahoma"/>
            <family val="0"/>
            <charset val="1"/>
          </rPr>
          <t xml:space="preserve">Aridity, water stress, cumulative water deficit</t>
        </r>
      </text>
    </comment>
    <comment ref="JU3" authorId="0">
      <text>
        <r>
          <rPr>
            <sz val="10"/>
            <rFont val="Arial"/>
            <family val="2"/>
          </rPr>
          <t xml:space="preserve">Lorenzo Cavallaro:
</t>
        </r>
        <r>
          <rPr>
            <sz val="9"/>
            <color rgb="FF000000"/>
            <rFont val="Tahoma"/>
            <family val="0"/>
            <charset val="1"/>
          </rPr>
          <t xml:space="preserve">Soil moisture,
Latent heat flux,
Sensible heat flux,
Soil heat flux</t>
        </r>
      </text>
    </comment>
    <comment ref="JU4" authorId="0">
      <text>
        <r>
          <rPr>
            <sz val="10"/>
            <rFont val="Arial"/>
            <family val="2"/>
          </rPr>
          <t xml:space="preserve">Lorenzo Cavallaro:
</t>
        </r>
        <r>
          <rPr>
            <sz val="9"/>
            <color rgb="FF000000"/>
            <rFont val="Tahoma"/>
            <family val="2"/>
            <charset val="1"/>
          </rPr>
          <t xml:space="preserve">Soil water content</t>
        </r>
      </text>
    </comment>
    <comment ref="JU6" authorId="0">
      <text>
        <r>
          <rPr>
            <sz val="10"/>
            <rFont val="Arial"/>
            <family val="2"/>
          </rPr>
          <t xml:space="preserve">Lorenzo Cavallaro:
</t>
        </r>
        <r>
          <rPr>
            <u val="single"/>
            <sz val="9"/>
            <color rgb="FF000000"/>
            <rFont val="Tahoma"/>
            <family val="2"/>
            <charset val="1"/>
          </rPr>
          <t xml:space="preserve">Soil Water Content</t>
        </r>
      </text>
    </comment>
    <comment ref="JU16" authorId="0">
      <text>
        <r>
          <rPr>
            <sz val="10"/>
            <rFont val="Arial"/>
            <family val="2"/>
          </rPr>
          <t xml:space="preserve">Lorenzo Cavallaro:
</t>
        </r>
        <r>
          <rPr>
            <sz val="9"/>
            <color rgb="FF000000"/>
            <rFont val="Tahoma"/>
            <family val="2"/>
            <charset val="1"/>
          </rPr>
          <t xml:space="preserve">Soil moisture</t>
        </r>
      </text>
    </comment>
    <comment ref="JU17" authorId="0">
      <text>
        <r>
          <rPr>
            <sz val="10"/>
            <rFont val="Arial"/>
            <family val="2"/>
          </rPr>
          <t xml:space="preserve">Lorenzo Cavallaro:
</t>
        </r>
        <r>
          <rPr>
            <sz val="9"/>
            <color rgb="FF000000"/>
            <rFont val="Tahoma"/>
            <family val="0"/>
            <charset val="1"/>
          </rPr>
          <t xml:space="preserve">Soil salinity</t>
        </r>
      </text>
    </comment>
    <comment ref="JV1" authorId="0">
      <text>
        <r>
          <rPr>
            <sz val="10"/>
            <rFont val="Arial"/>
            <family val="2"/>
          </rPr>
          <t xml:space="preserve">Lorenzo Cavallaro:
</t>
        </r>
        <r>
          <rPr>
            <sz val="9"/>
            <color rgb="FF000000"/>
            <rFont val="Tahoma"/>
            <family val="0"/>
            <charset val="1"/>
          </rPr>
          <t xml:space="preserve">Grey Wolf Optimization</t>
        </r>
      </text>
    </comment>
    <comment ref="JW1" authorId="0">
      <text>
        <r>
          <rPr>
            <sz val="10"/>
            <rFont val="Arial"/>
            <family val="2"/>
          </rPr>
          <t xml:space="preserve">Lorenzo Cavallaro:
</t>
        </r>
        <r>
          <rPr>
            <sz val="9"/>
            <color rgb="FF000000"/>
            <rFont val="Tahoma"/>
            <family val="0"/>
            <charset val="1"/>
          </rPr>
          <t xml:space="preserve">Harris Hawks Optimization</t>
        </r>
      </text>
    </comment>
    <comment ref="JX1" authorId="0">
      <text>
        <r>
          <rPr>
            <sz val="10"/>
            <rFont val="Arial"/>
            <family val="2"/>
          </rPr>
          <t xml:space="preserve">Lorenzo Cavallaro:
</t>
        </r>
        <r>
          <rPr>
            <sz val="9"/>
            <color rgb="FF000000"/>
            <rFont val="Tahoma"/>
            <family val="0"/>
            <charset val="1"/>
          </rPr>
          <t xml:space="preserve">Particle Swarm Optimization</t>
        </r>
      </text>
    </comment>
    <comment ref="JY1" authorId="0">
      <text>
        <r>
          <rPr>
            <sz val="10"/>
            <rFont val="Arial"/>
            <family val="2"/>
          </rPr>
          <t xml:space="preserve">Lorenzo Cavallaro:
</t>
        </r>
        <r>
          <rPr>
            <sz val="9"/>
            <color rgb="FF000000"/>
            <rFont val="Tahoma"/>
            <family val="2"/>
            <charset val="1"/>
          </rPr>
          <t xml:space="preserve">Snow Ablation Oprimizer</t>
        </r>
      </text>
    </comment>
    <comment ref="JZ1" authorId="0">
      <text>
        <r>
          <rPr>
            <sz val="10"/>
            <rFont val="Arial"/>
            <family val="2"/>
          </rPr>
          <t xml:space="preserve">Lorenzo Cavallaro:
</t>
        </r>
        <r>
          <rPr>
            <sz val="9"/>
            <color rgb="FF000000"/>
            <rFont val="Tahoma"/>
            <family val="0"/>
            <charset val="1"/>
          </rPr>
          <t xml:space="preserve">War Startegy Oprimization</t>
        </r>
      </text>
    </comment>
    <comment ref="KA1" authorId="0">
      <text>
        <r>
          <rPr>
            <sz val="10"/>
            <rFont val="Arial"/>
            <family val="2"/>
          </rPr>
          <t xml:space="preserve">Lorenzo Cavallaro:
</t>
        </r>
        <r>
          <rPr>
            <sz val="9"/>
            <color rgb="FF000000"/>
            <rFont val="Tahoma"/>
            <family val="2"/>
            <charset val="1"/>
          </rPr>
          <t xml:space="preserve">Fuzzy clustering</t>
        </r>
      </text>
    </comment>
    <comment ref="KE1" authorId="0">
      <text>
        <r>
          <rPr>
            <sz val="10"/>
            <rFont val="Arial"/>
            <family val="2"/>
          </rPr>
          <t xml:space="preserve">Lorenzo Cavallaro:
</t>
        </r>
        <r>
          <rPr>
            <sz val="9"/>
            <color rgb="FF000000"/>
            <rFont val="Tahoma"/>
            <family val="0"/>
            <charset val="1"/>
          </rPr>
          <t xml:space="preserve">Shapley additive exPlanations</t>
        </r>
      </text>
    </comment>
    <comment ref="KM1" authorId="0">
      <text>
        <r>
          <rPr>
            <sz val="10"/>
            <rFont val="Arial"/>
            <family val="2"/>
          </rPr>
          <t xml:space="preserve">Lorenzo Cavallaro:
</t>
        </r>
        <r>
          <rPr>
            <sz val="9"/>
            <color rgb="FF000000"/>
            <rFont val="Tahoma"/>
            <family val="0"/>
            <charset val="1"/>
          </rPr>
          <t xml:space="preserve">Root Means Square Propagation</t>
        </r>
      </text>
    </comment>
  </commentList>
</comments>
</file>

<file path=xl/sharedStrings.xml><?xml version="1.0" encoding="utf-8"?>
<sst xmlns="http://schemas.openxmlformats.org/spreadsheetml/2006/main" count="5576" uniqueCount="3534">
  <si>
    <t xml:space="preserve">Publication Type</t>
  </si>
  <si>
    <t xml:space="preserve">Authors</t>
  </si>
  <si>
    <t xml:space="preserve">Book Authors</t>
  </si>
  <si>
    <t xml:space="preserve">Book Editors</t>
  </si>
  <si>
    <t xml:space="preserve">Book Group Authors</t>
  </si>
  <si>
    <t xml:space="preserve">Author Full Names</t>
  </si>
  <si>
    <t xml:space="preserve">Article Title</t>
  </si>
  <si>
    <t xml:space="preserve">Source Title</t>
  </si>
  <si>
    <t xml:space="preserve">Language</t>
  </si>
  <si>
    <t xml:space="preserve">Document Type</t>
  </si>
  <si>
    <t xml:space="preserve">Conference Title</t>
  </si>
  <si>
    <t xml:space="preserve">Conference Date</t>
  </si>
  <si>
    <t xml:space="preserve">Conference Location</t>
  </si>
  <si>
    <t xml:space="preserve">Conference Sponsor</t>
  </si>
  <si>
    <t xml:space="preserve">Author Keywords</t>
  </si>
  <si>
    <t xml:space="preserve">Keywords Plus</t>
  </si>
  <si>
    <t xml:space="preserve">Abstract</t>
  </si>
  <si>
    <t xml:space="preserve">Addresses</t>
  </si>
  <si>
    <t xml:space="preserve">Affiliations</t>
  </si>
  <si>
    <t xml:space="preserve">Reprint Addresses</t>
  </si>
  <si>
    <t xml:space="preserve">Email Addresses</t>
  </si>
  <si>
    <t xml:space="preserve">Researcher Ids</t>
  </si>
  <si>
    <t xml:space="preserve">ORCIDs</t>
  </si>
  <si>
    <t xml:space="preserve">Funding Orgs</t>
  </si>
  <si>
    <t xml:space="preserve">Funding Name Preferred</t>
  </si>
  <si>
    <t xml:space="preserve">Funding Text</t>
  </si>
  <si>
    <t xml:space="preserve">Cited Reference Count</t>
  </si>
  <si>
    <t xml:space="preserve">Times Cited, WoS Core</t>
  </si>
  <si>
    <t xml:space="preserve">Times Cited, All Databases</t>
  </si>
  <si>
    <t xml:space="preserve">180 Day Usage Count</t>
  </si>
  <si>
    <t xml:space="preserve">Since 2013 Usage Count</t>
  </si>
  <si>
    <t xml:space="preserve">Publisher</t>
  </si>
  <si>
    <t xml:space="preserve">Publisher City</t>
  </si>
  <si>
    <t xml:space="preserve">Publisher Address</t>
  </si>
  <si>
    <t xml:space="preserve">ISSN</t>
  </si>
  <si>
    <t xml:space="preserve">eISSN</t>
  </si>
  <si>
    <t xml:space="preserve">ISBN</t>
  </si>
  <si>
    <t xml:space="preserve">Journal Abbreviation</t>
  </si>
  <si>
    <t xml:space="preserve">Journal ISO Abbreviation</t>
  </si>
  <si>
    <t xml:space="preserve">Publication Date</t>
  </si>
  <si>
    <t xml:space="preserve">Publication Year</t>
  </si>
  <si>
    <t xml:space="preserve">Volume</t>
  </si>
  <si>
    <t xml:space="preserve">Issue</t>
  </si>
  <si>
    <t xml:space="preserve">Part Number</t>
  </si>
  <si>
    <t xml:space="preserve">Start Page</t>
  </si>
  <si>
    <t xml:space="preserve">End Page</t>
  </si>
  <si>
    <t xml:space="preserve">Article Number</t>
  </si>
  <si>
    <t xml:space="preserve">DOI</t>
  </si>
  <si>
    <t xml:space="preserve">DOI Link</t>
  </si>
  <si>
    <t xml:space="preserve">Early Access Date</t>
  </si>
  <si>
    <t xml:space="preserve">Number of Pages</t>
  </si>
  <si>
    <t xml:space="preserve">WoS Categories</t>
  </si>
  <si>
    <t xml:space="preserve">Web of Science Index</t>
  </si>
  <si>
    <t xml:space="preserve">Research Areas</t>
  </si>
  <si>
    <t xml:space="preserve">IDS Number</t>
  </si>
  <si>
    <t xml:space="preserve">Pubmed Id</t>
  </si>
  <si>
    <t xml:space="preserve">Open Access Designations</t>
  </si>
  <si>
    <t xml:space="preserve">Date of Export</t>
  </si>
  <si>
    <t xml:space="preserve">UT (Unique WOS ID)</t>
  </si>
  <si>
    <t xml:space="preserve">Web of Science Record</t>
  </si>
  <si>
    <t xml:space="preserve">DNN</t>
  </si>
  <si>
    <t xml:space="preserve">MLP</t>
  </si>
  <si>
    <t xml:space="preserve">DeepFM</t>
  </si>
  <si>
    <t xml:space="preserve">BPNN</t>
  </si>
  <si>
    <t xml:space="preserve">GRNN</t>
  </si>
  <si>
    <t xml:space="preserve">DBN</t>
  </si>
  <si>
    <t xml:space="preserve">DL</t>
  </si>
  <si>
    <t xml:space="preserve">RNN</t>
  </si>
  <si>
    <t xml:space="preserve">BiRNN</t>
  </si>
  <si>
    <t xml:space="preserve">LSTM</t>
  </si>
  <si>
    <t xml:space="preserve">BiLSTM</t>
  </si>
  <si>
    <t xml:space="preserve">GRU</t>
  </si>
  <si>
    <t xml:space="preserve">BiGRU</t>
  </si>
  <si>
    <t xml:space="preserve">SSR-LSTM</t>
  </si>
  <si>
    <t xml:space="preserve">ConvLSTM</t>
  </si>
  <si>
    <t xml:space="preserve">NARX</t>
  </si>
  <si>
    <t xml:space="preserve">CNN</t>
  </si>
  <si>
    <t xml:space="preserve">YOLO</t>
  </si>
  <si>
    <t xml:space="preserve">Transformer</t>
  </si>
  <si>
    <t xml:space="preserve">ADAQNet</t>
  </si>
  <si>
    <t xml:space="preserve">QAxNet</t>
  </si>
  <si>
    <t xml:space="preserve">GAN</t>
  </si>
  <si>
    <t xml:space="preserve">AE</t>
  </si>
  <si>
    <t xml:space="preserve">CVAE</t>
  </si>
  <si>
    <t xml:space="preserve">ELM</t>
  </si>
  <si>
    <t xml:space="preserve">K-means-FFA-KELM</t>
  </si>
  <si>
    <t xml:space="preserve">ANFIS</t>
  </si>
  <si>
    <t xml:space="preserve">MPS</t>
  </si>
  <si>
    <t xml:space="preserve">QSDM</t>
  </si>
  <si>
    <t xml:space="preserve">GMDH</t>
  </si>
  <si>
    <t xml:space="preserve">SWAT</t>
  </si>
  <si>
    <t xml:space="preserve">SL</t>
  </si>
  <si>
    <t xml:space="preserve">PLR</t>
  </si>
  <si>
    <t xml:space="preserve">eXML</t>
  </si>
  <si>
    <t xml:space="preserve">MLNR</t>
  </si>
  <si>
    <t xml:space="preserve">CBR</t>
  </si>
  <si>
    <t xml:space="preserve">DT</t>
  </si>
  <si>
    <t xml:space="preserve">CART</t>
  </si>
  <si>
    <t xml:space="preserve">BCART</t>
  </si>
  <si>
    <t xml:space="preserve">M5Tree</t>
  </si>
  <si>
    <t xml:space="preserve">RF</t>
  </si>
  <si>
    <t xml:space="preserve">DRF</t>
  </si>
  <si>
    <t xml:space="preserve">BT</t>
  </si>
  <si>
    <t xml:space="preserve">GB</t>
  </si>
  <si>
    <t xml:space="preserve">XGB</t>
  </si>
  <si>
    <t xml:space="preserve">DF</t>
  </si>
  <si>
    <t xml:space="preserve">LightGB</t>
  </si>
  <si>
    <t xml:space="preserve">AdaBoost</t>
  </si>
  <si>
    <t xml:space="preserve">LR</t>
  </si>
  <si>
    <t xml:space="preserve">Lasso</t>
  </si>
  <si>
    <t xml:space="preserve">PL</t>
  </si>
  <si>
    <t xml:space="preserve">GLM</t>
  </si>
  <si>
    <t xml:space="preserve">GPR</t>
  </si>
  <si>
    <t xml:space="preserve">SARIMA</t>
  </si>
  <si>
    <t xml:space="preserve">MEMD</t>
  </si>
  <si>
    <t xml:space="preserve">MARS</t>
  </si>
  <si>
    <t xml:space="preserve">SAR2ET</t>
  </si>
  <si>
    <t xml:space="preserve">HBV</t>
  </si>
  <si>
    <t xml:space="preserve">BMA</t>
  </si>
  <si>
    <t xml:space="preserve">PT-JPL</t>
  </si>
  <si>
    <t xml:space="preserve">SR</t>
  </si>
  <si>
    <t xml:space="preserve">ER</t>
  </si>
  <si>
    <t xml:space="preserve">SVM</t>
  </si>
  <si>
    <t xml:space="preserve">SVR</t>
  </si>
  <si>
    <t xml:space="preserve">RL</t>
  </si>
  <si>
    <t xml:space="preserve">DRL</t>
  </si>
  <si>
    <t xml:space="preserve">MTL</t>
  </si>
  <si>
    <t xml:space="preserve">STL</t>
  </si>
  <si>
    <t xml:space="preserve">AutoML</t>
  </si>
  <si>
    <t xml:space="preserve">RMSE</t>
  </si>
  <si>
    <t xml:space="preserve">MSE</t>
  </si>
  <si>
    <t xml:space="preserve">RMSD</t>
  </si>
  <si>
    <t xml:space="preserve">SEP</t>
  </si>
  <si>
    <t xml:space="preserve">ubRMSE</t>
  </si>
  <si>
    <t xml:space="preserve">SDR</t>
  </si>
  <si>
    <t xml:space="preserve">WSEE</t>
  </si>
  <si>
    <t xml:space="preserve">E_l,m</t>
  </si>
  <si>
    <t xml:space="preserve">MAE</t>
  </si>
  <si>
    <t xml:space="preserve">WAPE</t>
  </si>
  <si>
    <t xml:space="preserve">MAD</t>
  </si>
  <si>
    <t xml:space="preserve">MADE</t>
  </si>
  <si>
    <t xml:space="preserve">AARE</t>
  </si>
  <si>
    <t xml:space="preserve">MAPE</t>
  </si>
  <si>
    <t xml:space="preserve">MdAPE</t>
  </si>
  <si>
    <t xml:space="preserve">BME</t>
  </si>
  <si>
    <t xml:space="preserve">Bias</t>
  </si>
  <si>
    <t xml:space="preserve">MBE</t>
  </si>
  <si>
    <t xml:space="preserve">RB</t>
  </si>
  <si>
    <t xml:space="preserve">RRMSE</t>
  </si>
  <si>
    <t xml:space="preserve">NRMSE</t>
  </si>
  <si>
    <t xml:space="preserve">RRSE</t>
  </si>
  <si>
    <t xml:space="preserve">RAE</t>
  </si>
  <si>
    <t xml:space="preserve">R</t>
  </si>
  <si>
    <t xml:space="preserve">R^2</t>
  </si>
  <si>
    <t xml:space="preserve">VAF</t>
  </si>
  <si>
    <t xml:space="preserve">PCC</t>
  </si>
  <si>
    <t xml:space="preserve">KGE</t>
  </si>
  <si>
    <t xml:space="preserve">NSE</t>
  </si>
  <si>
    <t xml:space="preserve">NNSE</t>
  </si>
  <si>
    <t xml:space="preserve">IOA</t>
  </si>
  <si>
    <t xml:space="preserve">Accuracy</t>
  </si>
  <si>
    <t xml:space="preserve">Precision</t>
  </si>
  <si>
    <t xml:space="preserve">F1 Score</t>
  </si>
  <si>
    <t xml:space="preserve">AUC</t>
  </si>
  <si>
    <t xml:space="preserve">IOU</t>
  </si>
  <si>
    <t xml:space="preserve">MODIS</t>
  </si>
  <si>
    <t xml:space="preserve">Sentinel-1</t>
  </si>
  <si>
    <t xml:space="preserve">Sentinel-2</t>
  </si>
  <si>
    <t xml:space="preserve">AVHRR</t>
  </si>
  <si>
    <t xml:space="preserve">NOAA CDR AVHRR NDVI</t>
  </si>
  <si>
    <t xml:space="preserve">ASTER</t>
  </si>
  <si>
    <t xml:space="preserve">SMOS</t>
  </si>
  <si>
    <t xml:space="preserve">AMSR2</t>
  </si>
  <si>
    <t xml:space="preserve">OCO-2</t>
  </si>
  <si>
    <t xml:space="preserve">GRACE</t>
  </si>
  <si>
    <t xml:space="preserve">HyTES</t>
  </si>
  <si>
    <t xml:space="preserve">ECOSTRESS</t>
  </si>
  <si>
    <t xml:space="preserve">COMS</t>
  </si>
  <si>
    <t xml:space="preserve">SST</t>
  </si>
  <si>
    <t xml:space="preserve">GLASS</t>
  </si>
  <si>
    <t xml:space="preserve">HLS</t>
  </si>
  <si>
    <t xml:space="preserve">SRTM</t>
  </si>
  <si>
    <t xml:space="preserve">Copernicus</t>
  </si>
  <si>
    <t xml:space="preserve">ERA 5</t>
  </si>
  <si>
    <t xml:space="preserve">MERRA2</t>
  </si>
  <si>
    <t xml:space="preserve">NLDAS</t>
  </si>
  <si>
    <t xml:space="preserve">GLDAS</t>
  </si>
  <si>
    <t xml:space="preserve">FLDAS</t>
  </si>
  <si>
    <t xml:space="preserve">NCA-LDAS</t>
  </si>
  <si>
    <t xml:space="preserve">WFDEI</t>
  </si>
  <si>
    <t xml:space="preserve">ACCESS-ESM1,5</t>
  </si>
  <si>
    <t xml:space="preserve">CMIP6</t>
  </si>
  <si>
    <t xml:space="preserve">CHIRPS</t>
  </si>
  <si>
    <t xml:space="preserve">SPEI</t>
  </si>
  <si>
    <t xml:space="preserve">GIOVANNI</t>
  </si>
  <si>
    <t xml:space="preserve">POWER</t>
  </si>
  <si>
    <t xml:space="preserve">GLEAM</t>
  </si>
  <si>
    <t xml:space="preserve">LAADS</t>
  </si>
  <si>
    <t xml:space="preserve">EEFLUX</t>
  </si>
  <si>
    <t xml:space="preserve">NESDC</t>
  </si>
  <si>
    <t xml:space="preserve">AggieAir sUAS</t>
  </si>
  <si>
    <t xml:space="preserve">ASDC</t>
  </si>
  <si>
    <t xml:space="preserve">CSIF</t>
  </si>
  <si>
    <t xml:space="preserve">PlantVillage</t>
  </si>
  <si>
    <t xml:space="preserve">FLUXNET</t>
  </si>
  <si>
    <t xml:space="preserve">SNOTEL</t>
  </si>
  <si>
    <t xml:space="preserve">ISMN</t>
  </si>
  <si>
    <t xml:space="preserve">CIMIS</t>
  </si>
  <si>
    <t xml:space="preserve">AERONET</t>
  </si>
  <si>
    <t xml:space="preserve">GRDC</t>
  </si>
  <si>
    <t xml:space="preserve">USGS</t>
  </si>
  <si>
    <t xml:space="preserve">INMET</t>
  </si>
  <si>
    <t xml:space="preserve">HPRCC</t>
  </si>
  <si>
    <t xml:space="preserve">AZMET</t>
  </si>
  <si>
    <t xml:space="preserve">FAWN</t>
  </si>
  <si>
    <t xml:space="preserve">DEOS</t>
  </si>
  <si>
    <t xml:space="preserve">AWN</t>
  </si>
  <si>
    <t xml:space="preserve">Weather station</t>
  </si>
  <si>
    <t xml:space="preserve">Lysimeter</t>
  </si>
  <si>
    <t xml:space="preserve">Eddy Covariance</t>
  </si>
  <si>
    <t xml:space="preserve">CAMELS</t>
  </si>
  <si>
    <t xml:space="preserve">CANOPEX</t>
  </si>
  <si>
    <t xml:space="preserve">TAMAREC</t>
  </si>
  <si>
    <t xml:space="preserve">CRC</t>
  </si>
  <si>
    <t xml:space="preserve">ACARR</t>
  </si>
  <si>
    <t xml:space="preserve">LULC</t>
  </si>
  <si>
    <t xml:space="preserve">DEM</t>
  </si>
  <si>
    <t xml:space="preserve">HydroSHEDS</t>
  </si>
  <si>
    <t xml:space="preserve">NALCMS</t>
  </si>
  <si>
    <t xml:space="preserve">ASCE</t>
  </si>
  <si>
    <t xml:space="preserve">Iran</t>
  </si>
  <si>
    <t xml:space="preserve">Iraq</t>
  </si>
  <si>
    <t xml:space="preserve">Egypt</t>
  </si>
  <si>
    <t xml:space="preserve">Canada</t>
  </si>
  <si>
    <t xml:space="preserve">Australia</t>
  </si>
  <si>
    <t xml:space="preserve">U.S.</t>
  </si>
  <si>
    <t xml:space="preserve">China</t>
  </si>
  <si>
    <t xml:space="preserve">Colombia</t>
  </si>
  <si>
    <t xml:space="preserve">India</t>
  </si>
  <si>
    <t xml:space="preserve">South Korea</t>
  </si>
  <si>
    <t xml:space="preserve">Pakistan</t>
  </si>
  <si>
    <t xml:space="preserve">Bangladesh</t>
  </si>
  <si>
    <t xml:space="preserve">Israel</t>
  </si>
  <si>
    <t xml:space="preserve">Vietnam</t>
  </si>
  <si>
    <t xml:space="preserve">Laos</t>
  </si>
  <si>
    <t xml:space="preserve">Cambodia</t>
  </si>
  <si>
    <t xml:space="preserve">Indonesia</t>
  </si>
  <si>
    <t xml:space="preserve">Malaysia</t>
  </si>
  <si>
    <t xml:space="preserve">Nepal</t>
  </si>
  <si>
    <t xml:space="preserve">Slovakia</t>
  </si>
  <si>
    <t xml:space="preserve">Sudan</t>
  </si>
  <si>
    <t xml:space="preserve">Nigeria</t>
  </si>
  <si>
    <t xml:space="preserve">Ethiopia</t>
  </si>
  <si>
    <t xml:space="preserve">Algeria</t>
  </si>
  <si>
    <t xml:space="preserve">Italy</t>
  </si>
  <si>
    <t xml:space="preserve">Germany</t>
  </si>
  <si>
    <t xml:space="preserve">Turkey</t>
  </si>
  <si>
    <t xml:space="preserve">Morocco</t>
  </si>
  <si>
    <t xml:space="preserve">Peru</t>
  </si>
  <si>
    <t xml:space="preserve">Ecuador</t>
  </si>
  <si>
    <t xml:space="preserve">Mexico</t>
  </si>
  <si>
    <t xml:space="preserve">Chile</t>
  </si>
  <si>
    <t xml:space="preserve">Brazil</t>
  </si>
  <si>
    <t xml:space="preserve">South Africa</t>
  </si>
  <si>
    <t xml:space="preserve">Portugal</t>
  </si>
  <si>
    <t xml:space="preserve">Sweden</t>
  </si>
  <si>
    <t xml:space="preserve">Global</t>
  </si>
  <si>
    <t xml:space="preserve">Aegean areas</t>
  </si>
  <si>
    <t xml:space="preserve">Balkans areas</t>
  </si>
  <si>
    <t xml:space="preserve">Africa</t>
  </si>
  <si>
    <t xml:space="preserve">Amazon</t>
  </si>
  <si>
    <t xml:space="preserve">Mediterranean areas</t>
  </si>
  <si>
    <t xml:space="preserve">Oceania areas</t>
  </si>
  <si>
    <t xml:space="preserve">Savannahs</t>
  </si>
  <si>
    <t xml:space="preserve">Grasslands</t>
  </si>
  <si>
    <t xml:space="preserve">Wetlands</t>
  </si>
  <si>
    <t xml:space="preserve">Croplands</t>
  </si>
  <si>
    <t xml:space="preserve">Forests</t>
  </si>
  <si>
    <t xml:space="preserve">Meterological variables</t>
  </si>
  <si>
    <t xml:space="preserve">Soil variables</t>
  </si>
  <si>
    <t xml:space="preserve">GWO</t>
  </si>
  <si>
    <t xml:space="preserve">HHO</t>
  </si>
  <si>
    <t xml:space="preserve">PSO</t>
  </si>
  <si>
    <t xml:space="preserve">SAO</t>
  </si>
  <si>
    <t xml:space="preserve">WSO</t>
  </si>
  <si>
    <t xml:space="preserve">FCM</t>
  </si>
  <si>
    <t xml:space="preserve">K-means</t>
  </si>
  <si>
    <t xml:space="preserve">PCA</t>
  </si>
  <si>
    <t xml:space="preserve">ICA</t>
  </si>
  <si>
    <t xml:space="preserve">SHAP</t>
  </si>
  <si>
    <t xml:space="preserve">PACF</t>
  </si>
  <si>
    <t xml:space="preserve">Transfer Learning</t>
  </si>
  <si>
    <t xml:space="preserve">Low-pass</t>
  </si>
  <si>
    <t xml:space="preserve">High-pass</t>
  </si>
  <si>
    <t xml:space="preserve">Normalization</t>
  </si>
  <si>
    <t xml:space="preserve">Interpolation</t>
  </si>
  <si>
    <t xml:space="preserve">Linear detrending</t>
  </si>
  <si>
    <t xml:space="preserve">RMSprop</t>
  </si>
  <si>
    <t xml:space="preserve">SGD</t>
  </si>
  <si>
    <t xml:space="preserve">Adam</t>
  </si>
  <si>
    <t xml:space="preserve">short term</t>
  </si>
  <si>
    <t xml:space="preserve">mid term</t>
  </si>
  <si>
    <t xml:space="preserve">long term</t>
  </si>
  <si>
    <t xml:space="preserve">Local</t>
  </si>
  <si>
    <t xml:space="preserve">Regional</t>
  </si>
  <si>
    <t xml:space="preserve">J</t>
  </si>
  <si>
    <t xml:space="preserve">Baishnab, U; Sajib, MSH; Islam, A; Akter, S; Hasan, A; Roy, T; Das, P</t>
  </si>
  <si>
    <t xml:space="preserve">Baishnab, Uaktho; Sajib, Md. Sahadat Hossen; Islam, Ashraful; Akter, Shangida; Hasan, Atik; Roy, Tonmoy; Das, Pobithra</t>
  </si>
  <si>
    <t xml:space="preserve">Deep learning approaches for short-crop reference evapotranspiration estimation: a case study in Southeastern Australia</t>
  </si>
  <si>
    <t xml:space="preserve">EARTH SCIENCE INFORMATICS</t>
  </si>
  <si>
    <t xml:space="preserve">English</t>
  </si>
  <si>
    <t xml:space="preserve">Article</t>
  </si>
  <si>
    <t xml:space="preserve">Evapotranspiration; Deep learning; Water resources and irrigation; Southeastern Australia</t>
  </si>
  <si>
    <t xml:space="preserve">LIMITED METEOROLOGICAL DATA; POTENTIAL EVAPOTRANSPIRATION; EMPIRICAL EQUATIONS; NEURAL-NETWORKS; MODELS; EVAPORATION; CLIMATE; REGRESSION; SVM; ALGORITHMS</t>
  </si>
  <si>
    <t xml:space="preserve">Evapotranspiration (ETo) plays a crucial role in managing water resources and agricultural water consumption. It is also commonly used to quantify the total amount of water lost through a number of important processes that occur among the land and atmosphere. In this research, four deep learning algorithms-CNN, DNN, BiLSTM, and GRU-were applied to predict evapotranspiration based on 14 years of daily data from Victoria, a state in southeastern Australia. The data sample was split into two periods: nine years (2010-2019) for training and four years (2020-2023) for testing. Deep learning algorithms have good performance for predicting evapotranspiration. The results showed that the GRU and DNN models were slightly better than the other two models. In the testing phases, the GRU models found R-Square, RSME, MSE, and MAE values, 0.989, 0.1794, 0.0322, and 0.1417, respectively, while the DNN models performed 0.980, 0.185, 0.0345, and 0.1507 value of R-Square, RMSE, MSE, and MAE, respectively, which indicated the GRU model perform better than other models. The CNN model achieved an R-2 of 0.958, with an RMSE of 0.364 and an MSE of 0.1330, indicating less precise estimations. Similarly, the BiLSTM model performed better than CNN but still lagged behind GRU and DNN, with an R-2 of 0.969 and an MSE of 0.0988. Moreover, deep learning models perform well, the GRU model has comparatively excellent performance than other DL models. It has been suggested that the most accurate model to improve future studies on evapotranspiration estimations is the GRU model, which could improve irrigation efficiency and boost crop productivity.</t>
  </si>
  <si>
    <t xml:space="preserve">[Baishnab, Uaktho] Shahjalal Univ Sci &amp; Technol, Dept Forestry &amp; Environm Sci, Sylhet 3114, Bangladesh; [Sajib, Md. Sahadat Hossen] Varendra Univ, Dept Comp Sci &amp; Engn, Rajshahi, Bangladesh; [Islam, Ashraful] Daffodil Int Univ, Dept Comp Sci &amp; Engn, Dhaka, Bangladesh; [Akter, Shangida] Jagannath Univ, Dept Geog &amp; Environm, Dhaka, Bangladesh; [Hasan, Atik] Univ Rajshahi, Dept Econ, Rajshahi, Bangladesh; [Roy, Tonmoy] Utah State Univ, Dept Data Analyt &amp; Informat Syst, Logan, UT USA; [Das, Pobithra] Leading Univ, Dept Civil Engn, Sylhet, Bangladesh</t>
  </si>
  <si>
    <t xml:space="preserve">Shahjalal University of Science &amp; Technology (SUST); Daffodil International University; University of Rajshahi; Utah System of Higher Education; Utah State University</t>
  </si>
  <si>
    <t xml:space="preserve">Das, P (corresponding author), Leading Univ, Dept Civil Engn, Sylhet, Bangladesh.</t>
  </si>
  <si>
    <t xml:space="preserve">pobithradas2247@gmail.com</t>
  </si>
  <si>
    <t xml:space="preserve">Roy, Tonmoy/LRT-0366-2024</t>
  </si>
  <si>
    <t xml:space="preserve">Roy, Tonmoy/0000-0002-0757-5523</t>
  </si>
  <si>
    <t xml:space="preserve">SPRINGER HEIDELBERG</t>
  </si>
  <si>
    <t xml:space="preserve">HEIDELBERG</t>
  </si>
  <si>
    <t xml:space="preserve">TIERGARTENSTRASSE 17, D-69121 HEIDELBERG, GERMANY</t>
  </si>
  <si>
    <t xml:space="preserve">1865-0473</t>
  </si>
  <si>
    <t xml:space="preserve">1865-0481</t>
  </si>
  <si>
    <t xml:space="preserve">EARTH SCI INFORM</t>
  </si>
  <si>
    <t xml:space="preserve">Earth Sci. Inform.</t>
  </si>
  <si>
    <t xml:space="preserve">JAN</t>
  </si>
  <si>
    <t xml:space="preserve">10.1007/s12145-024-01616-9</t>
  </si>
  <si>
    <t xml:space="preserve">Computer Science, Interdisciplinary Applications; Geosciences, Multidisciplinary</t>
  </si>
  <si>
    <t xml:space="preserve">Science Citation Index Expanded (SCI-EXPANDED)</t>
  </si>
  <si>
    <t xml:space="preserve">Computer Science; Geology</t>
  </si>
  <si>
    <t xml:space="preserve">O7A1O</t>
  </si>
  <si>
    <t xml:space="preserve">2025-03-24</t>
  </si>
  <si>
    <t xml:space="preserve">WOS:001372600700003</t>
  </si>
  <si>
    <t xml:space="preserve"> </t>
  </si>
  <si>
    <t xml:space="preserve">Babaeian, E; Paheding, S; Siddique, N; Devabhaktuni, VK; Tuller, M</t>
  </si>
  <si>
    <t xml:space="preserve">Babaeian, Ebrahim; Paheding, Sidike; Siddique, Nahian; Devabhaktuni, Vijay K.; Tuller, Markus</t>
  </si>
  <si>
    <t xml:space="preserve">Short- and mid-term forecasts of actual evapotranspiration with deep learning</t>
  </si>
  <si>
    <t xml:space="preserve">JOURNAL OF HYDROLOGY</t>
  </si>
  <si>
    <t xml:space="preserve">Evapotranspiration; Forecasting; LSTM; ConvLSTM; Climate change; Deep learning</t>
  </si>
  <si>
    <t xml:space="preserve">CARBON-DIOXIDE; SOIL-MOISTURE; CROP EVAPOTRANSPIRATION; NEURAL-NETWORKS; HIGH-ELEVATION; ENERGY FLUXES; WEATHER DATA; MODEL; PRECIPITATION; MACHINE</t>
  </si>
  <si>
    <t xml:space="preserve">Evapotranspiration is a key component of the hydrologic cycle. Accurate short-, medium-, and long-term forecasts of actual evapotranspiration (ETa) are crucial not only for quantifying the impacts of climate change on the water and energy balance, but also for real-time estimation of crop water demand and irrigation water allocation in agriculture. Despite considerable advances in satellite remote sensing technology and the availability of long ground-measured and remotely sensed ETa timeseries, real-time ETa forecasts are deficient. Applying a state-of-the-art deep learning (DL) approach, Long Short-Term Memory (LSTM) models were employed to nowcast (realtime) and forecast (ahead of time) ETa based on (1) major meteorological and ground-measured (i.e., soil moisture) input variables and (2) long ETa time-series from the Moderate Resolution Imaging Spectmradiometer (MODIS) onboard of the NASA Aqua satellite. The conventional LSTM and convolutional LSTM (ConvLSTM) DL models were evaluated for seven distinct climatic zones across the contiguous United States. The employed LSTM and ConvLSTM models were trained and evaluated with data from the National Climate Assessment-Land Data Assimilation System (NCA-LDAS) and with MODIS/Aqua Net Evapotranspiration MYD16A2 product data. The obtained results indicate that when major atmospheric and soil moisture input variables are used for the conventional LSTM models, they yield accurate daily ETa forecasts for short (1, 3, and 7 days) and medium (30 days) time scales, with normalized root mean squared errors (NRMSE) and Nash-Sutcliffe efficiencies (NSE) of less than 10% and greater than 0.77, respectively. At the watershed scale, the univariate ConvLSTM models yielded accurate weekly spatiotemporal ETa forecasts (mean NRMSE less than 6.4% and NSE greater than 0.66) with higher computational efficiency for various climatic conditions. The employed models enable precise forecasts of both the current and future states of ETa, which is crucial for understanding the impact of climate change on rapidly depleting water resources.</t>
  </si>
  <si>
    <t xml:space="preserve">[Babaeian, Ebrahim] Univ Florida, Dept Soil Water &amp; Ecosyst Sci, Gainesville, FL 32611 USA; [Babaeian, Ebrahim; Tuller, Markus] Univ Arizona, Dept Environm Sci, Tucson, AZ 85721 USA; [Paheding, Sidike] Michigan Technol Univ, Dept Appl Comp, Houghton, MI 49931 USA; [Siddique, Nahian] Purdue Univ Northwest, Dept Elect &amp; Comp Engn, Hammond, IN 46323 USA; [Devabhaktuni, Vijay K.] Univ Maine, Dept Elect &amp; Comp Engn, Orono, ME 04469 USA</t>
  </si>
  <si>
    <t xml:space="preserve">State University System of Florida; University of Florida; University of Arizona; Michigan Technological University; Purdue University System; Purdue University Northwest; University of Maine System; University of Maine Orono</t>
  </si>
  <si>
    <t xml:space="preserve">Babaeian, E (corresponding author), Univ Florida, Dept Soil Water &amp; Ecosyst Sci, Gainesville, FL 32611 USA.</t>
  </si>
  <si>
    <t xml:space="preserve">ebabaeian@ufl.edu</t>
  </si>
  <si>
    <t xml:space="preserve">Tuller, Markus/H-1822-2012</t>
  </si>
  <si>
    <t xml:space="preserve">Tuller, Markus/0000-0003-3659-2768</t>
  </si>
  <si>
    <t xml:space="preserve">United States Department of Agriculture (USDA) National Institute of Food and Agriculture (NIFA) [2020-67019-31028]; USDA NIFA [ARZT-1370600-R21-189]</t>
  </si>
  <si>
    <t xml:space="preserve">United States Department of Agriculture (USDA) National Institute of Food and Agriculture (NIFA)(United States Department of Agriculture (USDA)); USDA NIFA(United States Department of Agriculture (USDA))</t>
  </si>
  <si>
    <t xml:space="preserve">The authors gratefully acknowledge support from the United States Department of Agriculture (USDA) National Institute of Food and Agriculture (NIFA) under grant #2020-67019-31028, and from the USDA NIFA Hatch/Multi-State project #ARZT-1370600-R21-189.</t>
  </si>
  <si>
    <t xml:space="preserve">ELSEVIER</t>
  </si>
  <si>
    <t xml:space="preserve">AMSTERDAM</t>
  </si>
  <si>
    <t xml:space="preserve">RADARWEG 29, 1043 NX AMSTERDAM, NETHERLANDS</t>
  </si>
  <si>
    <t xml:space="preserve">0022-1694</t>
  </si>
  <si>
    <t xml:space="preserve">1879-2707</t>
  </si>
  <si>
    <t xml:space="preserve">J HYDROL</t>
  </si>
  <si>
    <t xml:space="preserve">J. Hydrol.</t>
  </si>
  <si>
    <t xml:space="preserve">A</t>
  </si>
  <si>
    <t xml:space="preserve">10.1016/j.jhydrol.2022.128078</t>
  </si>
  <si>
    <t xml:space="preserve">Engineering, Civil; Geosciences, Multidisciplinary; Water Resources</t>
  </si>
  <si>
    <t xml:space="preserve">Engineering; Geology; Water Resources</t>
  </si>
  <si>
    <t xml:space="preserve">3J6QZ</t>
  </si>
  <si>
    <t xml:space="preserve">Bronze</t>
  </si>
  <si>
    <t xml:space="preserve">WOS:000833519900005</t>
  </si>
  <si>
    <t xml:space="preserve">Wang, XS; Gao, B; Wang, XS</t>
  </si>
  <si>
    <t xml:space="preserve">Wang, Xiaoshu; Gao, Bing; Wang, Xu-Sheng</t>
  </si>
  <si>
    <t xml:space="preserve">Investigating the ability of deep learning on actual evapotranspiration estimation in the scarcely observed region</t>
  </si>
  <si>
    <t xml:space="preserve">Evapotranspiration; Deep learning; The Qinghai-Tibetan Plateau; Multi-source Learning; Scarcely observed region</t>
  </si>
  <si>
    <t xml:space="preserve">ARTIFICIAL NEURAL-NETWORK; TIBETAN PLATEAU; CARBON-DIOXIDE; EVAPORATION; MODELS; REGRESSION; FLUXES</t>
  </si>
  <si>
    <t xml:space="preserve">The estimation of actual evapotranspiration is a difficult issue in hydrological research, particularly in the scarcely observed region. Deep learning (DL) has been increasingly used in the field of hydrology in recent years. In this study, we investigated the ability of DL on actual evapotranspiration estimation using three sets of controlled experiments at a typical region with scarce observations, the Qinghai-Tibetan Plateau. The results suggest that the DL model can utilize a few key types of observation data to simulate actual evapotranspiration, and more in-situ observation data types did not significantly improve the accuracy of DL simulations. A multisource DL model established by integrating data from distantly distributed stations showed a better performance than the model built separately using data at individual sites. Moreover, further analysis of climate pattern and input data correlation was conducted for the similarity of stations for multi-source learning of the DL model. Using inputs in the lead-time period can improve the simulation of daily ET by DL. Compared with traditional process-based physical methods, the DL model is more flexible to simulate actual evapotranspiration in areas with insufficient observed data such as the Qinghai-Tibetan Plateau. The results of this study highlight the potential power of DL model to improve the actual evapotranspiration estimation in the scarcely observed region.</t>
  </si>
  <si>
    <t xml:space="preserve">[Wang, Xiaoshu; Gao, Bing] China Univ Geosci, Minist Educ, Key Lab Groundwater Circulat &amp; Environm Evolut, Beijing 100083, Peoples R China; [Wang, Xiaoshu; Gao, Bing; Wang, Xu-Sheng] China Univ Geosci, Sch Water Resources &amp; Environm, Beijing 100083, Peoples R China; [Wang, Xu-Sheng] China Univ Geosci, Beijing Key Lab Water Resources &amp; Environm Engn, Beijing 100083, Peoples R China</t>
  </si>
  <si>
    <t xml:space="preserve">China University of Geosciences; China University of Geosciences; China University of Geosciences</t>
  </si>
  <si>
    <t xml:space="preserve">Gao, B (corresponding author), China Univ Geosci, Minist Educ, Key Lab Groundwater Circulat &amp; Environm Evolut, Beijing 100083, Peoples R China.;Gao, B (corresponding author), China Univ Geosci, Sch Water Resources &amp; Environm, Beijing 100083, Peoples R China.</t>
  </si>
  <si>
    <t xml:space="preserve">gb03@cugb.edu.cn</t>
  </si>
  <si>
    <t xml:space="preserve">National Natural Science Foundation of China [41630856, 41661144031]</t>
  </si>
  <si>
    <t xml:space="preserve">National Natural Science Foundation of China(National Natural Science Foundation of China (NSFC))</t>
  </si>
  <si>
    <t xml:space="preserve">This research was supported by the National Natural Science Foundation of China (grant nos. 41630856, 41661144031) . The observed data from 6 stations are available from the website http://data.tpdc.ac. cn. The LSTM was run using the MATLAB R2020b version of the Deep learning toolbox-LSTM layer.</t>
  </si>
  <si>
    <t xml:space="preserve">APR</t>
  </si>
  <si>
    <t xml:space="preserve">10.1016/j.jhydrol.2022.127506</t>
  </si>
  <si>
    <t xml:space="preserve">FEB 2022</t>
  </si>
  <si>
    <t xml:space="preserve">0Y6LW</t>
  </si>
  <si>
    <t xml:space="preserve">WOS:000790501400004</t>
  </si>
  <si>
    <t xml:space="preserve">Troncoso-García, AR; Brito, IS; Troncoso, A; Martinez-Alvarez, F</t>
  </si>
  <si>
    <t xml:space="preserve">Troncoso-Garcia, A. R.; Brito, I. S.; Troncoso, A.; Martinez-Alvarez, F.</t>
  </si>
  <si>
    <t xml:space="preserve">Explainable hybrid deep learning and Coronavirus Optimization Algorithm for improving evapotranspiration forecasting</t>
  </si>
  <si>
    <t xml:space="preserve">COMPUTERS AND ELECTRONICS IN AGRICULTURE</t>
  </si>
  <si>
    <t xml:space="preserve">XAI; Deep learning; Evapotranspiration forecasting; Hyperparameter optimization</t>
  </si>
  <si>
    <t xml:space="preserve">MODEL</t>
  </si>
  <si>
    <t xml:space="preserve">Reference evapotranspiration is a critical hydrological measurement closely associated with agriculture. Accurate forecasting is vital in effective water management and crop planning in sustainable agriculture. In this study, the future values of reference evapotranspiration are forecasted by applying a recurrent long short-term memory neural network optimized using the Coronavirus Optimization Algorithm, a novel bioinspired metaheuristic based on the spread of COVID-19. The input data is sourced from the Sistema Agrometeorologico para a Gestao da Rega no Alentejo, in Portugal, with meteorological data such as air temperature or wind speed. Several baseline models are applied to the same problem to facilitate comparisons, including support vector machines, multi-layer perceptron, Lasso and decision tree. The results demonstrate the successful forecasting performance of the proposed model and its potential in this field. In turn, to gain deeper insights into the model's inner workings, the SHapley Additive exPlanation tool is applied for explainability. Consequently, the study identifies the most relevant variables for reference evapotranspiration forecasting, including previously measured evapotranspiration values. Additionally, a univariable model is tested using historic evapotranspiration values as input, offering a comparable performance with a considerable reduction of computational time.</t>
  </si>
  <si>
    <t xml:space="preserve">[Troncoso-Garcia, A. R.; Troncoso, A.; Martinez-Alvarez, F.] Pablo Olavide Univ, Data Sci &amp; Big Data Lab, ES-41013 Seville, Spain; [Brito, I. S.] Inst Politecn Beja, Escola Super TeOl &amp; Gestao, P-7800295 Beja, Portugal; [Brito, I. S.] Ctr Technol &amp; Syst UNINOVA CTS, P-2829516 Caparica, Portugal; [Brito, I. S.] Associated Lab Intelligent Syst LASI, P-2829516 Caparica, Portugal</t>
  </si>
  <si>
    <t xml:space="preserve">Universidad Pablo de Olavide; Instituto Politecnico de Beja</t>
  </si>
  <si>
    <t xml:space="preserve">Troncoso-García, AR (corresponding author), Pablo Olavide Univ, Data Sci &amp; Big Data Lab, ES-41013 Seville, Spain.</t>
  </si>
  <si>
    <t xml:space="preserve">artrogar@upo.es; isabel.sofia@ipbeja.pt; atrolor@upo.es; fmaralv@upo.es</t>
  </si>
  <si>
    <t xml:space="preserve">Brito, Isabel/M-2410-2019; Martínez-Álvarez, Francisco/L-5121-2014; Troncoso, Alicia/L-2648-2016</t>
  </si>
  <si>
    <t xml:space="preserve">Troncoso, Alicia/0000-0002-9801-7999; Brito, Isabel Sofia/0000-0002-7556-4367; Martinez-Alvarez, Francisco/0000-0002-6309-1785</t>
  </si>
  <si>
    <t xml:space="preserve">Spanish Ministry of Science and Innovation [PID2020-117954RB-C21, TED2021-131311B-C22]; Fundacao para a Ciencia e a Tecnologia (FCT) [UIDB/00066/2020]</t>
  </si>
  <si>
    <t xml:space="preserve">Spanish Ministry of Science and Innovation(Ministry of Science and Innovation, Spain (MICINN)Spanish Government); Fundacao para a Ciencia e a Tecnologia (FCT)(Fundacao para a Ciencia e a Tecnologia (FCT))</t>
  </si>
  <si>
    <t xml:space="preserve">The authors would like to thank the Spanish Ministry of Science and Innovation for the support within the projects PID2020-117954RB-C21 and TED2021-131311B-C22 as well as thank the Centro Operativo e de Tecnologia de Regadio (COTR) for giving access to data and the Portuguese Agency Fundacao para a Ciencia e a Tecnologia (FCT) in the framework of the project UIDB/00066/2020.</t>
  </si>
  <si>
    <t xml:space="preserve">ELSEVIER SCI LTD</t>
  </si>
  <si>
    <t xml:space="preserve">London</t>
  </si>
  <si>
    <t xml:space="preserve">125 London Wall, London, ENGLAND</t>
  </si>
  <si>
    <t xml:space="preserve">0168-1699</t>
  </si>
  <si>
    <t xml:space="preserve">1872-7107</t>
  </si>
  <si>
    <t xml:space="preserve">COMPUT ELECTRON AGR</t>
  </si>
  <si>
    <t xml:space="preserve">Comput. Electron. Agric.</t>
  </si>
  <si>
    <t xml:space="preserve">DEC</t>
  </si>
  <si>
    <t xml:space="preserve">10.1016/j.compag.2023.108387</t>
  </si>
  <si>
    <t xml:space="preserve">NOV 2023</t>
  </si>
  <si>
    <t xml:space="preserve">Agriculture, Multidisciplinary; Computer Science, Interdisciplinary Applications</t>
  </si>
  <si>
    <t xml:space="preserve">Agriculture; Computer Science</t>
  </si>
  <si>
    <t xml:space="preserve">Z3ZG1</t>
  </si>
  <si>
    <t xml:space="preserve">WOS:001111487000001</t>
  </si>
  <si>
    <t xml:space="preserve">Sun, YX; Dong, YR; Chen, YF</t>
  </si>
  <si>
    <t xml:space="preserve">Sun, Yongxi; Dong, Yuru; Chen, Yanfei</t>
  </si>
  <si>
    <t xml:space="preserve">Global evapotranspiration simulation research using a coupled deep learning algorithm with physical mechanisms</t>
  </si>
  <si>
    <t xml:space="preserve">IRRIGATION AND DRAINAGE</t>
  </si>
  <si>
    <t xml:space="preserve">actual evapotranspiration; deep learning; physically coupled; temporal convolutional network; evapotranspiration reelle; reseau convolutif temporel; apprentissage profond; couplage physique</t>
  </si>
  <si>
    <t xml:space="preserve">MODEL; VARIABILITY; CARBON; FLUX</t>
  </si>
  <si>
    <t xml:space="preserve">Evapotranspiration (ET) and actual evapotranspiration (AET) serve as critical parameters in the water vapour exchange between terrestrial surfaces and the atmosphere. ET denotes the theoretical maximum evapotranspiration achievable under ideal conditions, whereas AET represents the actual evapotranspiration observed, factoring in the constraints imposed by available water resources. Precise estimation of AET is imperative for the optimization of water resource management and the advancement of sustainable development initiatives. In recent years, deep learning techniques have been extensively utilized in AET estimation. However, traditional deep learning models often lack the incorporation of essential physical constraints. We proceeded to enhance the loss function of the temporal convolutional network (TCN) by taking into account the physical relationships that exist among soil water content (SWC), potential evapotranspiration (PET) and AET, thereby introducing a novel physically coupled deep learning model (AET, SWC after kernel principal component analysis, PET, TCN and AKP-TCN), and checked the rationality of the model with the FLUXNET 2015 dataset. These findings underscore that the AKP-TCN model exhibits heightened sensitivity to peak fluctuations in AET under the imposition of physical constraints. This approach notably enhances the precision of AET simulations in areas marked by complex and variable climatic conditions, such as the Mediterranean climate zone and Oceania, achieving determination coefficient (R2) values surpassing the threshold of 0.900. Compared to traditional models, which include long short-term memory (LSTM), convolutional neural networks (CNN) and TCN, the AKP-TCN delivers substantial R2 improvements of 16%, 16% and 9%, respectively. This advancement offers a novel perspective for coupling deep learning with physical mechanisms. L'evapotranspiration (ET) et l'evapotranspiration reelle (AET) sont des parametres essentiels de l'echange de vapeur d'eau entre les surfaces terrestres et l'atmosphere. L'ET represente l'evapotranspiration maximale theorique realisable dans des conditions ideales, tandis que l'AET represente l'evapotranspiration reelle observee, en tenant compte de la limitation des ressources en eau disponibles. Une estimation precise de l'AET est essentielle pour optimiser la gestion des ressources en eau et faire progresser les initiatives de developpement durable. Ces dernieres annees, les techniques d'apprentissage profond ont ete largement appliquees pour l'estimation de l'AET. Cependant, les modeles traditionnels d'apprentissage profond ne tiennent generalement pas compte des contraintes physiques essentielles. Nous avons augmente la fonction de perte du reseau convolutif temporel (TCN) en tenant compte des relations physiques qui existent entre la teneur en eau du sol (SWC), l'evapotranspiration potentielle (PET) et l'AET, introduisant ainsi un nouveau modele d'apprentissage profond couple physiquement (AET, SWC apres l'analyse en composantes principales du noyau; PET, TCN, et AKP-TCN) et verifie la rationalite du modele avec l'ensemble de donnees FLUXNET 2015. Ces resultats soulignent que le modele AKP-TCN presente une plus grande sensibilite aux fluctuations maximales de l'AET lorsque des contraintes physiques sont imposees. La methode ameliore significativement la precision des simulations d'AET dans les regions aux conditions climatiques complexes et variables, telles que la zone climatique mediterraneenne et l'Oceanie, avec des valeurs de coefficient de determination R2 depassant le seuil de 0,900. Par rapport aux modeles traditionnels qui comprennent la memoire a long terme (LSTM), les reseaux neuronaux convolutifs (CNN) et les TCN, le R2 de l'AKP-TCN s'est ameliore de 16%, 16% et 9%, respectivement. Ces progres offrent une nouvelle perspective sur le couplage de l'apprentissage profond avec les mecanismes physiques.</t>
  </si>
  <si>
    <t xml:space="preserve">[Sun, Yongxi; Dong, Yuru; Chen, Yanfei] Yangtze Univ, Hubei Key Lab Petr Geochem &amp; Environm, Wuhan, Peoples R China; [Chen, Yanfei] Yangtze Univ, Hubei Key Lab Petr Geochem &amp; Environm, Wuhan 430100, Peoples R China</t>
  </si>
  <si>
    <t xml:space="preserve">Yangtze University; Yangtze University</t>
  </si>
  <si>
    <t xml:space="preserve">Chen, YF (corresponding author), Yangtze Univ, Hubei Key Lab Petr Geochem &amp; Environm, Wuhan 430100, Peoples R China.</t>
  </si>
  <si>
    <t xml:space="preserve">yanfeichen@yangtzeu.edu.cn</t>
  </si>
  <si>
    <t xml:space="preserve">Hubei Key Laboratory of Intelligent Yangtze and Hydroelectric Science; Hubei Key Laboratory of Intelligent Yangtze and Hydroelectric Science, China Yangtze Power Co., Ltd.; Open Research Fund</t>
  </si>
  <si>
    <t xml:space="preserve">We thank the Hubei Key Laboratory of Intelligent Yangtze and Hydroelectric Science, China Yangtze Power Co., Ltd., Open Research Fund for financially supporting this study.</t>
  </si>
  <si>
    <t xml:space="preserve">WILEY</t>
  </si>
  <si>
    <t xml:space="preserve">HOBOKEN</t>
  </si>
  <si>
    <t xml:space="preserve">111 RIVER ST, HOBOKEN 07030-5774, NJ USA</t>
  </si>
  <si>
    <t xml:space="preserve">1531-0353</t>
  </si>
  <si>
    <t xml:space="preserve">1531-0361</t>
  </si>
  <si>
    <t xml:space="preserve">IRRIG DRAIN</t>
  </si>
  <si>
    <t xml:space="preserve">Irrig. Drain.</t>
  </si>
  <si>
    <t xml:space="preserve">OCT</t>
  </si>
  <si>
    <t xml:space="preserve">10.1002/ird.2942</t>
  </si>
  <si>
    <t xml:space="preserve">FEB 2024</t>
  </si>
  <si>
    <t xml:space="preserve">Agronomy; Water Resources</t>
  </si>
  <si>
    <t xml:space="preserve">Agriculture; Water Resources</t>
  </si>
  <si>
    <t xml:space="preserve">J8C9B</t>
  </si>
  <si>
    <t xml:space="preserve">WOS:001175300600001</t>
  </si>
  <si>
    <t xml:space="preserve">Sharma, G; Singh, A; Jain, S</t>
  </si>
  <si>
    <t xml:space="preserve">Sharma, Gitika; Singh, Ashima; Jain, Sushma</t>
  </si>
  <si>
    <t xml:space="preserve">DeepEvap: Deep reinforcement learning based ensemble approach for estimating reference evapotranspiration</t>
  </si>
  <si>
    <t xml:space="preserve">APPLIED SOFT COMPUTING</t>
  </si>
  <si>
    <t xml:space="preserve">Reference evapotranspiration; Limited climate data; Deep reinforcement learning; Deep neural network; Ensemble learning</t>
  </si>
  <si>
    <t xml:space="preserve">SUPPORT-VECTOR-MACHINE; LIMITED METEOROLOGICAL DATA; NEURAL-NETWORKS; MODELS; SVM; ALGORITHM; CLASSIFIER; PREDICTION; ELM; ANN</t>
  </si>
  <si>
    <t xml:space="preserve">Precision agriculture aims to increase crop yield by employing an efficient resource management scheme, such as estimating irrigation requirements. Reference evapotranspiration (ET0), defined as the process of water loss from the soil and reference plant, is one of the indispensable components on which crop irrigation requirement depends. It is mainly calculated by using empirical models. However, these models require a large climate dataset that is sometimes unavailable in data-scarce regions. The present study focuses on the estimation of ET0 values by using three climate parameters as input variables i.e., minimum temperature (T-min), maximum temperature (T-max), and solar radiation (R-s). Moreover, to consider the effect of time-varying characteristics of the ET0 process, deep reinforcement learning (DRL) based ensemble approach, DeepEvap, is introduced to estimate ET0 values. The whole modeling procedure of the proposed ensemble model incorporates three phases. In phase I, the data preprocessing technique is performed on the meteorological data to clean the existing impurities as it affects the performance of any machine learning (ML) based approach. In phase II, four different deep neural network-based models are used to build the estimation model of ET0 and calculate the prediction results. In phase III, the DRL approach is used to ensemble the prediction results of these four models. The meteorological dataset of two stations of India: Ludhiana and Patiala, is selected to validate the proposed approach. The results of the conducted study depict that: (a) The proposed DeepEvap approach is competitive for ET0 prediction by achieving a coefficient of determination (R-2) = 0.96. It significantly outperforms four baseline models; (b) The proposed technique also integrates four deep neural network models and works better than existing ensemble approaches. (C) 2022 Elsevier B.V. All rights reserved.</t>
  </si>
  <si>
    <t xml:space="preserve">[Sharma, Gitika; Singh, Ashima; Jain, Sushma] Thapar Inst Engn &amp; Technol, Dept Comp Sci, Patiala, Punjab, India</t>
  </si>
  <si>
    <t xml:space="preserve">Thapar Institute of Engineering &amp; Technology</t>
  </si>
  <si>
    <t xml:space="preserve">Sharma, G (corresponding author), Thapar Inst Engn &amp; Technol, Dept Comp Sci, Patiala, Punjab, India.</t>
  </si>
  <si>
    <t xml:space="preserve">gsharma60_phd18@thapar.edu; ashima@thapar.edu; sjain@thapar.edu</t>
  </si>
  <si>
    <t xml:space="preserve">Sharma, Gitika/GPX-5577-2022; Jain, Sushma/AGR-4480-2022</t>
  </si>
  <si>
    <t xml:space="preserve">sharma, Gitika/0000-0002-6390-327X</t>
  </si>
  <si>
    <t xml:space="preserve">1568-4946</t>
  </si>
  <si>
    <t xml:space="preserve">1872-9681</t>
  </si>
  <si>
    <t xml:space="preserve">APPL SOFT COMPUT</t>
  </si>
  <si>
    <t xml:space="preserve">Appl. Soft. Comput.</t>
  </si>
  <si>
    <t xml:space="preserve">AUG</t>
  </si>
  <si>
    <t xml:space="preserve">10.1016/j.asoc.2022.109113</t>
  </si>
  <si>
    <t xml:space="preserve">Computer Science, Artificial Intelligence; Computer Science, Interdisciplinary Applications</t>
  </si>
  <si>
    <t xml:space="preserve">Computer Science</t>
  </si>
  <si>
    <t xml:space="preserve">3M8YM</t>
  </si>
  <si>
    <t xml:space="preserve">WOS:000835742800008</t>
  </si>
  <si>
    <t xml:space="preserve">Saggi, MK; Jain, S</t>
  </si>
  <si>
    <t xml:space="preserve">Saggi, Mandeep Kaur; Jain, Sushma</t>
  </si>
  <si>
    <t xml:space="preserve">Reference evapotranspiration estimation and modeling of the Punjab Northern India using deep learning</t>
  </si>
  <si>
    <t xml:space="preserve">Deep learning; Data analytics; GBM; Evapotranspiration; MissForest</t>
  </si>
  <si>
    <t xml:space="preserve">LIMITED CLIMATIC DATA; NEURAL-NETWORK; PREDICTION; REGRESSION; IMPUTATION; VALUES; ANFIS; SVM</t>
  </si>
  <si>
    <t xml:space="preserve">Over the last decade, the combination of both big data and machine learning research area's receiving considerable attention and expedite the prospect of the agricultural industry. This research aims to gain insights into a state-of-the-art big data application in smart farming. An essential issue for agriculture planning is to estimate evapotranspiration accurately because it plays a pivotal role in irrigation water scheduling for using water efficiently. This article presents H2O model framework to determine the daily ET0 for Hoshiarpur and Patiala districts of Punjab. The effects of four supervised learning algorithms: Deep Learning-Multilayer Perceptrons (DL), Generalized Linear Model (GLM), Random Forest (RF), and Gradient-Boosting Machine (GBM) and also evaluate the overall ability to predict future ET0. Analysis of these four models, perform in H2O framework. This framework presents a new criterion to train, validate, test and improve the classification efficiency using machine learning algorithms. The performance of the DL model is compared with other state-of-art of models such as RF, GLM and GBM. In this respect, our analysis depicts that models presents high performance for modeling daily ET0, (e.g. NSE = 0.95-0.98, r(2) = 0.95-0.99, ACC = 85-95, MSE = 0.0369-0.1215, RMSE = 0.1921-0.2691).</t>
  </si>
  <si>
    <t xml:space="preserve">[Saggi, Mandeep Kaur; Jain, Sushma] Thapar Inst Engn &amp; Technol, Dept Comp Sci, Patiala, Punjab, India</t>
  </si>
  <si>
    <t xml:space="preserve">Saggi, MK (corresponding author), Thapar Inst Engn &amp; Technol, Dept Comp Sci, Patiala, Punjab, India.</t>
  </si>
  <si>
    <t xml:space="preserve">mandeepsaggi90@gmail.com</t>
  </si>
  <si>
    <t xml:space="preserve">Jain, Sushma/AGR-4480-2022; Kaur, Mandeep/AAS-7505-2020</t>
  </si>
  <si>
    <t xml:space="preserve">Kaur, Mandeep/0000-0003-1428-6073</t>
  </si>
  <si>
    <t xml:space="preserve">10.1016/j.compag.2018.11.031</t>
  </si>
  <si>
    <t xml:space="preserve">HI9CY</t>
  </si>
  <si>
    <t xml:space="preserve">WOS:000456754100038</t>
  </si>
  <si>
    <t xml:space="preserve">Akar, F; Katipoglu, OM; Yesilyurt, SN; Tas, MBH</t>
  </si>
  <si>
    <t xml:space="preserve">Akar, Funda; Katipoglu, Okan Mert; Yesilyurt, Sefa Nur; Tas, Mehmet Bilge Han</t>
  </si>
  <si>
    <t xml:space="preserve">Evaluation of Tree-Based Machine Learning and Deep Learning Techniques in Temperature-Based Potential Evapotranspiration Prediction</t>
  </si>
  <si>
    <t xml:space="preserve">POLISH JOURNAL OF ENVIRONMENTAL STUDIES</t>
  </si>
  <si>
    <t xml:space="preserve">potential evapotranspiration; Thornthwaite equation; machine learning; deep learning; meteorological data</t>
  </si>
  <si>
    <t xml:space="preserve">CLIMATIC DATA; MODEL; ERROR</t>
  </si>
  <si>
    <t xml:space="preserve">In this study, Extreme Gradient Boosting (XGBoost), Gradient Boosting Machine (GBM), Random Forest (RF), Bagged Trees (BT), and Custom Deep Learning methods were used to estimate the potential evapotranspiration (PET) values at Diyarbakir airport station in the Tigris basin. In establishing the models, the average temperature, maximum temperature, minimum temperature, maximum wind speed, relative humidity, average wind speed, and total precipitation values in the monthly time period were chosen as inputs, and PET values were used as output. The data set is divided into 70% training and 30% testing. 10-fold cross-validation to avoid overfitting problems. Training and test data were randomly selected. The prediction performances of the models were evaluated according to the statistical criteria of determination coefficient (R2), root mean square error (RMSE), mean absolute error (MAE), and rank analysis. The best PET estimates were obtained using the inputs of mean, min, maximum temperature, relative humidity, total precipitation, average, and maximum wind speed. It was also concluded that XGBoost was the highest performance. When the R2 values were examined, it was seen that the Deep Learning model had higher performance. But for RMSE and MAE, XGBoost did better. As a result of the rank analysis, it was seen that XGBoost got a higher score.</t>
  </si>
  <si>
    <t xml:space="preserve">[Akar, Funda; Tas, Mehmet Bilge Han] Erzincan Binali Yildirim Univ, Dept Comp Engn, Erzincan, Turkiye; [Katipoglu, Okan Mert; Yesilyurt, Sefa Nur] Erzincan Binali Yildirim Univ, Dept Civil Engn, Erzincan, Turkiye</t>
  </si>
  <si>
    <t xml:space="preserve">Erzincan Binali Yildirim University; Erzincan Binali Yildirim University</t>
  </si>
  <si>
    <t xml:space="preserve">Katipoglu, OM (corresponding author), Erzincan Binali Yildirim Univ, Dept Civil Engn, Erzincan, Turkiye.</t>
  </si>
  <si>
    <t xml:space="preserve">okatipoglu@erzincan.edu.tr</t>
  </si>
  <si>
    <t xml:space="preserve">akar, funda/A-4976-2018; yesilyurt, sefa nur/ACZ-1130-2022; TAŞ, Mehmet Bilge Han/HKM-7324-2023; Katipoğlu, Okan/AAQ-2658-2020</t>
  </si>
  <si>
    <t xml:space="preserve">AKAR, FUNDA/0000-0001-9376-8710; YESILYURT, Sefa Nur/0000-0001-6173-3038; Tas, Mehmet Bilge Han/0000-0001-6135-1849</t>
  </si>
  <si>
    <t xml:space="preserve">HARD</t>
  </si>
  <si>
    <t xml:space="preserve">OLSZTYN 5</t>
  </si>
  <si>
    <t xml:space="preserve">POST-OFFICE BOX, 10-718 OLSZTYN 5, POLAND</t>
  </si>
  <si>
    <t xml:space="preserve">1230-1485</t>
  </si>
  <si>
    <t xml:space="preserve">2083-5906</t>
  </si>
  <si>
    <t xml:space="preserve">POL J ENVIRON STUD</t>
  </si>
  <si>
    <t xml:space="preserve">Pol. J. Environ. Stud.</t>
  </si>
  <si>
    <t xml:space="preserve">10.15244/pjoes/156927</t>
  </si>
  <si>
    <t xml:space="preserve">Environmental Sciences</t>
  </si>
  <si>
    <t xml:space="preserve">Environmental Sciences &amp; Ecology</t>
  </si>
  <si>
    <t xml:space="preserve">L1AY5</t>
  </si>
  <si>
    <t xml:space="preserve">gold</t>
  </si>
  <si>
    <t xml:space="preserve">WOS:001020663500004</t>
  </si>
  <si>
    <t xml:space="preserve">C</t>
  </si>
  <si>
    <t xml:space="preserve">Liyew, CM; Meo, R; Di Nardo, E; Ferraris, S</t>
  </si>
  <si>
    <t xml:space="preserve">ACM</t>
  </si>
  <si>
    <t xml:space="preserve">Liyew, Chalachew Muluken; Meo, Rosa; Di Nardo, Elvira; Ferraris, Stefano</t>
  </si>
  <si>
    <t xml:space="preserve">Multivariate Time Series Evapotranspiration Forecasting using Machine Learning Techniques</t>
  </si>
  <si>
    <t xml:space="preserve">38TH ANNUAL ACM SYMPOSIUM ON APPLIED COMPUTING, SAC 2023</t>
  </si>
  <si>
    <t xml:space="preserve">Proceedings Paper</t>
  </si>
  <si>
    <t xml:space="preserve">38th Annual ACM Symposium on Applied Computing (ACM SAC)</t>
  </si>
  <si>
    <t xml:space="preserve">MAR 27-31, 2023</t>
  </si>
  <si>
    <t xml:space="preserve">Tallinn, ESTONIA</t>
  </si>
  <si>
    <t xml:space="preserve">Assoc Comp Machinery,ACM Special Interest Grp Appl Comp</t>
  </si>
  <si>
    <t xml:space="preserve">evapotranspiration; deep learning; machine learning; multivariate time series analysis</t>
  </si>
  <si>
    <t xml:space="preserve">POTENTIAL EVAPOTRANSPIRATION</t>
  </si>
  <si>
    <t xml:space="preserve">The actual evapotranspiration (AET) could be forecasted using meteorological variables to manage and plan water resources even though it is challenging to choose the relevant variables for prediction. The Pearson correlation method was applied to select candidate variables and further, tolerance and VIF scores are implemented to avoid multicollinearity problems among variables. As a result, five relevant variables are selected for training the AET prediction models. In this paper, we proposed three methods for forecasting AET: (i) deep learning-based (LSTM, GRU, and CNN), (ii) classical machine learning (SVR and RF), and (iii) a statistical technique (SARIMAX). The performance of each model is measured with statistical indicators (RMSE, MSE, MAE, and R-2). The results showed that relatively high performance is measured in the LSTM model.</t>
  </si>
  <si>
    <t xml:space="preserve">[Liyew, Chalachew Muluken; Meo, Rosa] Univ Torino, Dip Informat, Turin, Italy; [Di Nardo, Elvira] Univ Torino, Dip Matemat G Peano, Turin, Italy; [Ferraris, Stefano] Politecn Torino, DIST, Turin, Italy; [Ferraris, Stefano] Univ Torino, Turin, Italy</t>
  </si>
  <si>
    <t xml:space="preserve">University of Turin; University of Turin; Polytechnic University of Turin; University of Turin</t>
  </si>
  <si>
    <t xml:space="preserve">Liyew, CM (corresponding author), Univ Torino, Dip Informat, Turin, Italy.</t>
  </si>
  <si>
    <t xml:space="preserve">ferraris, stefano/D-5280-2011; Meo, Rosa/KIY-1139-2024</t>
  </si>
  <si>
    <t xml:space="preserve">Meo, Rosa/0000-0002-0434-4850; ferraris, stefano/0000-0001-8544-6199; Liyew, Chalachew Muluken/0000-0003-4031-8032; Di Nardo, Elvira/0000-0003-3447-9155</t>
  </si>
  <si>
    <t xml:space="preserve">ASSOC COMPUTING MACHINERY</t>
  </si>
  <si>
    <t xml:space="preserve">NEW YORK</t>
  </si>
  <si>
    <t xml:space="preserve">1601 Broadway, 10th Floor, NEW YORK, NY, UNITED STATES</t>
  </si>
  <si>
    <t xml:space="preserve">978-1-4503-9517-5</t>
  </si>
  <si>
    <t xml:space="preserve">10.1145/3555776.3577838</t>
  </si>
  <si>
    <t xml:space="preserve">Computer Science, Interdisciplinary Applications; Computer Science, Theory &amp; Methods</t>
  </si>
  <si>
    <t xml:space="preserve">Conference Proceedings Citation Index - Science (CPCI-S)</t>
  </si>
  <si>
    <t xml:space="preserve">BW2SJ</t>
  </si>
  <si>
    <t xml:space="preserve">WOS:001124308100054</t>
  </si>
  <si>
    <t xml:space="preserve">Pino-Vargas, E; Taya-Acosta, E; Ingol-Blanco, E; Torres-Rúa, A</t>
  </si>
  <si>
    <t xml:space="preserve">Pino-Vargas, Edwin; Taya-Acosta, Edgar; Ingol-Blanco, Eusebio; Torres-Rua, Alfonso</t>
  </si>
  <si>
    <t xml:space="preserve">Deep Machine Learning for Forecasting Daily Potential Evapotranspiration in Arid Regions, Case: Atacama Desert Header</t>
  </si>
  <si>
    <t xml:space="preserve">AGRICULTURE-BASEL</t>
  </si>
  <si>
    <t xml:space="preserve">evapotranspiration; forecasting; machine learning; deep learning; arid zones</t>
  </si>
  <si>
    <t xml:space="preserve">EVAPORATION; CLIMATES; CROP</t>
  </si>
  <si>
    <t xml:space="preserve">Accurately estimating and forecasting evapotranspiration is one of the most important tasks to strengthen water resource management, especially in desert areas such as La Yarada, Tacna, Peru, a region located at the head of the Atacama Desert. In this study, we used temperature, humidity, wind speed, air pressure, and solar radiation from a local weather station to forecast potential evapotranspiration (ETo) using machine learning. The Feedforward Neural Network (Multi-Layered Perceptron) algorithm for prediction was used under two approaches: direct and indirect. In the first one, the ETo is predicted based on historical records, and the second one predicts the climate variables upon which the ETo calculation depends, for which the Penman-Monteith, Hargreaves-Samani, Ritchie, and Turc equations were used. The results were evaluated using statistical criteria to calculate errors, showing remarkable precision, predicting up to 300 days of ETo. Comparing the performance of the approaches and the machine learning used, the results obtained indicate that, despite the similar performance of the two proposed approaches, the indirect approach provides better ETo forecasting capabilities for longer time intervals than the direct approach, whose values of the corresponding metrics are MAE = 0.033, MSE = 0.002, RMSE = 0.043 and RAE = 0.016.</t>
  </si>
  <si>
    <t xml:space="preserve">[Pino-Vargas, Edwin] Jorge Basadre Grohmann Natl Univ, Dept Civil Engn, Tacna 23000, Peru; [Taya-Acosta, Edgar] Jorge Basadre Grohmann Natl Univ, Dept Comp Engn &amp; Syst, Tacna 23000, Peru; [Ingol-Blanco, Eusebio] Natl Agr Univ La Molina, Dept Water Resources, Lima 15012, Peru; [Torres-Rua, Alfonso] Utah State Univ, Civil &amp; Environm Dept, Utah Water Res Lab, Logan, UT 84322 USA</t>
  </si>
  <si>
    <t xml:space="preserve">Universidad Nacional Jorge Basadre Grohmann; Universidad Nacional Jorge Basadre Grohmann; Universidad Nacional Agraria La Molina; Utah System of Higher Education; Utah State University</t>
  </si>
  <si>
    <t xml:space="preserve">Pino-Vargas, E (corresponding author), Jorge Basadre Grohmann Natl Univ, Dept Civil Engn, Tacna 23000, Peru.;Taya-Acosta, E (corresponding author), Jorge Basadre Grohmann Natl Univ, Dept Comp Engn &amp; Syst, Tacna 23000, Peru.</t>
  </si>
  <si>
    <t xml:space="preserve">epinov@unjbg.edu.pe; etayaa@unjbg.edu.pe</t>
  </si>
  <si>
    <t xml:space="preserve">Torres, Alfonso/H-3998-2012; Ingol, Eusebio/KHU-5322-2024; Pino-Vargas, Edwin/K-5205-2019; Taya-Acosta, Edgar Aurelio/AEN-5528-2022</t>
  </si>
  <si>
    <t xml:space="preserve">Pino-Vargas, Edwin/0000-0001-7432-4364; Torres-Rua, Alfonso/0000-0002-2238-9550; Taya-Acosta, Edgar Aurelio/0000-0002-1822-5414; Ingol-Blanco, Eusebio/0000-0002-0421-399X</t>
  </si>
  <si>
    <t xml:space="preserve">MDPI</t>
  </si>
  <si>
    <t xml:space="preserve">BASEL</t>
  </si>
  <si>
    <t xml:space="preserve">ST ALBAN-ANLAGE 66, CH-4052 BASEL, SWITZERLAND</t>
  </si>
  <si>
    <t xml:space="preserve">2077-0472</t>
  </si>
  <si>
    <t xml:space="preserve">Agriculture-Basel</t>
  </si>
  <si>
    <t xml:space="preserve">10.3390/agriculture12121971</t>
  </si>
  <si>
    <t xml:space="preserve">Agronomy</t>
  </si>
  <si>
    <t xml:space="preserve">Agriculture</t>
  </si>
  <si>
    <t xml:space="preserve">7D0VN</t>
  </si>
  <si>
    <t xml:space="preserve">WOS:000900219400001</t>
  </si>
  <si>
    <t xml:space="preserve">Huang, H; Song, YP; Fan, ZM; Xu, GG; Yuan, RR; Zhao, JH</t>
  </si>
  <si>
    <t xml:space="preserve">Huang, Hua; Song, Yanping; Fan, Zimiao; Xu, Ganggang; Yuan, Rurui; Zhao, Jinghua</t>
  </si>
  <si>
    <t xml:space="preserve">Estimation of walnut crop evapotranspiration under different micro-irrigation techniques in arid zones based on deep learning sequence models</t>
  </si>
  <si>
    <t xml:space="preserve">RESULTS IN APPLIED MATHEMATICS</t>
  </si>
  <si>
    <t xml:space="preserve">Walnut; Irrigation technology; Arid zone; Crop evapotranspiration; Deep learning</t>
  </si>
  <si>
    <t xml:space="preserve">To solve the problems of low accuracy of crop evapotranspiration (ETc) estimates in arid areas and to optimise ETc for precision irrigation in agriculture.Taking walnut in Wensu County, Aksu Region, Xinjiang as the research object, based on the multivariate time series data of walnut fertility, deep learning sequence models such as LSTM, GRU and BiLSTM were utilized to estimate the crop evapotranspiration (ETc) of walnut in arid zones under different micro-irrigation techniques. The results showed that the coefficient of determination (R2) of the LSTM, GRU and BiLSTM models were up to greater than 0.95 for both microirrigation techniques, and the BiLSTM model was relatively optimal. For the 3 g microirrigation technique, the R2, RMSEV and RPDV of the BiLSTM model were 0.978, 0.294 and 6.965 mm/d respectively. For the Hg microirrigation technique, the R2, RMSEV and RPDV of the BiLSTM model were 0.970, 0.339 and 6.026 mm/ d respectively.With different scenarios of missing meteorological environmental variables, the BiLSTM model was used to estimate R2 &gt; 0.98 for walnut crop evapotranspiration under different microirrigation techniques, with a range from 0.958 to 0. 986 under 3 g microirrigation technique, RMSEV ranged from 0.235 to 0.412 and RPDV ranged from 5.028 to 8.494. Under Hg microirrigation technique, R2 ranged from 0.942 to 0.979, RMSEV ranged from 0.288 to 0.477 and RPDV ranged from 4.253 to 6.905. Using the deep learning BiLSTM model, we can efficiently estimate the evapotranspiration of the walnut crop in arid zones with different micro-irrigation technologies. The evapotranspiration can provide a scientific theoretical reference for intelligent irrigation of walnut and agricultural water management.</t>
  </si>
  <si>
    <t xml:space="preserve">[Huang, Hua; Song, Yanping; Fan, Zimiao; Xu, Ganggang] Xinjiang Agr Univ, Coll Math &amp; Phys, Urumqi 830052, Peoples R China; [Yuan, Rurui; Zhao, Jinghua] Xinjiang Agr Univ, Coll Hydraul &amp; Civil Engn, Urumqi 830052, Peoples R China; [Huang, Hua; Yuan, Rurui; Zhao, Jinghua] Xinjiang Key Lab Hydraul Engn Safety &amp; Water Disas, Urumqi 830052, Peoples R China</t>
  </si>
  <si>
    <t xml:space="preserve">Xinjiang Agricultural University; Xinjiang Agricultural University</t>
  </si>
  <si>
    <t xml:space="preserve">Zhao, JH (corresponding author), Xinjiang Agr Univ, Coll Hydraul &amp; Civil Engn, Urumqi 830052, Peoples R China.;Zhao, JH (corresponding author), Xinjiang Key Lab Hydraul Engn Safety &amp; Water Disas, Urumqi 830052, Peoples R China.</t>
  </si>
  <si>
    <t xml:space="preserve">105512275@qq.com</t>
  </si>
  <si>
    <t xml:space="preserve">Natural Science Foundation of Xinjiang Uygur Autonomous Region [2022D01A181]; Open Research Fund of Xinjiang Key Laboratory of Hydraulic Engineering Safety and Water Disaster Prevention [ZDSYS-JS-2022-11]</t>
  </si>
  <si>
    <t xml:space="preserve">Natural Science Foundation of Xinjiang Uygur Autonomous Region; Open Research Fund of Xinjiang Key Laboratory of Hydraulic Engineering Safety and Water Disaster Prevention</t>
  </si>
  <si>
    <t xml:space="preserve">This work was supported by the Natural Science Foundation of Xinjiang Uygur Autonomous Region (2022D01A181), the Open Research Fund of Xinjiang Key Laboratory of Hydraulic Engineering Safety and Water Disaster Prevention (ZDSYS-JS-2022-11).</t>
  </si>
  <si>
    <t xml:space="preserve">2590-0374</t>
  </si>
  <si>
    <t xml:space="preserve">RESULTS APPL MATH</t>
  </si>
  <si>
    <t xml:space="preserve">Results Appl. Math</t>
  </si>
  <si>
    <t xml:space="preserve">NOV</t>
  </si>
  <si>
    <t xml:space="preserve">10.1016/j.rinam.2023.100412</t>
  </si>
  <si>
    <t xml:space="preserve">Mathematics, Applied</t>
  </si>
  <si>
    <t xml:space="preserve">Emerging Sources Citation Index (ESCI)</t>
  </si>
  <si>
    <t xml:space="preserve">Mathematics</t>
  </si>
  <si>
    <t xml:space="preserve">CQ4L6</t>
  </si>
  <si>
    <t xml:space="preserve">WOS:001126695800001</t>
  </si>
  <si>
    <t xml:space="preserve">Bedi, J</t>
  </si>
  <si>
    <t xml:space="preserve">Bedi, Jatin</t>
  </si>
  <si>
    <t xml:space="preserve">Transfer learning augmented enhanced memory network models for reference evapotranspiration estimation</t>
  </si>
  <si>
    <t xml:space="preserve">KNOWLEDGE-BASED SYSTEMS</t>
  </si>
  <si>
    <t xml:space="preserve">Transfer learning; Deep learning; Reference evapotranspiration prediction; Clustering; Long Short Term Memory Network</t>
  </si>
  <si>
    <t xml:space="preserve">NEURAL-NETWORKS; PREDICTION; SENSITIVITY; REGRESSION; ALGORITHM; USER</t>
  </si>
  <si>
    <t xml:space="preserve">Accurate estimation of reference evapotranspiration is a prerequisite for achieving sustainable development, designing irrigation plans, and efficient utilization of water resources. Traditionally, several conventional and statistical methods have been developed for this time-series prediction task. However, these methods are not well capable of handling the non-linear complexities, historical dependencies of the data and are majorly external features driven. In recent years, machine learning and deep learning models have gained significant attention for achieving state-of-the-art results in nearly all engineering domains. In this context, the present research study proposes three deep learning based models to estimate future evapotranspiration values. Initially, a moving window-based baseline model is proposed for prediction by utilizing the minimum available historic evapotranspiration data only. The proposed model provides support for handling historical data dependencies by employing the Long Short Term Memory Network (LSTMN) model. Then, the concept of transfer learning is introduced/augmented for improving the prediction performance of the baseline model. Two transfer learning augmented deep learning prediction models (TL - LSTM1 and TL - LSTM2) are developed to forecast the future reference evapotranspiration values. The application of the proposed three models (Baseline, TL - LSTM1 and TL - LSTM2) is demonstrated on the dataset of nine different locations of State Punjab, India. The performance of the proposed models is compared with the prediction results of three supervised benchmark models in terms of well-known performance measures. The overall prediction results indicate that the transfer learning-based models achieve promising results. (C) 2021 Elsevier B.V. All rights reserved.</t>
  </si>
  <si>
    <t xml:space="preserve">[Bedi, Jatin] Thapar Inst Engn &amp; Technol, Dept Comp Sci &amp; Engn, Patiala, Punjab, India</t>
  </si>
  <si>
    <t xml:space="preserve">Bedi, J (corresponding author), Thapar Inst Engn &amp; Technol, Dept Comp Sci &amp; Engn, Patiala, Punjab, India.</t>
  </si>
  <si>
    <t xml:space="preserve">jatin.bedi@thapar.edu</t>
  </si>
  <si>
    <t xml:space="preserve">0950-7051</t>
  </si>
  <si>
    <t xml:space="preserve">1872-7409</t>
  </si>
  <si>
    <t xml:space="preserve">KNOWL-BASED SYST</t>
  </si>
  <si>
    <t xml:space="preserve">Knowledge-Based Syst.</t>
  </si>
  <si>
    <t xml:space="preserve">FEB 15</t>
  </si>
  <si>
    <t xml:space="preserve">10.1016/j.knosys.2021.107717</t>
  </si>
  <si>
    <t xml:space="preserve">Computer Science, Artificial Intelligence</t>
  </si>
  <si>
    <t xml:space="preserve">0V5ZT</t>
  </si>
  <si>
    <t xml:space="preserve">WOS:000788422500002</t>
  </si>
  <si>
    <t xml:space="preserve">Chen, ZJ; Zhu, ZC; Jiang, H; Sun, SJ</t>
  </si>
  <si>
    <t xml:space="preserve">Chen, Zhijun; Zhu, Zhenchuang; Jiang, Hao; Sun, Shijun</t>
  </si>
  <si>
    <t xml:space="preserve">Estimating daily reference evapotranspiration based on limited meteorological data using deep learning and classical machine learning methods</t>
  </si>
  <si>
    <t xml:space="preserve">Reference evapotranspiration; Deep learning neural network; Temporal convolution neural network; Long short-term memory neural network</t>
  </si>
  <si>
    <t xml:space="preserve">MODELING REFERENCE EVAPOTRANSPIRATION; NEURAL-NETWORK; CLIMATIC DATA; REGRESSION; SVM; EQUATIONS; GEP; ELM</t>
  </si>
  <si>
    <t xml:space="preserve">To evaluate the performance of deep learning methods (DL) for reference evapotranspiration estimation and to assess the applicability of the developed DL models beyond the study areas where they were trained, three popular DL models named deep neural network (DNN), temporal convolution neural network (TCN), and long short-term memory neural network (LSTM) were developed to estimate daily reference evapotranspiration (ETo) using incomplete meteorological data in the Northeast plain, China. The performances of the three DL models were compared to two classical machine learning models (CML)-support vector machine (SVM) and random forest (RF)-and empirical equations, including two temperature-based (Hargreaves (H) and modified Hargreaves (MH)), three radiation-based (Ritchie (R), Priestley-Talor (P), and Makkink (M)), and two humiditybased (Romanenko (ROM) and Schendel (S)) empirical models, in two strategies: (1) all proposed models were trained, tested, and compared in each single weather station, and (2) all-weather stations were split into several groups using the K-means method with their mean climatic characteristics. Then, in each group, stations took turns testing the proposed models which were trained by rest of the stations. The results showed that (1) the coefficient of determination (R-2) values of the TCN and RF were 0.048 and 0.035 significantly higher than that of MH, respectively, and the relative root mean error (RMSE) values of TCN and RF were substantially 0.096, and 0.074 mm/d lower than that of MH, indicating that TCN and RF performed better than empirical models in the first strategy, and TCN and LSTM exhibited an RMSE that was significantly decreased by 0.069 and 0.079 mm/d, showing that TCN and LSTM outperformed empirical models in the second strategy, compared with the MH method; (2) in both strategies, compared with the Ritchie (R) model, TCN, LSTM, DNN, RF, and SVM increased R-2 and decreased RMSE significantly, especially the TCN model; (3) similarly, TCN, LSTM, DNN, RF, and SVM models all augmented R-2 and reduced RMSE substantially in comparison to humidity-based empirical models in both strategies, especially the TCN model. Overall, when temperature-based features were available, the TCN and LSTM models performed markedly better than temperature-based empirical models beyond the study areas, and when radiation-based or humidity-based features were available, all of the proposed DL and CML models outperformed radiation-based or humidity-based empirical equations beyond the study areas in which they were trained.</t>
  </si>
  <si>
    <t xml:space="preserve">[Chen, Zhijun; Zhu, Zhenchuang; Jiang, Hao; Sun, Shijun] Shenyang Agr Univ, Coll Water Conservancy, Shenyang 110866, Peoples R China</t>
  </si>
  <si>
    <t xml:space="preserve">Shenyang Agricultural University</t>
  </si>
  <si>
    <t xml:space="preserve">Sun, SJ (corresponding author), Shenyang Agr Univ, Coll Water Conservancy, Shenyang 110866, Peoples R China.</t>
  </si>
  <si>
    <t xml:space="preserve">sunshijun2000@yeah.net</t>
  </si>
  <si>
    <t xml:space="preserve">Sun, shijun/S-1653-2018; chen, zhijun/HSE-9085-2023</t>
  </si>
  <si>
    <t xml:space="preserve">Zhu, Zhenchuang/0000-0002-5916-8524; sun, shijun/0000-0003-0495-4496</t>
  </si>
  <si>
    <t xml:space="preserve">Scientific Research Foundation of Higher Education of Liaoning Province [LSNFW201913]; Natural Science Foundation of Liaoning Province [20180550617]; Special Program for National Key Research and Development Project of China [2018YFD0300301]</t>
  </si>
  <si>
    <t xml:space="preserve">Scientific Research Foundation of Higher Education of Liaoning Province; Natural Science Foundation of Liaoning Province(Natural Science Foundation of Liaoning Province); Special Program for National Key Research and Development Project of China</t>
  </si>
  <si>
    <t xml:space="preserve">This research was financially supported by the Scientific Research Foundation of Higher Education of Liaoning Province (LSNFW201913), the Natural Science Foundation of Liaoning Province (20180550617), the Special Program for National Key Research and Development Project of China (2018YFD0300301).</t>
  </si>
  <si>
    <t xml:space="preserve">10.1016/j.jhydrol.2020.125286</t>
  </si>
  <si>
    <t xml:space="preserve">PG5EL</t>
  </si>
  <si>
    <t xml:space="preserve">WOS:000599757800016</t>
  </si>
  <si>
    <t xml:space="preserve">Kumar, M; Agrawal, Y; Adamala, S; Subbarao, AVM; Singh, VK; Srivastava, A</t>
  </si>
  <si>
    <t xml:space="preserve">Kumar, Manoranjan; Agrawal, Yash; Adamala, Sirisha; Subbarao, A. V. M.; Singh, V. K.; Srivastava, Ankur</t>
  </si>
  <si>
    <t xml:space="preserve">Generalization Ability of Bagging and Boosting Type Deep Learning Models in Evapotranspiration Estimation</t>
  </si>
  <si>
    <t xml:space="preserve">WATER</t>
  </si>
  <si>
    <t xml:space="preserve">ensembled deep learning; reference evapotranspiration; decision tree; XGBoost</t>
  </si>
  <si>
    <t xml:space="preserve">ARTIFICIAL NEURAL-NETWORKS; SUPPORT VECTOR MACHINE; TEMPERATURE; CLIMATE; GANN</t>
  </si>
  <si>
    <t xml:space="preserve">The potential of generalized deep learning models developed for crop water estimation was examined in the current study. This study was conducted in a semiarid region of India, i.e., Karnataka, with daily climatic data (maximum and minimum air temperatures, maximum and minimum relative humidity, wind speed, sunshine hours, and rainfall) of 44 years (1976-2020) for twelve locations. The Extreme Gradient Boosting (XGBoost), Gradient Boosting (GB), and Random Forest (RF) are three ensemble deep learning models that were developed using all of the climatic data from a single location (Bengaluru) from January 1976 to December 2017 and then immediately applied at eleven different locations (Ballari, Chikmaglur, Chitradurga, Devnagiri, Dharwad, Gadag, Haveri, Koppal, Mandya, Shivmoga, and Tumkuru) without the need for any local calibration. For the test period of January 2018-June 2020, the model's capacity to estimate the numerical values of crop water requirement (Penman-Monteith (P-M) ETo values) was assessed. The developed ensemble deep learning models were evaluated using the performance criteria of mean absolute error (MAE), average absolute relative error (AARE), coefficient of correlation (r), noise to signal ratio (NS), Nash-Sutcliffe efficiency (eta), and weighted standard error of estimate (WSEE). The results indicated that the WSEE values of RF, GB, and XGBoost models for each location were smaller than 1 mm per day, and the model's effectiveness varied from 96% to 99% across various locations. While all of the deep learning models performed better with respect to the P-M ETo approach, the XGBoost model was able to estimate ETo with greater accuracy than the GB and RF models. The XGBoost model's strong performance was also indicated by the decreased noise-to-signal ratio. Thus, in this study, a generalized mathematical model for short-term ETo estimates is developed using ensemble deep learning techniques. Because of this type of model's accuracy in calculating crop water requirements and its ability for generalization, it can be effortlessly integrated with a real-time water management system or an autonomous weather station at the regional level.</t>
  </si>
  <si>
    <t xml:space="preserve">[Kumar, Manoranjan; Subbarao, A. V. M.; Singh, V. K.] Cent Res Inst Dryland Agr, Hyderabad 500059, Telangana, India; [Agrawal, Yash] Gramworkx Agrotech Pvt Ltd GramworkX, Keon, Phase 3,1st Sect, Bengaluru 560102, Karnataka, India; [Adamala, Sirisha] Natl Bur Soil Survey &amp; Land Use Planning NBSS&amp;LUP, Nagpur 440033, Maharashtra, India; [Srivastava, Ankur] Univ Technol Sydney, Fac Sci, Sydney, NSW 2007, Australia</t>
  </si>
  <si>
    <t xml:space="preserve">Indian Council of Agricultural Research (ICAR); ICAR - Central Research Institute of Dryland Agriculture; Indian Council of Agricultural Research (ICAR); ICAR - National Bureau of Soil Survey &amp; Land Use Planning; University of Technology Sydney</t>
  </si>
  <si>
    <t xml:space="preserve">Adamala, S (corresponding author), Natl Bur Soil Survey &amp; Land Use Planning NBSS&amp;LUP, Nagpur 440033, Maharashtra, India.;Srivastava, A (corresponding author), Univ Technol Sydney, Fac Sci, Sydney, NSW 2007, Australia.</t>
  </si>
  <si>
    <t xml:space="preserve">manoranjan.kumar@icar.gov.in; yashagrawal5757@gmail.com; sirisha.adamala@icar.gov.in; avms.rao@icar.gov.in; director.crida@icar.gov.in; ankursrivastava117@gmail.com</t>
  </si>
  <si>
    <t xml:space="preserve">Adamala, Sirisha/N-7469-2017; Srivastava, Ankur/AAS-3001-2020</t>
  </si>
  <si>
    <t xml:space="preserve">Srivastava, Ankur/0000-0002-3963-265X</t>
  </si>
  <si>
    <t xml:space="preserve">2073-4441</t>
  </si>
  <si>
    <t xml:space="preserve">WATER-SUI</t>
  </si>
  <si>
    <t xml:space="preserve">Water</t>
  </si>
  <si>
    <t xml:space="preserve">10.3390/w16162233</t>
  </si>
  <si>
    <t xml:space="preserve">Environmental Sciences; Water Resources</t>
  </si>
  <si>
    <t xml:space="preserve">Environmental Sciences &amp; Ecology; Water Resources</t>
  </si>
  <si>
    <t xml:space="preserve">F1L1T</t>
  </si>
  <si>
    <t xml:space="preserve">gold, Green Submitted</t>
  </si>
  <si>
    <t xml:space="preserve">WOS:001307493900001</t>
  </si>
  <si>
    <t xml:space="preserve">Chen, H; Razaqpur, AG; Wei, YZ; Huang, JJ; Li, H; Mcbean, E</t>
  </si>
  <si>
    <t xml:space="preserve">Chen, Han; Razaqpur, A. Ghani; Wei, Yizhao; Huang, Jinhui Jeanne; Li, Han; Mcbean, Edward</t>
  </si>
  <si>
    <t xml:space="preserve">Estimation of global land surface evapotranspiration and its trend using a surface energy balance constrained deep learning model</t>
  </si>
  <si>
    <t xml:space="preserve">Global land surface evapotranspiration; Surface energy balance constrained deep; learning (DL-SEB) model; Deep learning; Positive trend; Climate change</t>
  </si>
  <si>
    <t xml:space="preserve">SENSIBLE HEAT-FLUX; TERRESTRIAL EVAPOTRANSPIRATION; SYSTEM SEBS; PRIMARY PRODUCTIVITY; PENMAN-MONTEITH; CLIMATE-CHANGE; DROUGHT; MODIS; ASSIMILATION; CONDUCTANCE</t>
  </si>
  <si>
    <t xml:space="preserve">Estimating global land surface evapotranspiration (ET) is of great significance for assessing the impact of climate change on the global hydrological cycle and energy balance. In this study, we propose a surface energy balance constrained deep learning (DL-SEB) model for simulating global land surface evapotranspiration (ET). The accuracy of the DL-SEB model in estimating ET was tested using FLUXNET observations. The results suggested that the proposed DL-SEB model significantly enhanced the simulation capability of extreme ET events compared with the original deep learning model (without being coupled with the energy balance equation). The DL-SEB model was further applied to reconstruct global ET changes during 2000-2019 based on meteorological, soil, vegetation, and flux data sets. The annual average global land surface ET was 613 mm/yr during the period 2000-2019 (exclude Antarctica and deserts). The global land surface ET exhibited a significant upward trend with average increase rate of 1.16 mm/yr during the past two decades, which corresponds to approximately 3.8% increase above the mean global ET during 2000-2019. The positive trend of global land surface ET was driven by the combined effect of air temperature (Ta), soil moisture (SM), net radiation flux (Rn) and leaf area index (LAI). The natural climatic events such as El Nin similar to o events significantly altered short-term global ET variation, but did not changed the long-term increase trend of global ET. This study enhanced the understanding of the impact of climate change on the global land surface ET. The proposed DL-SEB model achieved a physicsbased, smart and reliable ET simulation at global and regional scales.</t>
  </si>
  <si>
    <t xml:space="preserve">[Chen, Han; Razaqpur, A. Ghani; Wei, Yizhao; Huang, Jinhui Jeanne; Li, Han; Mcbean, Edward] Nankai Univ, Coll Environm Sci &amp; Engn, Sino Canada Joint R&amp;D Ctr Water&amp; Environm Safety, Tianjin 300071, Peoples R China; [Mcbean, Edward] Univ Guelph, Sch Engn, Guelph, ON N1G 2W1, Canada; [Huang, Jinhui Jeanne] Nankai Univ, Shenzhen Res Inst, Shenzhen 518057, Peoples R China; [Huang, Jinhui Jeanne] Nankai Univ, Coll Environm Sci &amp; Engn, Sino Canada R&amp;D Ctr Water&amp; Environm Safety, Tianjin 300071, Peoples R China</t>
  </si>
  <si>
    <t xml:space="preserve">Nankai University; University of Guelph; Nankai University; Nankai University</t>
  </si>
  <si>
    <t xml:space="preserve">Huang, JJ (corresponding author), Nankai Univ, Coll Environm Sci &amp; Engn, Sino Canada R&amp;D Ctr Water&amp; Environm Safety, Tianjin 300071, Peoples R China.</t>
  </si>
  <si>
    <t xml:space="preserve">huangj@nankai.edu.cn</t>
  </si>
  <si>
    <t xml:space="preserve">Han, Chen/0000-0001-6118-6222</t>
  </si>
  <si>
    <t xml:space="preserve">Shenzhen Science and Technology Program [JCYJ20210324120807021]; National Natural Science Foundation of China [42101033]; National Key R&amp;D Program of China [2021YFC3200400]; China Postdoctoral Science Foundation [2021M691672]; National Key Research and Development Program [2022YFF1301101]; Shenzhen Ecological and Environmental Monitoring Center Station Program [20230601]</t>
  </si>
  <si>
    <t xml:space="preserve">Shenzhen Science and Technology Program; National Natural Science Foundation of China(National Natural Science Foundation of China (NSFC)); National Key R&amp;D Program of China; China Postdoctoral Science Foundation(China Postdoctoral Science Foundation); National Key Research and Development Program(National Key Research &amp; Development Program of China); Shenzhen Ecological and Environmental Monitoring Center Station Program</t>
  </si>
  <si>
    <t xml:space="preserve">The authors acknowledge the financial support from the Shenzhen Science and Technology Program under the grant number JCYJ20210324120807021, National Natural Science Foundation of China under the grant number 42101033, National Key R &amp; D Program of China under the grant number 2021YFC3200400, China Postdoctoral Science Foundation under the grant number 2021M691672, National Key Research and Development Program under the grant number No.-2022YFF1301101 and Shenzhen Ecological and Environmental Monitoring Center Station Program under the grant number 20230601. We thank the anonymous reviewers for their valuable suggestions that allowed us to improve the paper.</t>
  </si>
  <si>
    <t xml:space="preserve">B</t>
  </si>
  <si>
    <t xml:space="preserve">10.1016/j.jhydrol.2023.130224</t>
  </si>
  <si>
    <t xml:space="preserve">Z9EP9</t>
  </si>
  <si>
    <t xml:space="preserve">WOS:001115035100001</t>
  </si>
  <si>
    <t xml:space="preserve">Rong, Y; Wang, WS; Wu, PJ; Wang, P; Zhang, CL; Wang, CZ; Huo, ZL</t>
  </si>
  <si>
    <t xml:space="preserve">Rong, Yao; Wang, Weishu; Wu, Peijin; Wang, Pu; Zhang, Chenglong; Wang, Chaozi; Huo, Zailin</t>
  </si>
  <si>
    <t xml:space="preserve">A Novel Hybrid Deep Learning Framework for Evaluating Field Evapotranspiration Considering the Impact of Soil Salinity</t>
  </si>
  <si>
    <t xml:space="preserve">WATER RESOURCES RESEARCH</t>
  </si>
  <si>
    <t xml:space="preserve">evapotranspiration; soil salt stress; physical constraints; deep learning; hybrid model; extrapolation capability</t>
  </si>
  <si>
    <t xml:space="preserve">SALT TOLERANCE; STOMATAL CONDUCTANCE; WATER-BALANCE; STRESS; YIELD; SYSTEM; MODEL; EVAPORATION; VARIABILITY; ALGORITHMS</t>
  </si>
  <si>
    <t xml:space="preserve">Accurate evaluation of evapotranspiration (ET) is crucial for efficient agricultural water management. Data-driven models exhibit strong predictive ET capabilities, yet significant limitations like naive extrapolation hamper wider generalization. In this perspective, we explore a novel hybrid deep learning (DL) framework to integrate domain knowledge and demonstrate its potential for evaluating ET under the influence of soil salinity. Specifically, we integrated physical constraints from process models (Penman-Monteith or Shuttleworth-Wallace) and salinity-induced stomatal stress mechanisms into the DL algorithm, and evaluated its performance by comparing four diverse scenarios. Results demonstrate that hybrid DL framework offers a promising alternative for ET estimation, achieving comparable accuracy to pure DL during training and validation. Nonetheless, due to the limited available measurements, data-driven model may not adequately capture plant responses to salt stress, leading to significant prediction biases observed during independent testing. Encouragingly, the hybrid DL model (DL-SS) integrating Shuttleworth-Wallace and salinity-induced stomatal stress mechanisms demonstrated enhanced interpretability, generalizability, and extrapolation capabilities. During testing, DL-SS consistently showed optimal performance, yielding root mean square error (RMSE) values of 37.4 W m-2 for sunflower and 39.2 W m-2 for maize. Compared to traditional Jarvis-type approaches (JPM and JSW) and pure DL model during testing, DL-SS achieved substantial reductions in RMSE values: 51%, 33%, and 43% for sunflower, and 45%, 31%, and 35% for maize, respectively. These findings highlight the importance of integrating prior scientific knowledge into data-driven models to enhance extrapolation capability of ET modeling, especially in salinized regions where conventional models may struggle. A hybrid deep learning (DL) framework integrating physical constraints from process models and salinity-induced stomatal stress mechanisms The hybrid DL model provides a superior alternative for evaluating evapotranspiration, compared to traditional physical methods and pure DL Additional physical constraints can significantly enhance extrapolation capability</t>
  </si>
  <si>
    <t xml:space="preserve">[Rong, Yao; Wang, Weishu; Wu, Peijin; Wang, Pu; Zhang, Chenglong; Wang, Chaozi; Huo, Zailin] China Agr Univ, Ctr Agr Water Res China, Beijing, Peoples R China; [Wang, Weishu] Shenyang Agr Univ, Coll Water Conservancy, Shenyang, Peoples R China</t>
  </si>
  <si>
    <t xml:space="preserve">China Agricultural University; Shenyang Agricultural University</t>
  </si>
  <si>
    <t xml:space="preserve">Wang, WS; Huo, ZL (corresponding author), China Agr Univ, Ctr Agr Water Res China, Beijing, Peoples R China.;Wang, WS (corresponding author), Shenyang Agr Univ, Coll Water Conservancy, Shenyang, Peoples R China.</t>
  </si>
  <si>
    <t xml:space="preserve">wws0208@cau.edu.cn; huozl@cau.edu.cn</t>
  </si>
  <si>
    <t xml:space="preserve">Wang, Weishu/KXR-2089-2024; Rong, Yao/GPX-6192-2022; Zhang, Chenglong/JDW-5733-2023</t>
  </si>
  <si>
    <t xml:space="preserve">Zhang, Chenglong/0000-0002-9972-6981</t>
  </si>
  <si>
    <t xml:space="preserve">Science and Technology Project of Inner Mongolia; National Natural Science Foundation of China [52130902, 52309068]; National Key Technologies Research and Development Program of China [2021YFD1900603]; [2021EEDSCXSFOZD010]; [NMKJXM202208]</t>
  </si>
  <si>
    <t xml:space="preserve">Science and Technology Project of Inner Mongolia; National Natural Science Foundation of China(National Natural Science Foundation of China (NSFC)); National Key Technologies Research and Development Program of China(National Key Technology R&amp;D Program); ;</t>
  </si>
  <si>
    <t xml:space="preserve">This study has been supported by Science and Technology Project of Inner Mongolia (No. 2021EEDSCXSFOZD010 and NMKJXM202208), National Natural Science Foundation of China (No. 52130902 and 52309068), National Key Technologies Research and Development Program of China (No. 2021YFD1900603).</t>
  </si>
  <si>
    <t xml:space="preserve">AMER GEOPHYSICAL UNION</t>
  </si>
  <si>
    <t xml:space="preserve">WASHINGTON</t>
  </si>
  <si>
    <t xml:space="preserve">2000 FLORIDA AVE NW, WASHINGTON, DC 20009 USA</t>
  </si>
  <si>
    <t xml:space="preserve">0043-1397</t>
  </si>
  <si>
    <t xml:space="preserve">1944-7973</t>
  </si>
  <si>
    <t xml:space="preserve">WATER RESOUR RES</t>
  </si>
  <si>
    <t xml:space="preserve">Water Resour. Res.</t>
  </si>
  <si>
    <t xml:space="preserve">e2023WR036809</t>
  </si>
  <si>
    <t xml:space="preserve">10.1029/2023WR036809</t>
  </si>
  <si>
    <t xml:space="preserve">Environmental Sciences; Limnology; Water Resources</t>
  </si>
  <si>
    <t xml:space="preserve">Environmental Sciences &amp; Ecology; Marine &amp; Freshwater Biology; Water Resources</t>
  </si>
  <si>
    <t xml:space="preserve">F3W6L</t>
  </si>
  <si>
    <t xml:space="preserve">hybrid</t>
  </si>
  <si>
    <t xml:space="preserve">WOS:001309162200001</t>
  </si>
  <si>
    <t xml:space="preserve">Chen, H; Huang, JJ; Dash, SS; Wei, YZ; Li, H</t>
  </si>
  <si>
    <t xml:space="preserve">Chen, Han; Huang, Jinhui Jeanne; Dash, Sonam Sandeep; Wei, Yizhao; Li, Han</t>
  </si>
  <si>
    <t xml:space="preserve">A hybrid deep learning framework with physical process description for simulation of evapotranspiration</t>
  </si>
  <si>
    <t xml:space="preserve">Deep learning; Evapotranspiration; Penman-Monteith method; Hybrid deep learning model; Physical process description; Surface energy balance</t>
  </si>
  <si>
    <t xml:space="preserve">ENERGY-BALANCE; NEURAL-NETWORK; MODELS; FLUXES; WATER; EVAPORATION; VARIABILITY; ALGORITHM; SYSTEM; SOIL</t>
  </si>
  <si>
    <t xml:space="preserve">Evapotranspiration (ET) estimation models can be broadly classified as statistical or physical process based models. However, assuming the limitation of individual approaches, the integration of these two approaches has become a challenging task for ET simulation under varying surface and climatic conditions. To address this issue, a revised Penman-Monteith (PM) formula that uses a non-linear exponential Clausius-Clapeyron relationship was proposed in this study. The improved PM formula was further coupled into the loss function of the deep learning (DL) model, and subsequently, a hybrid DL model was formulated. The hybrid DL model with improved physical conceptualization considered the constraints of surface energy balance and turbulent diffusion processes in the ET simulation. The performance of the hybrid DL model was verified at 212 flux sites from the FLUXNET that contain ten types of underlying surfaces across the globe. The results revealed that as compared to the original DL model, the hybrid DL model improved the predictive capability of ET. The average root-mean-square-error (RMSE) and mean absolute percentage difference (MAPD) reduced by 12.1 W/m(2) and 5.7%, respectively for latent heat flux (LE) simulation. Furthermore, the hybrid DL model also performed better than the original DL model in predicting the extreme events (such as ET under drought and heatwave conditions) which justifying its improved generalization capability. Sensitivity analysis outcomes showed that the vegetation parameters highest influence for ET simulations at the 212 flux sites, followed by soil parameters and meteorological parameters. The hybrid DL model was further applied to map the inter-seasonal distribution of global ET across twelve months of the year 2015 with five global ET products as the benchmark. Certainly, this research achieved the seamless integration of machine learning-based ET model and physical mechanism-based ET model and provided a new dimension for ET simulation. The hybrid DL model could be adopted to generate continuous ET datasets across regional and global scales.</t>
  </si>
  <si>
    <t xml:space="preserve">[Chen, Han; Huang, Jinhui Jeanne; Wei, Yizhao; Li, Han] Nankai Univ, Coll Environm Sci &amp; Engn, Sino Canada Joint R&amp;D Ctr Water &amp; Environm Safety, Tianjin 300071, Peoples R China; [Dash, Sonam Sandeep] Indian Inst Technol Kharagpur, Sch Water Resources, Kharagpur 721302, W Bengal, India; [Dash, Sonam Sandeep] Centurion Univ, Sch Agr &amp; Bio Engn, Parlakhemundi 761211, Odisha, India</t>
  </si>
  <si>
    <t xml:space="preserve">Nankai University; Indian Institute of Technology System (IIT System); Indian Institute of Technology (IIT) - Kharagpur; Centurion University of Technology &amp; Management</t>
  </si>
  <si>
    <t xml:space="preserve">Huang, JJ (corresponding author), Nankai Univ, Coll Environm Sci &amp; Engn, Sino Canada Joint R&amp;D Ctr Water &amp; Environm Safety, Tianjin 300071, Peoples R China.</t>
  </si>
  <si>
    <t xml:space="preserve">Dash, Sonam Sandeep/S-6551-2019</t>
  </si>
  <si>
    <t xml:space="preserve">Dash, Sonam Sandeep/0000-0003-1306-6925; Han, Chen/0000-0001-6118-6222</t>
  </si>
  <si>
    <t xml:space="preserve">National Natural Science Foundation of China [42101033]; National Key R&amp;D Program of China [2016YFC04007009]; China Postdoctoral Science Foundation [2021M691672]; Shenzhen Science and Technology Innovation Project [JCYJ20210324120807021]</t>
  </si>
  <si>
    <t xml:space="preserve">National Natural Science Foundation of China(National Natural Science Foundation of China (NSFC)); National Key R&amp;D Program of China; China Postdoctoral Science Foundation(China Postdoctoral Science Foundation); Shenzhen Science and Technology Innovation Project</t>
  </si>
  <si>
    <t xml:space="preserve">The authors acknowledge the financial support from the National Natural Science Foundation of China under the grant number 42101033, National Key R&amp;D Program of China for this research under the grant number 2016YFC04007009, China Postdoctoral Science Foundation under the grant number 2021M691672 and Shenzhen Science and Technology Innovation Project under the grant number JCYJ20210324120807021. We thank the anonymous reviewers for their valuable suggestions that allowed us to improve the paper.</t>
  </si>
  <si>
    <t xml:space="preserve">MAR</t>
  </si>
  <si>
    <t xml:space="preserve">10.1016/j.jhydrol.2021.127422</t>
  </si>
  <si>
    <t xml:space="preserve">JAN 2022</t>
  </si>
  <si>
    <t xml:space="preserve">YV1SU</t>
  </si>
  <si>
    <t xml:space="preserve">WOS:000752513600003</t>
  </si>
  <si>
    <t xml:space="preserve">Nagappan, M; Gopalakrishnan, V; Alagappan, M</t>
  </si>
  <si>
    <t xml:space="preserve">Nagappan, Manikumari; Gopalakrishnan, Vinodhini; Alagappan, Murugappan</t>
  </si>
  <si>
    <t xml:space="preserve">Prediction of reference evapotranspiration for irrigation scheduling using machine learning</t>
  </si>
  <si>
    <t xml:space="preserve">HYDROLOGICAL SCIENCES JOURNAL</t>
  </si>
  <si>
    <t xml:space="preserve">deep learning; reference evapotranspiration; water demand; irrigation</t>
  </si>
  <si>
    <t xml:space="preserve">PAN EVAPORATION; NEURAL-NETWORKS; TEMPERATURE; TRENDS</t>
  </si>
  <si>
    <t xml:space="preserve">Forecasting of irrigation demand is important for decision-making, and reference evapotranspiration (ETo) is a key determinant in evaluating water demand in advance. However, the precise determination of ETo is fairly difficult, and complex machine learning approaches are often used for this. This study, carried out in Veeranam tank, India, determines the multivariate analysis of correlated variables involved in the estimation and modelling of ETo from 1995 to 2016. A reduced-feature data model was constructed with the most significant variables of the model extracted by principal component analysis. This work also explores the effectiveness of a deep learning neural network (DLNN) with the reduced-feature model in predicting ETo in comparison with the conventional Food and Agriculture Organization of the United Nations (FAO-56) Penman-Monteith equation and the radial basis function neural network (RBFNN) as a baseline machine learning method. The input variable dimensionality was reduced from six to three most significant variables in ETo modelling. Among machine learning methods, DLNN proved to be effective in ETo prediction with the reduced-feature data model.</t>
  </si>
  <si>
    <t xml:space="preserve">[Nagappan, Manikumari; Alagappan, Murugappan] Annamalai Univ, Fac Engn &amp; Technol, Dept Civil Engn, Chidambaram, Tamil Nadu, India; [Gopalakrishnan, Vinodhini] Annamalai Univ, Fac Engn &amp; Technol, Dept Informat Technol, Chidambaram, Tamil Nadu, India</t>
  </si>
  <si>
    <t xml:space="preserve">Annamalai University; Annamalai University</t>
  </si>
  <si>
    <t xml:space="preserve">Gopalakrishnan, V (corresponding author), Annamalai Univ, Fac Engn &amp; Technol, Dept Informat Technol, Chidambaram, Tamil Nadu, India.</t>
  </si>
  <si>
    <t xml:space="preserve">vinodhini.g.t@gmail.com</t>
  </si>
  <si>
    <t xml:space="preserve">G, VINODHINI/X-8927-2019</t>
  </si>
  <si>
    <t xml:space="preserve">TAYLOR &amp; FRANCIS LTD</t>
  </si>
  <si>
    <t xml:space="preserve">ABINGDON</t>
  </si>
  <si>
    <t xml:space="preserve">2-4 PARK SQUARE, MILTON PARK, ABINGDON OR14 4RN, OXON, ENGLAND</t>
  </si>
  <si>
    <t xml:space="preserve">0262-6667</t>
  </si>
  <si>
    <t xml:space="preserve">2150-3435</t>
  </si>
  <si>
    <t xml:space="preserve">HYDROLOG SCI J</t>
  </si>
  <si>
    <t xml:space="preserve">Hydrol. Sci. J.</t>
  </si>
  <si>
    <t xml:space="preserve">DEC 9</t>
  </si>
  <si>
    <t xml:space="preserve">10.1080/02626667.2020.1830996</t>
  </si>
  <si>
    <t xml:space="preserve">NOV 2020</t>
  </si>
  <si>
    <t xml:space="preserve">Water Resources</t>
  </si>
  <si>
    <t xml:space="preserve">OZ3VK</t>
  </si>
  <si>
    <t xml:space="preserve">WOS:000586903100001</t>
  </si>
  <si>
    <t xml:space="preserve">Zhang, L; Zhao, X; Zhu, G; He, J; Chen, J; Chen, ZC; Traore, S; Liu, JG; Singh, VP</t>
  </si>
  <si>
    <t xml:space="preserve">Zhang, Lei; Zhao, Xin; Zhu, Ge; He, Jun; Chen, Jian; Chen, Zhicheng; Traore, Seydou; Liu, Junguo; Singh, Vijay P.</t>
  </si>
  <si>
    <t xml:space="preserve">Short-term daily reference evapotranspiration forecasting using temperature-based deep learning models in different climate zones in China</t>
  </si>
  <si>
    <t xml:space="preserve">AGRICULTURAL WATER MANAGEMENT</t>
  </si>
  <si>
    <t xml:space="preserve">Deep learning; Reference evapotranspiration forecast; Temperature forecasts; Climate zones; China</t>
  </si>
  <si>
    <t xml:space="preserve">ARTIFICIAL NEURAL-NETWORK; HARGREAVES-SAMANI MODEL; PENMAN-MONTEITH MODEL; CROP EVAPOTRANSPIRATION; VALIDATION</t>
  </si>
  <si>
    <t xml:space="preserve">The reference evapotranspiration (ETo) pertains to the evapotranspiration of cold-season grasses with an approximate height of 0.12 m or full-covered alfalfa with a height of 0.50 m. Accurate short-term ETo forecasts are indispensable for informed irrigation decisions by relevant departments and individuals. Four deep learning (DL) models, including Long Short-Term Memory (LSTM), Gated Recurrent Unit (GRU), Bidirectional LSTM (BiLSTM), and Bidirectional GRU (Bi-GRU), as well as two calibrated empirical models (Hargreaves-Samani (HS) and reduced-set Penman-Monteith (RPM)), were used to evaluate the performance of the ETo forecast with a lead time of 1-7 d using temperature forecasts in different climates. The results reveal that the DL models and calibrated HS and RPM models exhibited comparable trends in the ETo forecasts for lead times of 1-7 d. Nonetheless, the DL models consistently outperformed the HS and RPM models across the diverse climatic regions in China. The DL models displayed an average root mean square error (RMSE) and mean absolute error (MAE) of less than 0.887 and 0.633 mm/d, respectively. Moreover, the mean correlation coefficient (R) and accuracy (ACC) exceeded 0.807% and 89.701%, respectively. Among the DL models, the LSTM model demonstrated slightly superior performance in short-term daily ETo forecasts in diverse climates. The LSTM model exhibited RMSE and MAE ranges of 0.563-0.875 mm/d and 0.418-0.626 mm/d, respectively, along with R and ACC ranges of 0.81-0.90 and 89.94-98.11%, respectively. Furthermore, even with an increase in lead time, the DL models continued to exhibit strong predictive capabilities, consistently surpassing the performance of the HS and RPM models. Overall, the trained DL models presented an exceptional ability to forecast the short-term daily ETo in various climatic regions of China. These models require only a few input variables and readily available data, making them highly advantageous for practical applications in ETo forecasting. Such models hold promise for significantly enhancing regional agricultural water-resource planning and management.</t>
  </si>
  <si>
    <t xml:space="preserve">[Zhang, Lei; Zhao, Xin; Chen, Jian; Liu, Junguo] North China Univ Water Resources &amp; Elect Power, Sch Water Conservat, Zhengzhou 450045, Henan, Peoples R China; [Zhu, Ge] North China Univ Water Resources &amp; Elect Power, Sch Informat Engn, Zhengzhou 450045, Henan, Peoples R China; [He, Jun] China Three Gorges Univ, Coll Hydraul &amp; Environm Engn, Yichang 443002, Hubei, Peoples R China; [Chen, Zhicheng] Training Ctr Zhejiang Commun Investment Grp Co Ltd, Hangzhou 310005, Zhejiang, Peoples R China; [Traore, Seydou; Singh, Vijay P.] Texas A&amp;M Univ, Dept Biol &amp; Agr Engn, Zachry Dept Civil &amp; Environm Engn, College Stn, TX 77843 USA; [Traore, Seydou] Metropolitan Solar Inc, Washington, DC 20032 USA; [Singh, Vijay P.] UAE Univ, Natl Water &amp; Energy Ctr, Al Ain, U Arab Emirates</t>
  </si>
  <si>
    <t xml:space="preserve">North China University of Water Resources &amp; Electric Power; North China University of Water Resources &amp; Electric Power; China Three Gorges University; Texas A&amp;M University System; Texas A&amp;M University College Station; United Arab Emirates University</t>
  </si>
  <si>
    <t xml:space="preserve">Chen, ZC (corresponding author), Training Ctr Zhejiang Commun Investment Grp Co Ltd, Hangzhou 310005, Zhejiang, Peoples R China.</t>
  </si>
  <si>
    <t xml:space="preserve">m15520176205@163.com</t>
  </si>
  <si>
    <t xml:space="preserve">Zhang, Lei/ACJ-3355-2022; Singh, Vijay/ACU-9912-2022; He, jun/LCW-1246-2024</t>
  </si>
  <si>
    <t xml:space="preserve">National Natural Science Foundation of China (NSFC) [51909092]; Key Science and Technology Program of Henan Province, China [222102110058]; Master's Innovation Ability Enhancement Project of North China University of Water Resources and Electric Power [NCWUYC-2023009]; Open Research Fund of Key Laboratory of Sediment Science and Northern River Training; Ministry of Water Resources, China Institute of Water Resources and Hydropower Research [IWHR-SEDI-202103]; Henan Provincial Key Laboratory of Hydrosphere and Watershed Water Security; China Scholarship Council</t>
  </si>
  <si>
    <t xml:space="preserve">National Natural Science Foundation of China (NSFC)(National Natural Science Foundation of China (NSFC)); Key Science and Technology Program of Henan Province, China; Master's Innovation Ability Enhancement Project of North China University of Water Resources and Electric Power; Open Research Fund of Key Laboratory of Sediment Science and Northern River Training; Ministry of Water Resources, China Institute of Water Resources and Hydropower Research; Henan Provincial Key Laboratory of Hydrosphere and Watershed Water Security; China Scholarship Council(China Scholarship Council)</t>
  </si>
  <si>
    <t xml:space="preserve">This work was financially supported by the National Natural Science Foundation of China (NSFC 51909092) , Key Science and Technology Program of Henan Province, China (222102110058) , Funding for the Master's Innovation Ability Enhancement Project of North China University of Water Resources and Electric Power (NCWUYC-2023009) , and the Open Research Fund of Key Laboratory of Sediment Science and Northern River Training, the Ministry of Water Resources, China Institute of Water Resources and Hydropower Research (IWHR-SEDI-202103) . We thank the China Meteorological Data Sharing Service System for providing the observed meteorological data. We thank the support from the Henan Provincial Key Laboratory of Hydrosphere and Watershed Water Security and the China Scholarship Council.</t>
  </si>
  <si>
    <t xml:space="preserve">0378-3774</t>
  </si>
  <si>
    <t xml:space="preserve">1873-2283</t>
  </si>
  <si>
    <t xml:space="preserve">AGR WATER MANAGE</t>
  </si>
  <si>
    <t xml:space="preserve">Agric. Water Manage.</t>
  </si>
  <si>
    <t xml:space="preserve">NOV 1</t>
  </si>
  <si>
    <t xml:space="preserve">10.1016/j.agwat.2023.108498</t>
  </si>
  <si>
    <t xml:space="preserve">SEP 2023</t>
  </si>
  <si>
    <t xml:space="preserve">S6EU5</t>
  </si>
  <si>
    <t xml:space="preserve">WOS:001072082700001</t>
  </si>
  <si>
    <t xml:space="preserve">Gul, S; Ren, J; Wang, K; Guo, X</t>
  </si>
  <si>
    <t xml:space="preserve">Gul, S.; Ren, J.; Wang, K.; Guo, X.</t>
  </si>
  <si>
    <t xml:space="preserve">Estimation of reference evapotranspiration via machine learning algorithms in humid and semiarid environments in Khyber Pakhtunkhwa, Pakistan</t>
  </si>
  <si>
    <t xml:space="preserve">INTERNATIONAL JOURNAL OF ENVIRONMENTAL SCIENCE AND TECHNOLOGY</t>
  </si>
  <si>
    <t xml:space="preserve">Statistics; Machine learning; Deep learning; Evapotranspiration; Estimation</t>
  </si>
  <si>
    <t xml:space="preserve">ARTIFICIAL NEURAL-NETWORKS; EMPIRICAL EQUATIONS; MODEL; WATER; ANN; PERFORMANCE; EVAPORATION; SVM; OPTIMIZATION; HARGREAVES</t>
  </si>
  <si>
    <t xml:space="preserve">Efficient agricultural water management requires accurate determination of reference evapotranspiration (ETo). Artificial intelligence has recently managed to solve several water management challenges. Acquiring suitable data sets, choosing appropriate criteria, and identifying the optimal algorithm are significant challenges in machine learning. Machine learning may be an effective tool for estimating reference evapotranspiration using minimal meteorological inputs. This work aims to estimate the amount of ETo in the Khyber Pakhtunkhwa region of Pakistan, highlighted as an important agricultural hub, using machine learning. The machine learning techniques include support vector machines based on radial basis function in conjunction with a random forest, artificial neural network, and deep learning long short-term memory systems with 15 input combinations. The findings showed that all four strategies predicted ETo values with reasonable accuracy and reliability. The support vector regression model with scenario-14 revealed strong results than the others (R-2 = 0.9970). The ultimate purpose of this research is to develop the best scenarios with a reasonable accuracy rate and the least amount of input parameters to create the most suitable methodology. Hence, the second most successful models were artificial neural nets and deep learning with scenario-9 and 11, estimating ETo with a higher accuracy level (R-2= 0.9768 and 0.9688) during the testing stage. In conclusion, the research confirms the beneficial effects of support vector regression and enhanced performance of machine learning algorithms in estimating ETo in water shortage tropical and semiarid zones.</t>
  </si>
  <si>
    <t xml:space="preserve">[Gul, S.; Ren, J.; Guo, X.] Zhengzhou Univ, Henan Acad Big Data, Zhengzhou Key Lab Big Data Anal &amp; Applicat, Zhengzhou 450052, Henan, Peoples R China; [Gul, S.; Wang, K.] Zhengzhou Univ, Sch Math &amp; Stat, Zhengzhou 450001, Henan, Peoples R China</t>
  </si>
  <si>
    <t xml:space="preserve">Zhengzhou University; Zhengzhou University</t>
  </si>
  <si>
    <t xml:space="preserve">Ren, J (corresponding author), Zhengzhou Univ, Henan Acad Big Data, Zhengzhou Key Lab Big Data Anal &amp; Applicat, Zhengzhou 450052, Henan, Peoples R China.</t>
  </si>
  <si>
    <t xml:space="preserve">renjl@zzu.edu.cn</t>
  </si>
  <si>
    <t xml:space="preserve">GUL, SAJID/0000-0002-2535-0512</t>
  </si>
  <si>
    <t xml:space="preserve">China's National Natural Science Foundation [11771407]; MOST innovation method project [2019IM050400]</t>
  </si>
  <si>
    <t xml:space="preserve">China's National Natural Science Foundation(National Natural Science Foundation of China (NSFC)); MOST innovation method project</t>
  </si>
  <si>
    <t xml:space="preserve">We are grateful to the Pakistan Meteorological Department in Islamabad for supplying the essential data. This study is supported by China's National Natural Science Foundation (11771407) and the MOST innovation method project (2019IM050400).</t>
  </si>
  <si>
    <t xml:space="preserve">SPRINGER</t>
  </si>
  <si>
    <t xml:space="preserve">ONE NEW YORK PLAZA, SUITE 4600, NEW YORK, NY, UNITED STATES</t>
  </si>
  <si>
    <t xml:space="preserve">1735-1472</t>
  </si>
  <si>
    <t xml:space="preserve">1735-2630</t>
  </si>
  <si>
    <t xml:space="preserve">INT J ENVIRON SCI TE</t>
  </si>
  <si>
    <t xml:space="preserve">Int. J. Environ. Sci. Technol.</t>
  </si>
  <si>
    <t xml:space="preserve">MAY</t>
  </si>
  <si>
    <t xml:space="preserve">10.1007/s13762-022-04334-1</t>
  </si>
  <si>
    <t xml:space="preserve">JUN 2022</t>
  </si>
  <si>
    <t xml:space="preserve">G1EW3</t>
  </si>
  <si>
    <t xml:space="preserve">WOS:000814939300001</t>
  </si>
  <si>
    <t xml:space="preserve">Yan, XH; Yang, N; Ao, RG; Mohammadian, A; Liu, JW; Cao, HD; Yin, PH</t>
  </si>
  <si>
    <t xml:space="preserve">Yan, Xiaohui; Yang, Na; Ao, Ruigui; Mohammadian, Abdolmajid; Liu, Jianwei; Cao, Huade; Yin, Penghai</t>
  </si>
  <si>
    <t xml:space="preserve">Deep learning for daily potential evapotranspiration using a HS-LSTM approach</t>
  </si>
  <si>
    <t xml:space="preserve">ATMOSPHERIC RESEARCH</t>
  </si>
  <si>
    <t xml:space="preserve">Potential evapotranspiration; Machine learning; Long short-term memory neural network; Hargreaves-Samani</t>
  </si>
  <si>
    <t xml:space="preserve">PENMAN-MONTEITH; EVAPORATION; MODEL; NETWORK; CLASSIFICATION; HARGREAVES</t>
  </si>
  <si>
    <t xml:space="preserve">Accurate estimation of potential evapotranspiration (ET0) is important for the sound design of irrigation schedules, management of water resources, assessment of hydrological drought, and research on atmospheric variations. The present study proposed a novel deep learning (DL) approach for daily ET0 estimations with limited daily climate data: HS- LSTM. This approach was constructed based on a classic ET0 model and a long short-term memory neural network (LSTM). Specifically, the Hargreaves-Samani (HS) model was employed as the classic model, and the predictors were restricted to the daily maximum and minimum air temperature data. Ground truth data for ET0 were employed to train, validate, and test the models. Traditional machine learning (ML) algorithms comprising adaptive neuro-fuzzy inference system (ANFIS), genetic programming (GP), multigene genetic programming (MGGP), and one-dimensional CNN (1D-CNN), as well as the HS-ML models (HSANFIS, HS-GP, HS-MGGP, HS-1D-CNN), were also established and assessed for daily ET0 estimations. Compared to the other tested approaches, the errors of the HS-LSTM technique significantly decreased, demonstrating that the novel HS-LSTM approach significantly outperformed the other techniques beyond the study area (in Songliao Basin, Northeast China, which is a semi-humid zone with temperate continental climate). The developed models can then be used to estimate future ET0 with only air temperature forecasts, which can be readily obtained from public weather forecasts. The present study provides a new and promising strategy that can provide more accurate estimations of daily ET0 with limited meteorological data, along with significant implications for enhancing atmospheric research.</t>
  </si>
  <si>
    <t xml:space="preserve">[Yan, Xiaohui; Ao, Ruigui; Liu, Jianwei] Dalian Univ Technol, Sch Water Resources Engn, Dalian, Peoples R China; [Yan, Xiaohui] China Univ Geosci Wuhan, Hubei Key Lab Intelligent Geoinformat Proc, Wuhan, Peoples R China; [Yan, Xiaohui] Chengdu Univ Informat Technol, Meteorol Informat &amp; Signal Proc Key Lab, Sichuan Higher Educ Inst, Chengdu, Peoples R China; [Yang, Na] Nanjing Univ Informat Sci &amp; Technol, Key Lab Hydrometeorol Disaster Mech &amp; Warning, Minist Water Resources, Nanjing 210000, Peoples R China; [Mohammadian, Abdolmajid] Univ Ottawa, Dept Civil Engn, Ottawa, ON, Canada; [Cao, Huade] China Univ Geosci Beijing, Sch Ocean Sci, Beijing, Peoples R China; [Yin, Penghai] China Inst Water Resources &amp; Hydropower Res, Res Inst, Beijing, Peoples R China</t>
  </si>
  <si>
    <t xml:space="preserve">Dalian University of Technology; China University of Geosciences; Chengdu University of Information Technology; Nanjing University of Information Science &amp; Technology; University of Ottawa; China University of Geosciences; China Institute of Water Resources &amp; Hydropower Research</t>
  </si>
  <si>
    <t xml:space="preserve">Yan, XH (corresponding author), Dalian Univ Technol, Sch Water Resources Engn, Dalian, Peoples R China.</t>
  </si>
  <si>
    <t xml:space="preserve">yanxh@dlut.edu.cn</t>
  </si>
  <si>
    <t xml:space="preserve">Mohammadian, Abdolmajid/A-2995-2015; Liu, Jianwei/AFT-0717-2022; Yin, Penghai/KSL-6326-2024</t>
  </si>
  <si>
    <t xml:space="preserve">Open Research Project of The Hubei Key Laboratory of Intelligent GeoInformation Processing [KLIGIP- 2022-A01]; Meteorological information and Signal Processing Key Laboratory of Sichuan Higher Education Institutes of Chengdu University of Information Technology [CXHCL202202]; Key Laboratory of Hydrometeorological Disaster Mechanism and Warning of Ministry of Water Resources, Nanjing University of Information Science amp; Technology, Nanjing, China [HYMED202206]; Artificial Intelligence Key Laboratory of Sichuan Province [2022RYJ01]; Natural Sciences and Engineering Research Council of Canada (NSERC Discovery Grants) [2021YFC2801500]; National Key Research and Development Program of China [U1906234]; China Post- doctoral Science Foundation [2021M703014]</t>
  </si>
  <si>
    <t xml:space="preserve">Open Research Project of The Hubei Key Laboratory of Intelligent GeoInformation Processing; Meteorological information and Signal Processing Key Laboratory of Sichuan Higher Education Institutes of Chengdu University of Information Technology; Key Laboratory of Hydrometeorological Disaster Mechanism and Warning of Ministry of Water Resources, Nanjing University of Information Science amp; Technology, Nanjing, China; Artificial Intelligence Key Laboratory of Sichuan Province; Natural Sciences and Engineering Research Council of Canada (NSERC Discovery Grants)(Natural Sciences and Engineering Research Council of Canada (NSERC)); National Key Research and Development Program of China(National Key Research &amp; Development Program of China); China Post- doctoral Science Foundation(China Postdoctoral Science Foundation)</t>
  </si>
  <si>
    <t xml:space="preserve">This work was supported by the Open Research Project of The Hubei Key Laboratory of Intelligent GeoInformation Processing [KLIGIP- 2022-A01) , the Meteorological information and Signal Processing Key Laboratory of Sichuan Higher Education Institutes of Chengdu University of Information Technology [CXHCL202202] , the Key Laboratory of Hydrometeorological Disaster Mechanism and Warning of Ministry of Water Resources, Nanjing University of Information Science &amp; Technology, Nanjing, China [HYMED202206] , the Artificial Intelligence Key Laboratory of Sichuan Province [2022RYJ01] , Natural Sciences and Engineering Research Council of Canada (NSERC Discovery Grants) , National Key Research and Development Program of China [grant number 2021YFC2801500] , Joint Funds of the National Natural Science Foundation of China [grant number: U1906234] , and the China Post- doctoral Science Foundation [grant number 2021M703014]</t>
  </si>
  <si>
    <t xml:space="preserve">ELSEVIER SCIENCE INC</t>
  </si>
  <si>
    <t xml:space="preserve">STE 800, 230 PARK AVE, NEW YORK, NY 10169 USA</t>
  </si>
  <si>
    <t xml:space="preserve">0169-8095</t>
  </si>
  <si>
    <t xml:space="preserve">1873-2895</t>
  </si>
  <si>
    <t xml:space="preserve">ATMOS RES</t>
  </si>
  <si>
    <t xml:space="preserve">Atmos. Res.</t>
  </si>
  <si>
    <t xml:space="preserve">SEP 1</t>
  </si>
  <si>
    <t xml:space="preserve">10.1016/j.atmosres.2023.106856</t>
  </si>
  <si>
    <t xml:space="preserve">JUN 2023</t>
  </si>
  <si>
    <t xml:space="preserve">Meteorology &amp; Atmospheric Sciences</t>
  </si>
  <si>
    <t xml:space="preserve">L4CM4</t>
  </si>
  <si>
    <t xml:space="preserve">WOS:001022754300001</t>
  </si>
  <si>
    <t xml:space="preserve">Ahmed, AAM; Deo, RC; Feng, Q; Ghahramani, A; Raj, N; Yin, ZL; Yang, LS</t>
  </si>
  <si>
    <t xml:space="preserve">Ahmed, A. A. Masrur; Deo, Ravinesh C.; Feng, Qi; Ghahramani, Afshin; Raj, Nawin; Yin, Zhenliang; Yang, Linshan</t>
  </si>
  <si>
    <t xml:space="preserve">Hybrid deep learning method for a week-ahead evapotranspiration forecasting</t>
  </si>
  <si>
    <t xml:space="preserve">STOCHASTIC ENVIRONMENTAL RESEARCH AND RISK ASSESSMENT</t>
  </si>
  <si>
    <t xml:space="preserve">Convolutional neural network; Gated recurrent unit; Hybrid-deep learning; ETo forecasting</t>
  </si>
  <si>
    <t xml:space="preserve">ARTIFICIAL NEURAL-NETWORK; EMPIRICAL MODE DECOMPOSITION; SHORT-TERM-MEMORY; CLIMATE INDEXES; SYNOPTIC-SCALE; PREDICTION; ALGORITHM; MACHINE; PRECIPITATION; OPTIMIZATION</t>
  </si>
  <si>
    <t xml:space="preserve">Reference crop evapotranspiration (ETo) is an integral hydrological factor in soil-plant-atmospheric water balance studies and the management of drought events. This paper proposes a new hybrid-deep learning approach, combining convolutional neural network (CNN) and gated recurrent unit (GRU) along with Ant Colony Optimization (ACO), for a multi-step (week 1 to 4) daily-ETo forecast. The method also assimilates a comprehensive dataset with 52 diverse predictors, i.e., satellite-derived moderate resolution imaging spectroradiometer, ground-based datasets from scientific information for landowners and synoptic-scale climate indices. To develop a vigorous CNN-GRU model, a feature selection stage entails the ant colony optimization method implemented to improve the ETo forecast model for the three selected sites in Australian Murray Darling Basin. The results demonstrate excellent forecasting capability of the hybrid CNN-GRU model against the counterpart benchmark models, evidenced by a relatively small mean absolute error and high efficiency. Overall, this study shows that the proposed hybrid CNN-GRU model successfully apprehends the complex and non-linear relationships between predictor variables and the daily ETo.</t>
  </si>
  <si>
    <t xml:space="preserve">[Ahmed, A. A. Masrur; Deo, Ravinesh C.; Raj, Nawin] Univ Southern Queensland, Sch Sci, Springfield, Qld 4300, Australia; [Feng, Qi; Yin, Zhenliang; Yang, Linshan] Chinese Acad Sci, Key Lab Ecohydrol Inland River Basin, Beijing, Peoples R China; [Feng, Qi; Yin, Zhenliang; Yang, Linshan] Chinese Acad Sci, Northwest Inst Ecoenvironm &amp; Resources, Donggang West Rd 320, Lanzhou 730000, Gansu, Peoples R China; [Ghahramani, Afshin] Univ Southern Queensland, Ctr Sustainable Agr Syst, Springfield, Qld 4500, Australia</t>
  </si>
  <si>
    <t xml:space="preserve">University of Southern Queensland; Chinese Academy of Sciences; Chinese Academy of Sciences; University of Southern Queensland</t>
  </si>
  <si>
    <t xml:space="preserve">Ahmed, AAM; Deo, RC (corresponding author), Univ Southern Queensland, Sch Sci, Springfield, Qld 4300, Australia.</t>
  </si>
  <si>
    <t xml:space="preserve">AbulAbrarMasrur.Ahmed@usq.edu.au; ravinesh.deo@usq.edu.au; qifeng@lzb.ac.cn; afshin.ghahramani@usq.edu.au; nawin.raj@usq.edu.au; yinzhenliang@lzb.ac.cn; yanglsh08@lzb.ac.cn</t>
  </si>
  <si>
    <t xml:space="preserve">Raj, Nawin/AAY-2846-2020; Ahmed, Masrur/AAR-6665-2021; Ghahramani, Afshin/C-4169-2012; yang, linshan/JJE-7963-2023; Deo, Ravinesh/F-6157-2012</t>
  </si>
  <si>
    <t xml:space="preserve">Ghahramani, Afshin/0000-0002-9648-4606; Deo, Ravinesh/0000-0002-2290-6749</t>
  </si>
  <si>
    <t xml:space="preserve">Chinese Academy of Science (CAS); University of Southern Queensland (USQ) under the USQ-CAS Postgraduate Research Scholarship</t>
  </si>
  <si>
    <t xml:space="preserve">Chinese Academy of Science (CAS)(Chinese Academy of Sciences); University of Southern Queensland (USQ) under the USQ-CAS Postgraduate Research Scholarship</t>
  </si>
  <si>
    <t xml:space="preserve">The research was supported by the Chinese Academy of Science (CAS) and the University of Southern Queensland (USQ) under the USQ-CAS Postgraduate Research Scholarship (2019-2021). Data were obtained from MODIS-satellite, SILO, and NOAA databases, which are duly acknowledged. We also thank the Editor and Reviewers for their insightful comments.</t>
  </si>
  <si>
    <t xml:space="preserve">1436-3240</t>
  </si>
  <si>
    <t xml:space="preserve">1436-3259</t>
  </si>
  <si>
    <t xml:space="preserve">STOCH ENV RES RISK A</t>
  </si>
  <si>
    <t xml:space="preserve">Stoch. Environ. Res. Risk Assess.</t>
  </si>
  <si>
    <t xml:space="preserve">10.1007/s00477-021-02078-x</t>
  </si>
  <si>
    <t xml:space="preserve">SEP 2021</t>
  </si>
  <si>
    <t xml:space="preserve">Engineering, Environmental; Engineering, Civil; Environmental Sciences; Statistics &amp; Probability; Water Resources</t>
  </si>
  <si>
    <t xml:space="preserve">Engineering; Environmental Sciences &amp; Ecology; Mathematics; Water Resources</t>
  </si>
  <si>
    <t xml:space="preserve">ZE5RX</t>
  </si>
  <si>
    <t xml:space="preserve">WOS:000693487400001</t>
  </si>
  <si>
    <t xml:space="preserve">Qian, HY; Wang, WG; Chen, G</t>
  </si>
  <si>
    <t xml:space="preserve">Qian, Haiyang; Wang, Weiguang; Chen, Gang</t>
  </si>
  <si>
    <t xml:space="preserve">Assessing forecast performance of daily reference evapotranspiration: A comparison of equations, machine and deep learning using weather forecasts</t>
  </si>
  <si>
    <t xml:space="preserve">Reference evapotranspiration; Machine and deep learning; Short-term daily forecasting; Weather forecasts; North China Plain</t>
  </si>
  <si>
    <t xml:space="preserve">REFERENCE CROP EVAPOTRANSPIRATION; PENMAN-MONTEITH MODEL</t>
  </si>
  <si>
    <t xml:space="preserve">An accurate forecast of short-term reference evapotranspiration (ET0) is crucial for effective farm and irrigation scheduling management. The techniques of forecasting ET0 have progressed from empirical equations to artificial intelligence-based models. However, gaps have remained in comprehensively evaluating the ET0 forecast performance discrepancies between various methods based on weather forecasts in addition to historical meteorological data, as well as investigating the effect of the amount of input variables on ET0 forecast accuracy. Here, the study evaluated the forecast accuracy of five conventional equations calibrated and six machine learning (ML) and deep learning (DL) models in predicting daily ET0 for a lead time of 1-7 days in the North China Plain (NCP). Comparative evaluations indicate that the Analytical Penman-Monteith (APM) is the optimum empirical equation for forecasting ET0, but its accuracy decreases as lead times increase. Conversely, ML and DL models consistently outperform empirical equations, characterized by lower mean absolute error (MAE) and root mean square error (RMSE) as well as correlation coefficient and Nash-Sutcliffe efficiency coefficient approaching 1 across all lead times. Notably, the Bidirectional Long short-term memory (Bi-LSTM) model outperforms other models, maintaining robust and effective forecast performance even on day 7. Moreover, with the increasing input variables, combining weather forecasts and historical meteorological data, the forecast performance of all models is improved, with significant enhancement observed in the Bi-LSTM model. This work provides valuable insights for choosing appropriate models to forecast ET0, holding essential in regional managing farm and irrigation systems.</t>
  </si>
  <si>
    <t xml:space="preserve">[Qian, Haiyang; Wang, Weiguang; Chen, Gang] Hohai Univ, Natl Key Lab Water Disaster Prevent, Nanjing 210098, Peoples R China; [Qian, Haiyang; Wang, Weiguang; Chen, Gang] Hohai Univ, Coll Hydrol &amp; Water Resources, Nanjing 210098, Peoples R China; [Qian, Haiyang] Univ Ghent, Hydroclimate Extremes Lab H CEL, B-9000 Ghent, Belgium</t>
  </si>
  <si>
    <t xml:space="preserve">Hohai University; Hohai University; Ghent University</t>
  </si>
  <si>
    <t xml:space="preserve">Wang, WG (corresponding author), Hohai Univ, Natl Key Lab Water Disaster Prevent, Nanjing 210098, Peoples R China.</t>
  </si>
  <si>
    <t xml:space="preserve">wangweiguang006@126.com</t>
  </si>
  <si>
    <t xml:space="preserve">Wang, Wei-Guang/D-9821-2013</t>
  </si>
  <si>
    <t xml:space="preserve">Innovation Program of Jiangsu Province [KYCX22_0637]</t>
  </si>
  <si>
    <t xml:space="preserve">Innovation Program of Jiangsu Province</t>
  </si>
  <si>
    <t xml:space="preserve">This work was supported by the National Science Foundation of China [U2240218, 52479010] and Postgraduate Research &amp; Practicer Innovation Program of Jiangsu Province [KYCX22_0637] .</t>
  </si>
  <si>
    <t xml:space="preserve">10.1016/j.jhydrol.2024.132101</t>
  </si>
  <si>
    <t xml:space="preserve">OCT 2024</t>
  </si>
  <si>
    <t xml:space="preserve">I4W4D</t>
  </si>
  <si>
    <t xml:space="preserve">WOS:001330273200001</t>
  </si>
  <si>
    <t xml:space="preserve">Zheng, X; Zhang, S; Yang, SS; Huang, JJ; Meng, XY; Zhang, JH; Bai, Y</t>
  </si>
  <si>
    <t xml:space="preserve">Zheng, Xin; Zhang, Sha; Yang, Shanshan; Huang, Jiaojiao; Meng, Xianye; Zhang, Jiahua; Bai, Yun</t>
  </si>
  <si>
    <t xml:space="preserve">Predicting future evapotranspiration based on remote sensing and deep learning</t>
  </si>
  <si>
    <t xml:space="preserve">JOURNAL OF HYDROLOGY-REGIONAL STUDIES</t>
  </si>
  <si>
    <t xml:space="preserve">Actual evapotranspiration (ETa ) prediction; Multi-head self-attention; Climate change; Deep learning (DL)</t>
  </si>
  <si>
    <t xml:space="preserve">CROP COEFFICIENTS; MODEL; RADIATION; CLIMATE</t>
  </si>
  <si>
    <t xml:space="preserve">Study region: The watersheds of the four flux sites in the United States were selected as the study areas for this research. Study focus: This study validates the efficiency of Convolutional Long Short-Term Memory Network (ConvLSTM) models for site-scale ETa prediction. We enhanced the ConvLSTM model by adding a Spatial Pyramid Pooling module (SPPM) and a Multi-head Self-Attention Module (MSAModule), creating the Multi-head Self-Attention ConvLSTM (MSA-ConvLSTM) model, which we applied to predicting regional-scale actual evapotranspiration (ETa). This study aims to investigate whether the MSA-ConvLSTM model can enhance the accuracy of predicting regional-scale ETa, considering multiple feature variables. Furthermore, we evaluated different performance indicators, discussed possible reasons for errors in regional ETa prediction, and conducted sensitivity analysis of the model characteristics. New hydrological insights for the region: The MSA-ConvLSTM model accurately predicts the future state of ETa. The average R2 was 0.81, which is 11.6 % and 5.5 % higher than those of the ConvLSTM and Self-Attention ConvLSTM (SA-ConvLSTM) models, respectively. The average RMSE is 11.94 mm/m, which is 21.5% and 13.7% lower than ConvLSTM and SA-ConvLSTM, respectively. The average MAE is 9.46 mm/m, which is 21.3 % and 13 % lower than ConvLSTM and SA-ConvLSTM, respectively. Incorporating of a multi-head self-attention module enhances the model's capacity for comprehensive understanding of input data features. This improvement allows the model to better adapt to feature relationships at varying scales and angles, enhancing its representational capacity and enabling effective adaptation to complex environmental changes.</t>
  </si>
  <si>
    <t xml:space="preserve">[Zheng, Xin; Yang, Shanshan; Huang, Jiaojiao; Meng, Xianye; Zhang, Jiahua] Qingdao Univ, Coll Comp Sci &amp; Technol, Space Informat &amp; Big Earth Data Res Ctr, Qingdao 266071, Peoples R China; [Zhang, Sha; Bai, Yun] Hebei Normal Univ, Sch Geog Sci, Shijiazhuang 050024, Peoples R China; [Zhang, Jiahua] Chinese Acad Sci, Aerosp Informat Res Inst, Beijing 100094, Peoples R China; [Zhang, Sha; Bai, Yun] Hebei Technol Innovat Ctr Remote Sensing Identific, Shijiazhuang 050024, Peoples R China; [Zhang, Sha; Bai, Yun] Hebei Key Lab Environm Change &amp; Ecol Construct, Shijiazhuang 050024, Peoples R China; [Zhang, Sha; Bai, Yun] Hebei Normal Univ, Hebei Key Res Inst Humanities &amp; Social Sci Univ, GeoComputat &amp; Planning Ctr, Shjiazhuang 050024, Peoples R China</t>
  </si>
  <si>
    <t xml:space="preserve">Qingdao University; Hebei Normal University; Chinese Academy of Sciences; Aerospace Information Research Institute, CAS; Hebei Normal University</t>
  </si>
  <si>
    <t xml:space="preserve">Zhang, JH (corresponding author), Qingdao Univ, Coll Comp Sci &amp; Technol, Space Informat &amp; Big Earth Data Res Ctr, Qingdao 266071, Peoples R China.;Bai, Y (corresponding author), Hebei Normal Univ, Sch Geog Sci, Shijiazhuang 050024, Peoples R China.</t>
  </si>
  <si>
    <t xml:space="preserve">zhangjh@radi.ac.cn; baiyun@radi.ac.cn</t>
  </si>
  <si>
    <r>
      <rPr>
        <sz val="11"/>
        <color theme="1"/>
        <rFont val="Noto Sans CJK SC"/>
        <family val="2"/>
        <charset val="1"/>
      </rPr>
      <t xml:space="preserve">杨</t>
    </r>
    <r>
      <rPr>
        <sz val="11"/>
        <color theme="1"/>
        <rFont val="Aptos Narrow"/>
        <family val="2"/>
        <charset val="1"/>
      </rPr>
      <t xml:space="preserve">, </t>
    </r>
    <r>
      <rPr>
        <sz val="11"/>
        <color theme="1"/>
        <rFont val="Noto Sans CJK SC"/>
        <family val="2"/>
        <charset val="1"/>
      </rPr>
      <t xml:space="preserve">姗姗</t>
    </r>
    <r>
      <rPr>
        <sz val="11"/>
        <color theme="1"/>
        <rFont val="Aptos Narrow"/>
        <family val="2"/>
        <charset val="1"/>
      </rPr>
      <t xml:space="preserve">/HKW-8946-2023; Zhang, Jiahua/KFS-4615-2024</t>
    </r>
  </si>
  <si>
    <t xml:space="preserve">Zhang, Jiahua/0000-0002-2894-9627</t>
  </si>
  <si>
    <t xml:space="preserve">Excellent Young Scholars Fund of Hebei Natural Science Foundation [D2023205012]; Central Guiding Local Science and Technology Development Fund of Shandong-Yellow River Basin [YDZX2023019]; Doctoral (Post-Doctoral) Research Startup Fund of Hebei Normal University [L2023B30]</t>
  </si>
  <si>
    <t xml:space="preserve">Excellent Young Scholars Fund of Hebei Natural Science Foundation; Central Guiding Local Science and Technology Development Fund of Shandong-Yellow River Basin; Doctoral (Post-Doctoral) Research Startup Fund of Hebei Normal University</t>
  </si>
  <si>
    <t xml:space="preserve">Thanks for Dr. Hidatat Ullah and Dr.Shawkat Ali for helping to edit English. Current research is supported by the Excellent Young Scholars Fund of Hebei Natural Science Foundation (Grant No. D2023205012) and the Central Guiding Local Science and Technology Development Fund of Shandong-Yellow River Basin (Grant No. YDZX2023019) . Y. B. also acknowledges the Doctoral (Post-Doctoral) Research Startup Fund of Hebei Normal University (No. L2023B30) . The FLUXNET2015 dataset used in this research is available through https://fluxnet.fluxdata.org/and is acquired and shared by the FLUXNET community, including these networks: AmeriFlux, AfriFlux, AsiaFlux, CarboAfrica, CarboMont, ChinaFlux, Fluxnet-Canada, GreenGrass, ICOS, Konlux, CarboEuropeIP, Carboltaly, LBA, NECC, OzFlux-TERN, TCOS-Siberia, and USCCC. The FLUX-NET eddy covariance data processing and harmonization were carried out by the ICOS Ecosystem Thematic Center, AmeriFlux Management Project and Fluxdata project of FLUXNET, with the support from CDIAC, and the OzFlux, ChinaFlux, and AsiaFlux offices. ERA5-Land monthly averaged data is available at https://cds.climate.copernicus.eu</t>
  </si>
  <si>
    <t xml:space="preserve">2214-5818</t>
  </si>
  <si>
    <t xml:space="preserve">J HYDROL-REG STUD</t>
  </si>
  <si>
    <t xml:space="preserve">J. Hydrol.-Reg. Stud.</t>
  </si>
  <si>
    <t xml:space="preserve">10.1016/j.ejrh.2024.102023</t>
  </si>
  <si>
    <t xml:space="preserve">L5R4Q</t>
  </si>
  <si>
    <t xml:space="preserve">WOS:001351288300001</t>
  </si>
  <si>
    <t xml:space="preserve">Giardina, F; Gentine, P; Konings, AG; Seneviratne, SI; Stocker, BD</t>
  </si>
  <si>
    <t xml:space="preserve">Giardina, Francesco; Gentine, Pierre; Konings, Alexandra G.; Seneviratne, Sonia I.; Stocker, Benjamin D.</t>
  </si>
  <si>
    <t xml:space="preserve">Diagnosing evapotranspiration responses to water deficit across biomes using deep learning</t>
  </si>
  <si>
    <t xml:space="preserve">NEW PHYTOLOGIST</t>
  </si>
  <si>
    <t xml:space="preserve">climate change; deep learning; drought; groundwater; rock moisture; root zone water storage capacity; soil moisture; vapor pressure deficit</t>
  </si>
  <si>
    <t xml:space="preserve">MEDITERRANEAN OAK WOODLANDS; SOIL-MOISTURE; SEMIARID ECOSYSTEMS; ATMOSPHERIC DEMAND; STOMATAL BEHAVIOR; ENERGY FLUXES; SURFACE-WATER; LAND; DROUGHT; CLIMATE</t>
  </si>
  <si>
    <t xml:space="preserve">Accounting for water limitation is key to determining vegetation sensitivity to drought. Quantifying water limitation effects on evapotranspiration (ET) is challenged by the heterogeneity of vegetation types, climate zones and vertically along the rooting zone.Here, we train deep neural networks using flux measurements to study ET responses to progressing drought conditions. We determine a water stress factor (fET) that isolates ET reductions from effects of atmospheric aridity and other covarying drivers. We regress fET against the cumulative water deficit, which reveals the control of whole-column moisture availability. We find a variety of ET responses to water stress. Responses range from rapid declines of fET to 10% of its water-unlimited rate at several savannah and grassland sites, to mild fET reductions in most forests, despite substantial water deficits. Most sensitive responses are found at the most arid and warm sites.A combination of regulation of stomatal and hydraulic conductance and access to belowground water reservoirs, whether in groundwater or deep soil moisture, could explain the different behaviors observed across sites. This variety of responses is not captured by a standard land surface model, likely reflecting simplifications in its representation of belowground water storage.</t>
  </si>
  <si>
    <t xml:space="preserve">[Giardina, Francesco; Stocker, Benjamin D.] Swiss Fed Inst Technol, Inst Agr Sci, Dept Environm Syst Sci, CH-8092 Zurich, Switzerland; [Giardina, Francesco; Stocker, Benjamin D.] Swiss Fed Inst Forest Snow &amp; Landscape Res WSL, CH-8903 Birmensdorf, Switzerland; [Gentine, Pierre] Columbia Univ, Dept Earth &amp; Environm Engn, New York, NY 10027 USA; [Gentine, Pierre] Columbia Univ, Ctr Learning Earth Artificial Intelligence &amp; Phys, New York, NY 10027 USA; [Konings, Alexandra G.] Stanford Univ, Dept Earth Syst Sci, Stanford, CA 94305 USA; [Seneviratne, Sonia I.] Swiss Fed Inst Technol, Inst Atmospher &amp; Climate Sci, Dept Environm Syst Sci, CH-8092 Zurich, Switzerland; [Stocker, Benjamin D.] Univ Bern, Inst Geog, Hallerstr 12, CH-3012 Bern, Switzerland; [Stocker, Benjamin D.] Univ Bern, Oeschger Ctr Climate Change Res, Falkenpl 16, CH-3012 Bern, Switzerland</t>
  </si>
  <si>
    <t xml:space="preserve">Swiss Federal Institutes of Technology Domain; ETH Zurich; Swiss Federal Institutes of Technology Domain; Swiss Federal Institute for Forest, Snow &amp; Landscape Research; Columbia University; Columbia University; Stanford University; Swiss Federal Institutes of Technology Domain; ETH Zurich; University of Bern; University of Bern</t>
  </si>
  <si>
    <t xml:space="preserve">Giardina, F (corresponding author), Swiss Fed Inst Technol, Inst Agr Sci, Dept Environm Syst Sci, CH-8092 Zurich, Switzerland.;Giardina, F (corresponding author), Swiss Fed Inst Forest Snow &amp; Landscape Res WSL, CH-8903 Birmensdorf, Switzerland.</t>
  </si>
  <si>
    <t xml:space="preserve">francesco.giardina@alumni.epfl.ch</t>
  </si>
  <si>
    <t xml:space="preserve">Konings, Alexandra/AFR-3047-2022; Seneviratne, Sonia/G-8761-2011; Gentine, Pierre/C-1495-2013; Stocker, Benjamin/K-3194-2015</t>
  </si>
  <si>
    <t xml:space="preserve">Seneviratne, Sonia/0000-0001-9528-2917; Konings, Alexandra/0000-0002-2810-1722; Gentine, Pierre/0000-0002-0845-8345; Giardina, Francesco/0000-0002-8359-809X; Stocker, Benjamin/0000-0003-2697-9096</t>
  </si>
  <si>
    <t xml:space="preserve">Schmidt Futures program; Swiss National Science Foundation [PCEFP2_181115]; National Science Foundation [DEB-1942133]; NASA MAP program [80NSSC21K1523]; European Research Council; Eidgenossische Technische Hochschule Zurich; Swiss National Science Foundation (SNF) [PCEFP2_181115] Funding Source: Swiss National Science Foundation (SNF)</t>
  </si>
  <si>
    <t xml:space="preserve">Schmidt Futures program; Swiss National Science Foundation(Swiss National Science Foundation (SNSF)); National Science Foundation(National Science Foundation (NSF)); NASA MAP program(National Aeronautics &amp; Space Administration (NASA)); European Research Council(European Research Council (ERC)); Eidgenossische Technische Hochschule Zurich; Swiss National Science Foundation (SNF)(Swiss National Science Foundation (SNSF))</t>
  </si>
  <si>
    <t xml:space="preserve">The authors thank group members Koen Hufkens and Laura Marques for providing feedback. We also thank the providers of the data sets used in this study, in particular NASA members R. Hualan, H. K. Beaudoing and M. Rodell for helpful comments. This project was supported by the generosity of Eric and Wendy Schmidt by recommendation of the Schmidt Futures program. FG and BDS were funded by the Swiss National Science Foundation grant no. PCEFP2_181115. AGK was supported by National Science Foundation DEB-1942133 and by the NASA MAP program under award 80NSSC21K1523. PG was supported by the European Research Council grant SMILE: Understanding and modelling the Earth System with Machine Learning, by the NASA funding Remote Sensing Estimate of Evapotranspiration Partitioning to Transpiration and the NASA SMAP Understanding memory effects and climatic drivers of net primary productivity and respiration enabled by SMAP vegetation optical depth (with AGK). Open access funding provided by Eidgenossische Technische Hochschule Zurich.</t>
  </si>
  <si>
    <t xml:space="preserve">0028-646X</t>
  </si>
  <si>
    <t xml:space="preserve">1469-8137</t>
  </si>
  <si>
    <t xml:space="preserve">NEW PHYTOL</t>
  </si>
  <si>
    <t xml:space="preserve">New Phytol.</t>
  </si>
  <si>
    <t xml:space="preserve">10.1111/nph.19197</t>
  </si>
  <si>
    <t xml:space="preserve">AUG 2023</t>
  </si>
  <si>
    <t xml:space="preserve">Plant Sciences</t>
  </si>
  <si>
    <t xml:space="preserve">T8VM3</t>
  </si>
  <si>
    <t xml:space="preserve">Green Published, hybrid</t>
  </si>
  <si>
    <t xml:space="preserve">WOS:001063590100001</t>
  </si>
  <si>
    <t xml:space="preserve">Stapleton, A; Eichelmann, E; Roantree, M</t>
  </si>
  <si>
    <t xml:space="preserve">Stapleton, Adam; Eichelmann, Elke; Roantree, Mark</t>
  </si>
  <si>
    <t xml:space="preserve">A framework for constructing machine learning models with feature set optimisation for evapotranspiration partitioning</t>
  </si>
  <si>
    <t xml:space="preserve">APPLIED COMPUTING AND GEOSCIENCES</t>
  </si>
  <si>
    <t xml:space="preserve">Machine learning; Evapotranspiration; Optimisation; Atmospheric sciences; Geophysics; Environmental sciences</t>
  </si>
  <si>
    <t xml:space="preserve">CARBON-DIOXIDE; WATER-VAPOR; FLUXES; ATMOSPHERE; FLUXNET; CYCLES; SITES; CO2</t>
  </si>
  <si>
    <t xml:space="preserve">A deeper understanding of the drivers of evapotranspiration and the modelling of its constituent parts (evaporation and transpiration) may be of significant importance to the monitoring and management of water resources globally over the coming decades. In this work a framework was developed to identify the best performing machine learning algorithm from a candidate set, select optimal predictive features and rank features in terms of their importance to predictive accuracy. The experiments conducted in this work used 3 separate feature sets across 4 wetland sites as input into 8 candidate machine learning algorithms, providing 96 sets of experimental configurations. Given this high number of parameters, our results show strong evidence that there is no singularly optimal machine learning algorithm or feature set across all of the wetland sites studied despite their similarities. At each of the sites at least one model was identified that improved on the predictive performance of our baseline. A key finding discovered when examining feature importance is that methane flux, a feature whose relationship with evapotranspiration is not generally examined, may contribute to further biophysical process understanding. This work demonstrates the applicability of a machine learning framework for evapotranspiration partitioning that is independent of domain knowledge, producing improved models for partitioning and identifying new and useful predictive features.</t>
  </si>
  <si>
    <t xml:space="preserve">[Stapleton, Adam] Dublin City Univ, Sch Comp, Dublin, Ireland; [Eichelmann, Elke] Univ Coll Dublin, Sch Biol &amp; Environm Sci, Dublin, Ireland; [Roantree, Mark] Dublin City Univ, Insight Ctr Data Analyt, Dublin, Ireland</t>
  </si>
  <si>
    <t xml:space="preserve">Dublin City University; University College Dublin; Dublin City University</t>
  </si>
  <si>
    <t xml:space="preserve">Stapleton, A (corresponding author), Dublin City Univ, Sch Comp, Dublin, Ireland.</t>
  </si>
  <si>
    <t xml:space="preserve">adam.stapleton9@mail.dcu.ie; elke.eichelmann@ucd.ie; mark.roantree@dcu.ie</t>
  </si>
  <si>
    <t xml:space="preserve">Eichelmann, Elke/AAK-5469-2021</t>
  </si>
  <si>
    <t xml:space="preserve">Stapleton, Adam/0000-0003-1233-211X</t>
  </si>
  <si>
    <t xml:space="preserve">Science Foundation Ireland through the SFI Centre for Research Training in Machine Learning [18/CRT/6183]; Science Foundation Ireland [SFI/12/RC/2289_P2]; European Regional Development Fund; U.S. Department of Energy Office of Science</t>
  </si>
  <si>
    <t xml:space="preserve">Science Foundation Ireland through the SFI Centre for Research Training in Machine Learning(Science Foundation Ireland (SFI)); Science Foundation Ireland(Science Foundation Ireland (SFI)); European Regional Development Fund(European Union (EU)); U.S. Department of Energy Office of Science(United States Department of Energy (DOE))</t>
  </si>
  <si>
    <t xml:space="preserve">This work was funded by Science Foundation Ireland through the SFI Centre for Research Training in Machine Learning (18/CRT/6183) and by Science Foundation Ireland Grant Number SFI/12/RC/2289_P2, co-funded by the European Regional Development Fund. Funding for the AmeriFlux data portal was provided by the U.S. Department of Energy Office of Science. The authors would like to thank the site PI Dennis D. Baldocchi for enabling access to the extensive and high quality dataset without which this work would not have been possible. We would also like to acknowledge the technicians Joseph Verfaillie and Daphne Szutu and the many Berkeley Biometeorology Lab post-docs, Ph.D. students and field assistants for their long years of work maintaining the AmeriFlux field sites and collecting and processing the data used in this study.</t>
  </si>
  <si>
    <t xml:space="preserve">2590-1974</t>
  </si>
  <si>
    <t xml:space="preserve">APPL COMPUT GEOSCI</t>
  </si>
  <si>
    <t xml:space="preserve">Appl. Comput. Geosci.</t>
  </si>
  <si>
    <t xml:space="preserve">10.1016/j.acags.2022.100105</t>
  </si>
  <si>
    <t xml:space="preserve">NOV 2022</t>
  </si>
  <si>
    <t xml:space="preserve">7H6MO</t>
  </si>
  <si>
    <t xml:space="preserve">Green Submitted, gold, Green Accepted</t>
  </si>
  <si>
    <t xml:space="preserve">WOS:000903315400003</t>
  </si>
  <si>
    <t xml:space="preserve">Alibabaei, K; Gaspar, PD; Lima, TM</t>
  </si>
  <si>
    <t xml:space="preserve">Alibabaei, Khadijeh; Gaspar, Pedro D.; Lima, Tania M.</t>
  </si>
  <si>
    <t xml:space="preserve">Modeling Soil Water Content and Reference Evapotranspiration from Climate Data Using Deep Learning Method</t>
  </si>
  <si>
    <t xml:space="preserve">APPLIED SCIENCES-BASEL</t>
  </si>
  <si>
    <t xml:space="preserve">agriculture; deep learning; LSTM; support decision-making algorithms; irrigation management</t>
  </si>
  <si>
    <t xml:space="preserve">MOISTURE; NETWORKS</t>
  </si>
  <si>
    <t xml:space="preserve">In recent years, deep learning algorithms have been successfully applied in the development of decision support systems in various aspects of agriculture, such as yield estimation, crop diseases, weed detection, etc. Agriculture is the largest consumer of freshwater. Due to challenges such as lack of natural resources and climate change, an efficient decision support system for irrigation is crucial. Evapotranspiration and soil water content are the most critical factors in irrigation scheduling. In this paper, the ability of Long Short-Term Memory (LSTM) and Bidirectional LSTM (BLSTM) to model daily reference evapotranspiration and soil water content is investigated. The application of these techniques to predict these parameters was tested for three sites in Portugal. A single-layer BLSTM with 512 nodes was selected. Bayesian optimization was used to determine the hyperparameters, such as learning rate, decay, batch size, and dropout size.The model achieved the values of mean square error values within the range of 0.014 to 0.056 and R-2 ranging from 0.96 to 0.98. A Convolutional Neural Network (CNN) model was added to the LSTM to investigate potential performance improvement. Performance dropped in all datasets due to the complexity of the model. The performance of the models was also compared with CNN, traditional machine learning algorithms Support Vector Regression, and Random Forest. LSTM achieved the best performance. Finally, the impact of the loss function on the performance of the proposed models was investigated. The model with the mean square error as loss function performed better than the model with other loss functions.</t>
  </si>
  <si>
    <t xml:space="preserve">[Alibabaei, Khadijeh; Gaspar, Pedro D.; Lima, Tania M.] Univ Beira Interior, C MAST Ctr Mech &amp; Aerosp Sci &amp; Technol, P-6201001 Covilha, Portugal; [Alibabaei, Khadijeh; Gaspar, Pedro D.; Lima, Tania M.] Univ Beira Interior, Dept Electromech Engn, Rua Marques dAvila &amp; Bolama, P-6201001 Covilha, Portugal</t>
  </si>
  <si>
    <t xml:space="preserve">Universidade da Beira Interior; Universidade da Beira Interior</t>
  </si>
  <si>
    <t xml:space="preserve">Gaspar, PD (corresponding author), Univ Beira Interior, C MAST Ctr Mech &amp; Aerosp Sci &amp; Technol, P-6201001 Covilha, Portugal.;Gaspar, PD (corresponding author), Univ Beira Interior, Dept Electromech Engn, Rua Marques dAvila &amp; Bolama, P-6201001 Covilha, Portugal.</t>
  </si>
  <si>
    <t xml:space="preserve">k.alibabaei@ubi.pt; dinis@ubi.pt; tmlima@ubi.pt</t>
  </si>
  <si>
    <t xml:space="preserve">Alibabaei, Fahimeh/AEC-7264-2022; Gaspar, Pedro Dinis/N-3016-2013; Lima, Tania/V-5052-2017</t>
  </si>
  <si>
    <t xml:space="preserve">Alibabaei, Khadijeh/0000-0002-2319-8211; Gaspar, Pedro Dinis/0000-0003-1691-1709; Lima, Tania/0000-0002-7540-3854</t>
  </si>
  <si>
    <t xml:space="preserve">project EMaDeS-Energy, Materials, and Sustainable Development [Centro-01-0145-FEDER000017]; Portugal 2020 Program (PT 2020), within the Regional Operational Program of the Center (CENTRO 2020); EU through the European Regional Development Fund (ERDF); Fundacao para a Ciencia e a Tecnologia (FCT-MCTES) [UIDB/00151/2020]; Fundação para a Ciência e a Tecnologia [UIDB/00151/2020] Funding Source: FCT</t>
  </si>
  <si>
    <t xml:space="preserve">project EMaDeS-Energy, Materials, and Sustainable Development; Portugal 2020 Program (PT 2020), within the Regional Operational Program of the Center (CENTRO 2020); EU through the European Regional Development Fund (ERDF)(European Union (EU)Marie Curie Actions); Fundacao para a Ciencia e a Tecnologia (FCT-MCTES)(Fundacao para a Ciencia e a Tecnologia (FCT)); Fundação para a Ciência e a Tecnologia(Fundacao para a Ciencia e a Tecnologia (FCT))</t>
  </si>
  <si>
    <t xml:space="preserve">This work is supported by the project Centro-01-0145-FEDER000017-EMaDeS-Energy, Materials, and Sustainable Development, co-funded by the Portugal 2020 Program (PT 2020), within the Regional Operational Program of the Center (CENTRO 2020) and the EU through the European Regional Development Fund (ERDF). Fundacao para a Ciencia e a Tecnologia (FCT-MCTES) also provided financial support via project UIDB/00151/2020 (C-MAST).</t>
  </si>
  <si>
    <t xml:space="preserve">2076-3417</t>
  </si>
  <si>
    <t xml:space="preserve">APPL SCI-BASEL</t>
  </si>
  <si>
    <t xml:space="preserve">Appl. Sci.-Basel</t>
  </si>
  <si>
    <t xml:space="preserve">JUN</t>
  </si>
  <si>
    <t xml:space="preserve">10.3390/app11115029</t>
  </si>
  <si>
    <t xml:space="preserve">Chemistry, Multidisciplinary; Engineering, Multidisciplinary; Materials Science, Multidisciplinary; Physics, Applied</t>
  </si>
  <si>
    <t xml:space="preserve">Chemistry; Engineering; Materials Science; Physics</t>
  </si>
  <si>
    <t xml:space="preserve">SP3TB</t>
  </si>
  <si>
    <t xml:space="preserve">gold, Green Published</t>
  </si>
  <si>
    <t xml:space="preserve">WOS:000659593500001</t>
  </si>
  <si>
    <t xml:space="preserve">Cemek, B; Tasan, S; Canturk, A; Tasan, M; Simsek, H</t>
  </si>
  <si>
    <t xml:space="preserve">Cemek, Bilal; Tasan, Sevda; Canturk, Aslihan; Tasan, Mehmet; Simsek, Halis</t>
  </si>
  <si>
    <t xml:space="preserve">Machine learning techniques in estimation of eggplant crop evapotranspiration</t>
  </si>
  <si>
    <t xml:space="preserve">APPLIED WATER SCIENCE</t>
  </si>
  <si>
    <t xml:space="preserve">Artificial neural network; Machine learning; Crop evapotranspiration; Eggplant; Semi-humid region</t>
  </si>
  <si>
    <t xml:space="preserve">LIMITED METEOROLOGICAL DATA; DIFFERENT CLIMATES; EDDY-COVARIANCE; NEURAL-NETWORKS; WATER-USE; EVAPORATION; SOIL; MODELS; WHEAT; TREE</t>
  </si>
  <si>
    <t xml:space="preserve">This study predicted the daily evapotranspiration of eggplant (Solanum melongena L.) under full and deficit irrigation in the Bafra district of Samsun province, Turkey, using machine learning methods. Artificial neural networks (ANNs), deep neural networks (DNN), M5 model tree (M5Tree), random forest (RF), support vector machine (SVM), k-nearest neighbor (kNN), and adaptive boosting were investigated as machine learning approaches. Determination of evapotranspiration in this study consists of three methods: (i) The reference evapotranspiration (ETo) was obtained from the Food and Agriculture Organization-56 Penman-Monteith equation, (ii) the values of evapotranspiration (ETc) calculated by multiplying the reference evapotranspiration by the crop coefficient (K-c), and (iii) the values of evapotranspiration (ETa) measured using soil water balance between successive soil water measurements as the outputs. The model's performance in ETo estimation was higher when minimum and maximum temperature (T-max and T-min), wind speed (u(2)), average relative humidity (RHavg), solar radiation (R-s), and days of the year were used as inputs. The best performance was obtained in the ANN model with a coefficient of determination (R-2) value of 0.984, a mean absolute error (MAE) of 0.098 mm d(-1), a root-mean-square error (RMSE) of 0.153 mm d(-1), and Nash-Sutcliffe efficiency of 0.983. The model's performance in ETc estimation was significantly improved with the addition of leaf area index (LAI) and crop height (h(c)) to the climate parameters (MAE and RMSE values decreased by 22.6 and 23.2%, respectively). The accuracy of ETc estimation for some plant traits (h(c) and LAI) and average temperature (T-avg) was sufficient. The best statistical performance in estimating ETa was obtained by the RF model (T-avg, u(2), RHavg, and R-s) using climate parameters. DNN proved to be the least successful model compared to the other six models in predicting ETo, ETc, and ETa.</t>
  </si>
  <si>
    <t xml:space="preserve">[Cemek, Bilal; Tasan, Sevda] Ondokuz Mayis Univ, Fac Agr, Dept Agr Struct &amp; Irrigat, Samsun, Turkiye; [Canturk, Aslihan; Tasan, Mehmet] Black Sea Agr Res Inst, Dept Soil &amp; Water Resources, Samsun, Turkiye; [Simsek, Halis] Purdue Univ, Dept Agr &amp; Biol Engn, W Lafayette, IN USA</t>
  </si>
  <si>
    <t xml:space="preserve">Ondokuz Mayis University; Ministry of Agriculture &amp; Forestry - Turkey; Purdue University System; Purdue University</t>
  </si>
  <si>
    <t xml:space="preserve">Cemek, B (corresponding author), Ondokuz Mayis Univ, Fac Agr, Dept Agr Struct &amp; Irrigat, Samsun, Turkiye.</t>
  </si>
  <si>
    <t xml:space="preserve">bcemek@omu.edu.tr</t>
  </si>
  <si>
    <t xml:space="preserve">Cemek, Bilal/AAZ-7757-2020; Canturk, Aslihan/JAO-0899-2023; Simsek, Halis/GNM-6269-2022; taşan, sevda/HJZ-1498-2023</t>
  </si>
  <si>
    <t xml:space="preserve">TASAN, Mehmet/0000-0002-5592-5022</t>
  </si>
  <si>
    <t xml:space="preserve">Scientific and Technological Research Council of Turkiye (TUBITAK) [114O538]</t>
  </si>
  <si>
    <t xml:space="preserve">Scientific and Technological Research Council of Turkiye (TUBITAK)(Turkiye Bilimsel ve Teknolojik Arastirma Kurumu (TUBITAK))</t>
  </si>
  <si>
    <t xml:space="preserve">This work was financially supported by the Scientific and Technological Research Council of Turkiye (TUBITAK) under Grant [Number 114O538].</t>
  </si>
  <si>
    <t xml:space="preserve">2190-5487</t>
  </si>
  <si>
    <t xml:space="preserve">2190-5495</t>
  </si>
  <si>
    <t xml:space="preserve">APPL WATER SCI</t>
  </si>
  <si>
    <t xml:space="preserve">Appl. Water Sci.</t>
  </si>
  <si>
    <t xml:space="preserve">10.1007/s13201-023-01942-1</t>
  </si>
  <si>
    <t xml:space="preserve">H0FD2</t>
  </si>
  <si>
    <t xml:space="preserve">WOS:000992798900001</t>
  </si>
  <si>
    <t xml:space="preserve">Granata, F; Di Nunno, F</t>
  </si>
  <si>
    <t xml:space="preserve">Granata, Francesco; Di Nunno, Fabio</t>
  </si>
  <si>
    <t xml:space="preserve">Forecasting evapotranspiration in different climates using ensembles of recurrent neural networks</t>
  </si>
  <si>
    <t xml:space="preserve">Evapotranspiration; Ensemble models; Deep learning; LSTM; NARX; Forecasting</t>
  </si>
  <si>
    <t xml:space="preserve">EXTREME LEARNING-MACHINE; EVAPORATION</t>
  </si>
  <si>
    <t xml:space="preserve">Accurate ahead evapotranspiration forecasting is crucial for irrigation planning, for wetlands, agricultural and forest habitats preservation, and for water resource management. Deep learning algorithms can be used to develop effective forecasting models of ahead evapotranspiration. In this study, three Recurrent Neural Networkbased models were built for the prediction of short term ahead actual evapotranspiration. Two variants of each model were developed changing the employed algorithm, selecting between long short-term memory (LSTM) and nonlinear autoregressive network with exogenous inputs (NARX), while the modeling was performed in the context of an ensemble approach. The prediction models were trained and tested using data from two sites with different climates: Cypress Swamp, southern Florida, and Kobeh Valley, central Nevada. With reference to the subtropical climatic conditions of South Florida, LSTM models proved to be more accurate than NARX models, while some exogenous variables such as sensible heat flux and relative humidity did not affect the results significantly. An increase of the forecast horizon from 1 to 7 days resulted in a slight reduction in the accuracy of both the LSTM- and NARX based models. Considering instead the semi-arid climate of Central Nevada, NARX models generally provided more accurate results, which were only slightly affected by relative humidity, sensible heat flux, and forecast horizon. On the other hand, LSTM models performance decayed if sensible heat flux and relative humidity were neglected, and if the forecast horizon was increased from 1 to 7 days. Deep learning-based models can provide very accurate predictions of actual evapotranspiration, but the performance of the models can be significantly affected by local climatic conditions.</t>
  </si>
  <si>
    <t xml:space="preserve">[Granata, Francesco; Di Nunno, Fabio] Univ Cassino &amp; Southern Lazio, Dept Civil &amp; Mech Engn DICEM, Via Biasio 43, I-03043 Cassino, Frosinone, Italy</t>
  </si>
  <si>
    <t xml:space="preserve">University of Cassino</t>
  </si>
  <si>
    <t xml:space="preserve">Granata, F (corresponding author), Univ Cassino &amp; Southern Lazio, Dept Civil &amp; Mech Engn DICEM, Via Biasio 43, I-03043 Cassino, Frosinone, Italy.</t>
  </si>
  <si>
    <t xml:space="preserve">f.granata@unicas.it</t>
  </si>
  <si>
    <t xml:space="preserve">GRANATA, Francesco/P-5197-2014</t>
  </si>
  <si>
    <t xml:space="preserve">10.1016/j.agwat.2021.107040</t>
  </si>
  <si>
    <t xml:space="preserve">JUN 2021</t>
  </si>
  <si>
    <t xml:space="preserve">TU8LA</t>
  </si>
  <si>
    <t xml:space="preserve">WOS:000681281300002</t>
  </si>
  <si>
    <t xml:space="preserve">Tausif, M; Dilshad, S; Umer, Q; Iqbal, MW; Latif, Z; Lee, CH; Bashir, RN</t>
  </si>
  <si>
    <t xml:space="preserve">Tausif, Muhammad; Dilshad, Sania; Umer, Qasim; Iqbal, Muhammad Waseem; Latif, Zohaib; Lee, Choonhwa; Bashir, Rab Nawaz</t>
  </si>
  <si>
    <t xml:space="preserve">Ensemble learning-based estimation of reference evapotranspiration (ET0)</t>
  </si>
  <si>
    <t xml:space="preserve">INTERNET OF THINGS</t>
  </si>
  <si>
    <t xml:space="preserve">Ensemble learning; Bagging; Boosting; Reference evapotranspiration; Convolutional neural network; Long short-term memory; IoT</t>
  </si>
  <si>
    <t xml:space="preserve">MODELS; ALGORITHMS; VEGETATION</t>
  </si>
  <si>
    <t xml:space="preserve">Reference Evapotranspiration (ET0) is crucial and influential in irrigation water management. Precise ET0 rate estimation is vital for successful agriculture water management. There are numerous techniques for ET0 rate simulation, but machine learning (ML) and deep learning (DL) approaches are currently popular. This study proposes an ensemble learning-based model for ET0 rate estimation. The proposed model leverages minimum meteorological parameters, i.e., minimum temperature (Tmin), maximum temperature (Tmax), relative humidity (RH), and mean wind speed (WS) as input features. The proposed model employs Random Forest Bagging and Gradient Boosting models as bagging and boosting ensemble techniques for the accurate ET0 rate estimation. The 10-fold cross-validation method is leveraged for the evaluation of the proposed model. The performance results of the proposed model are compared with the baseline model of ET0 estimation, i.e., the Food and Agriculture Organization Penman-Monteith (FAO-56 PM) and off-the-shelf deep learning models. The performance results indicate that Random Forest Bagging is significant as it yields Gradient Boosting and baseline models with 93.15% f-measure and reduces Root Mean Squared Error (RMSE) and Mean Absolute Error (MAE) by 17% and 10%, respectively.</t>
  </si>
  <si>
    <t xml:space="preserve">[Tausif, Muhammad; Iqbal, Muhammad Waseem] Super Univ, Dept Comp Sci, Lahore 54000, Pakistan; [Tausif, Muhammad; Dilshad, Sania; Umer, Qasim; Bashir, Rab Nawaz] COMSATS Univ Islamabad, Dept Comp Sci, Vehari 61000, Pakistan; [Umer, Qasim; Lee, Choonhwa] Hanyang Univ, Dept Comp Sci, Seoul 04763, South Korea; [Latif, Zohaib] Nazarbayev Univ, Sch Engn &amp; Digital Sci SEDS, Dept Comp Sci, Astana 010000, Kazakhstan</t>
  </si>
  <si>
    <t xml:space="preserve">COMSATS University Islamabad (CUI); Hanyang University; Nazarbayev University</t>
  </si>
  <si>
    <t xml:space="preserve">Umer, Q (corresponding author), COMSATS Univ Islamabad, Dept Comp Sci, Vehari 61000, Pakistan.;Umer, Q; Lee, CH (corresponding author), Hanyang Univ, Dept Comp Sci, Seoul 04763, South Korea.</t>
  </si>
  <si>
    <t xml:space="preserve">raotausif@cuivehari.edu.pk; saniadilshad235@gmail.com; qasimumer@cuivehari.edu.pk; waseem.iqbal@superior.edu.pk; latif.zohaib@nu.edu.kz; lee@hanyang.ac.kr; rabnawaz@cuivehari.edu.pk</t>
  </si>
  <si>
    <t xml:space="preserve">Bashir, Rab Nawaz/JTU-8876-2023; Umer, Qasim/ABE-3384-2021; Latif, Zoahib/ABA-3775-2020</t>
  </si>
  <si>
    <t xml:space="preserve">Umer, Qasim/0000-0002-0237-3025</t>
  </si>
  <si>
    <t xml:space="preserve">Institute of Information &amp; Communications Technology Planning &amp; Evaluation (IITP) - Korea government (MSIT) [2021-0-00590]</t>
  </si>
  <si>
    <t xml:space="preserve">Institute of Information &amp; Communications Technology Planning &amp; Evaluation (IITP) - Korea government (MSIT)(Institute for Information &amp; Communication Technology Planning &amp; Evaluation (IITP), Republic of KoreaMinistry of Science &amp; ICT (MSIT), Republic of Korea)</t>
  </si>
  <si>
    <t xml:space="preserve">This work was funded by the Institute of Information &amp; Communications Technology Planning &amp; Evaluation (IITP) grant funded by the Korea government (MSIT) (No. 2021-0-00590), Decentralized High Performance Consensus for Large-Scale Blockchains.</t>
  </si>
  <si>
    <t xml:space="preserve">2543-1536</t>
  </si>
  <si>
    <t xml:space="preserve">2542-6605</t>
  </si>
  <si>
    <t xml:space="preserve">INTERNET THINGS-NETH</t>
  </si>
  <si>
    <t xml:space="preserve">Internet Things</t>
  </si>
  <si>
    <t xml:space="preserve">10.1016/j.iot.2023.100973</t>
  </si>
  <si>
    <t xml:space="preserve">Computer Science, Information Systems; Engineering, Electrical &amp; Electronic; Telecommunications</t>
  </si>
  <si>
    <t xml:space="preserve">Computer Science; Engineering; Telecommunications</t>
  </si>
  <si>
    <t xml:space="preserve">Z4HN0</t>
  </si>
  <si>
    <t xml:space="preserve">WOS:001111702700001</t>
  </si>
  <si>
    <t xml:space="preserve">Ahmadi, A; Daccache, A; Sadegh, M; Snyder, RL</t>
  </si>
  <si>
    <t xml:space="preserve">Ahmadi, Arman; Daccache, Andre; Sadegh, Mojtaba; Snyder, Richard L.</t>
  </si>
  <si>
    <t xml:space="preserve">Statistical and deep learning models for reference evapotranspiration time series forecasting: A comparison of accuracy, complexity, and data efficiency</t>
  </si>
  <si>
    <t xml:space="preserve">Reference Evapotranspiration; Time Series Forecasting; Deep Learning; Prediction Accuracy; Data Efficiency; Computational Cost</t>
  </si>
  <si>
    <t xml:space="preserve">Reference evapotranspiration (ETo) is an essential variable in agricultural water resources management and irrigation scheduling. An accurate and reliable forecast of ETo facilitates effective decision-making in agriculture. Although numerous studies assessed various methodologies for ETo forecasting, an in-depth multi-dimensional analysis evaluating different aspects of these methodologies is missing. This study systematically evaluates the complexity, computational cost, data efficiency, and accuracy of ten models that have been used or could potentially be used for ETo forecasting. These models range from well-known statistical forecasting models like seasonal autoregressive integrated moving average (SARIMA) to state-of-the-art deep learning (DL) algorithms like temporal fusion transformer (TFT). This study categorizes monthly ETo time series from 107 weather stations across California according to their length to better understand the forecasting models' data efficiency. Moreover, two forecasting strategies (i.e., recursive and multi-input multi-output) are employed for machine learning and DL models, and forecasts are assessed for different multi-step horizons. Our findings show that statistical forecasting models like Holt-Winters' exponential smoothing perform almost as well as complex DL models. Unlike statistical models, DL models generally suffer from low data efficiency and perform well only when enough data is available. Importantly, although the computational costs of most DL models are higher than statistical methods, this is not the case for all. Considering computational cost, data efficiency, and forecasting accuracy, our findings point to the superiority of the neural basis expansion analysis for interpretable time series forecasting (N-BEATS) architecture for univariate ETo time series forecasting. Moreover, our results suggest HoltWinters and Theta methods outperform SARIMA - the most employed statistical model for ETo forecasting in the literature - in accuracy and efficiency.</t>
  </si>
  <si>
    <t xml:space="preserve">[Ahmadi, Arman; Daccache, Andre] Univ Calif Davis, Dept Biol &amp; Agr Engn, Davis, CA 95616 USA; [Sadegh, Mojtaba] Boise State Univ, Dept Civil Engn, Boise, ID 83706 USA; [Snyder, Richard L.] Univ Calif Davis, Dept Land Air &amp; Water Resources, Davis, CA 95616 USA</t>
  </si>
  <si>
    <t xml:space="preserve">University of California System; University of California Davis; Boise State University; University of California System; University of California Davis</t>
  </si>
  <si>
    <t xml:space="preserve">Daccache, A (corresponding author), Univ Calif Davis, Dept Biol &amp; Agr Engn, Davis, CA 95616 USA.</t>
  </si>
  <si>
    <t xml:space="preserve">adaccache@ucdavis.edu</t>
  </si>
  <si>
    <t xml:space="preserve">Daccache, Andre/AAY-3883-2020</t>
  </si>
  <si>
    <t xml:space="preserve">Daccache, Andre/0000-0002-4093-2182</t>
  </si>
  <si>
    <t xml:space="preserve">10.1016/j.compag.2023.108424</t>
  </si>
  <si>
    <t xml:space="preserve">AP6V2</t>
  </si>
  <si>
    <t xml:space="preserve">WOS:001119714100001</t>
  </si>
  <si>
    <t xml:space="preserve">Rahman, M; Hasan, MM; Hossain, MA; Das, UK; Islam, MM; Karim, MR; Faiz, H; Hammad, Z; Sadiq, S; Alam, M</t>
  </si>
  <si>
    <t xml:space="preserve">Rahman, Mahfuzur; Hasan, Md Mehedi; Hossain, Md Anuwer; Das, Utpal Kanti; Islam, Md Monirul; Karim, Mohammad Rezaul; Faiz, Hamid; Hammad, Zulfiqar; Sadiq, Shamsher; Alam, Mehtab</t>
  </si>
  <si>
    <t xml:space="preserve">Integrating deep learning algorithms for forecasting evapotranspiration and assessing crop water stress in agricultural water management</t>
  </si>
  <si>
    <t xml:space="preserve">JOURNAL OF ENVIRONMENTAL MANAGEMENT</t>
  </si>
  <si>
    <t xml:space="preserve">Climate change; Crop water stress index; State-of-the-art models; Evapotranspiration; Agricultural management</t>
  </si>
  <si>
    <t xml:space="preserve">NEURAL-NETWORKS</t>
  </si>
  <si>
    <t xml:space="preserve">The increasing impacts of climate change on global agriculture necessitate the development of advanced predictive models for efficient water management in crop fields. This study aims to enhance the forecasting of evapotranspiration (ET), potential evapotranspiration (PET), and crop water stress index (CWSI) using state-ofthe-art deep learning techniques. This research integrates high-resolution climatic data from the ACCESS-ESM model and incorporates four shared socioeconomic pathways (SSPs) to represent a wide range of future climate scenarios. We employ feed forward neural networks (FFNNs), convolutional neural networks (CNNs), gated recurrent units (GRUs), and long short-term memory networks (LSTMs) to predict ET, PET, and CWSI. These findings reveal significant improvements in prediction accuracy, offering valuable insights for agricultural water management in Bangladesh. This approach provides a robust framework for optimizing irrigation practices and enhancing crop resilience against climate-induced water stress.</t>
  </si>
  <si>
    <t xml:space="preserve">[Rahman, Mahfuzur; Hasan, Md Mehedi; Hossain, Md Anuwer; Das, Utpal Kanti; Islam, Md Monirul; Karim, Mohammad Rezaul] Int Univ Business Agr &amp; Technol, Dhaka 1230, Bangladesh; [Faiz, Hamid] Univ Chinese Acad Sci UCAS, Inst Mt Hazards &amp; Environm, Beijing 100049, Peoples R China; [Hammad, Zulfiqar; Sadiq, Shamsher] Kunsan Natl Univ, Renewable Energy Res Inst, 558 Daehak ro, Gunsan Si 54150, Jeollabukdo, South Korea; [Alam, Mehtab] Ghulam Ishaq Khan Inst Engn Sci &amp; Technol, Dept Civil Engn, Topi 23640, Swabi, Pakistan</t>
  </si>
  <si>
    <t xml:space="preserve">International University of Business Agriculture &amp; Technology (IUBAT); Chinese Academy of Sciences; Institute of Mountain Hazards &amp; Environment, CAS; Kunsan National University; GIK Institute Engineering Science &amp; Technology</t>
  </si>
  <si>
    <t xml:space="preserve">Rahman, M (corresponding author), Int Univ Business Agr &amp; Technol, Dhaka 1230, Bangladesh.;Alam, M (corresponding author), Ghulam Ishaq Khan Inst Engn Sci &amp; Technol, Dept Civil Engn, Topi 23640, Swabi, Pakistan.</t>
  </si>
  <si>
    <t xml:space="preserve">mfz.rahman@iubat.edu; mehtab.alam@giki.edu.pk</t>
  </si>
  <si>
    <t xml:space="preserve">Faiz, Hamid/MSY-6439-2025; Rahman, Mahfuzur/AAO-9293-2020; Islam, Monirul/AAT-2083-2021; Karim, Mohammad/AAL-7197-2021; Sadiq, Shamsher/JWO-2809-2024</t>
  </si>
  <si>
    <t xml:space="preserve">Karim, Mohammad Rezaul/0009-0002-5983-8855; Shamsher, Sadiq/0000-0002-9117-9856</t>
  </si>
  <si>
    <t xml:space="preserve">ACADEMIC PRESS LTD- ELSEVIER SCIENCE LTD</t>
  </si>
  <si>
    <t xml:space="preserve">LONDON</t>
  </si>
  <si>
    <t xml:space="preserve">24-28 OVAL RD, LONDON NW1 7DX, ENGLAND</t>
  </si>
  <si>
    <t xml:space="preserve">0301-4797</t>
  </si>
  <si>
    <t xml:space="preserve">1095-8630</t>
  </si>
  <si>
    <t xml:space="preserve">J ENVIRON MANAGE</t>
  </si>
  <si>
    <t xml:space="preserve">J. Environ. Manage.</t>
  </si>
  <si>
    <t xml:space="preserve">FEB</t>
  </si>
  <si>
    <t xml:space="preserve">10.1016/j.jenvman.2025.124363</t>
  </si>
  <si>
    <t xml:space="preserve">W8Q0Z</t>
  </si>
  <si>
    <t xml:space="preserve">WOS:001421139000001</t>
  </si>
  <si>
    <t xml:space="preserve">Ferreira, LB; da Cunha, FF</t>
  </si>
  <si>
    <t xml:space="preserve">Ferreira, Lucas Borges; da Cunha, Fernando Franca</t>
  </si>
  <si>
    <t xml:space="preserve">Multi-step ahead forecasting of daily reference evapotranspiration using deep learning</t>
  </si>
  <si>
    <t xml:space="preserve">Long short-term memory; One-dimensional convolutional neural network; Machine learning; Time series</t>
  </si>
  <si>
    <t xml:space="preserve">NEURAL-NETWORK; METHODOLOGY; PREDICTION</t>
  </si>
  <si>
    <t xml:space="preserve">Daily reference evapotranspiration (ETo) forecasts can help farmers in irrigation planning. Therefore, this study assesses the potential of deep learning (long short-term memory (LSTM), one-dimensional convolutional neural network (1D CNN) and a combination of the two previous models (CNN-LSTM)) and traditional machine learning models (artificial neural network (ANN) and random forest (RF)), in regional and local scenarios, to forecast multi-step ahead daily ETo (seven days) using iterated, direct and multiple input multiple output (MIMO) forecasting strategies. Three input data combinations were assessed: (1) only lagged ETo; (2) lagged ETo + day of the year of each step of the time lag considered; and (3) the same of input combination 2 + lagged meteorological variables. Data from 53 weather stations located in Minas Gerais, Brazil, were used. Four stations were used as test stations. Two baselines were also employed: (B1), all the forecasting horizon is considered equal to the mean ETo measured during the last seven days; and (B2), ahead ETo values are considered equal to their respective historical monthly means. In general, MIMO was the best forecasting strategy, offering good performance and lower computational cost. The deep learning models performed slightly better than the machine learning models, and both were better than the best baseline (B2), mainly on the first and second forecasting days. Among the deep learning models, CNN-LSTM2 (i.e., CNN-LSTM with input combination 2) performed the best in local scenario (mean RMSE over the prediction horizon and stations equal to 0.87), and CNNLSTM3 performed the best in regional scenario (mean RMSE equal to 0.88). The regional models are recommended instead of the local models since they exhibited similar performances and have higher generalization capacity. Finally, although the models developed have not exhibited high accuracies, they can be useful tools in places where historical monthly mean ETo is used to forecast ETo.</t>
  </si>
  <si>
    <t xml:space="preserve">[Ferreira, Lucas Borges; da Cunha, Fernando Franca] Univ Fed Vicosa, Dept Agr Engn, Av Peter Henry Rolfs S-N, BR-36570000 Vicosa, MG, Brazil</t>
  </si>
  <si>
    <t xml:space="preserve">Universidade Federal de Vicosa</t>
  </si>
  <si>
    <t xml:space="preserve">Ferreira, LB (corresponding author), Univ Fed Vicosa, Dept Agr Engn, Av Peter Henry Rolfs S-N, BR-36570000 Vicosa, MG, Brazil.</t>
  </si>
  <si>
    <t xml:space="preserve">contato.lucasbf@gmail.com</t>
  </si>
  <si>
    <t xml:space="preserve">Franca da Cunha, Fernando/M-6713-2016</t>
  </si>
  <si>
    <t xml:space="preserve">Franca da Cunha, Fernando/0000-0002-1671-1021</t>
  </si>
  <si>
    <t xml:space="preserve">Coordenacao de Aperfeicoamento de Pessoal de Nivel Superior - Brasil (CAPES) [001]; CNPq, National Council for Scientific and Technological Development - Brazil</t>
  </si>
  <si>
    <t xml:space="preserve">Coordenacao de Aperfeicoamento de Pessoal de Nivel Superior - Brasil (CAPES)(Coordenacao de Aperfeicoamento de Pessoal de Nivel Superior (CAPES)); CNPq, National Council for Scientific and Technological Development - Brazil(Conselho Nacional de Desenvolvimento Cientifico e Tecnologico (CNPQ))</t>
  </si>
  <si>
    <t xml:space="preserve">The present study was supported by the Coordenacao de Aperfeicoamento de Pessoal de Nivel Superior - Brasil (CAPES) Finance Code 001 and CNPq, National Council for Scientific and Technological Development - Brazil. The authors wish to thank the Brazilian National Institute of Meteorology (INMET) for the meteorological data used.</t>
  </si>
  <si>
    <t xml:space="preserve">OXFORD</t>
  </si>
  <si>
    <t xml:space="preserve">THE BOULEVARD, LANGFORD LANE, KIDLINGTON, OXFORD OX5 1GB, OXON, ENGLAND</t>
  </si>
  <si>
    <t xml:space="preserve">10.1016/j.compag.2020.105728</t>
  </si>
  <si>
    <t xml:space="preserve">PB5WI</t>
  </si>
  <si>
    <t xml:space="preserve">WOS:000596390600001</t>
  </si>
  <si>
    <t xml:space="preserve">Xing, LW; Cui, NB; Guo, L; Du, TS; Gong, DZ; Zhan, C; Zhao, L; Wu, ZJ</t>
  </si>
  <si>
    <t xml:space="preserve">Xing, Liwen; Cui, Ningbo; Guo, Li; Du, Taisheng; Gong, Daozhi; Zhan, Cun; Zhao, Long; Wu, Zongjun</t>
  </si>
  <si>
    <t xml:space="preserve">Estimating daily reference evapotranspiration using a novel hybrid deep learning model</t>
  </si>
  <si>
    <t xml:space="preserve">Empirical model; Hybrid deep learning model; Deep Belief Network; Long Short-Term Memory; K-fold cross validation</t>
  </si>
  <si>
    <t xml:space="preserve">LIMITED METEOROLOGICAL DATA; GRADIENT DESCENT ALGORITHM; NEURAL-NETWORK; LATENT EVAPORATION; PREDICTION; MACHINE; EQUATIONS; SVM; ELM; ANN</t>
  </si>
  <si>
    <t xml:space="preserve">Reference evapotranspiration (ET0) is usually employed for estimating actual crop ET together with crop co-efficients (Kc). However, it is necessary to explore an alternative model to estimate ET0 concisely because of numerous limitations in the Penman-Monteith method. To improve the ET0 estimation accuracy using limited meteorological data, this study developed a novel hybrid deep learning model (D-LSTM) based on the meteo-rological data during 1961-2020 observed at fifty stations on the Loess Plateau, which used the Deep Belief Network (DBN) module to extract features from meteorological data and the Long Short-Term Memory (LSTM) module to expand time features and process data information with sequential features, respectively. Based on the comparative evaluation of ET0 estimation accuracy between the D-LSTM, DBN, LSTM, and nine empirical models, the results drawn from this study demonstrated that the D-LSTM model manifested the best performance as RH-based, Rn-based, and T-based ET0 estimating models. For local strategy, the value of R2, NSE, RMSE, MAPE, and GPI ranging 0.941 +/- 0.020, 0.940 +/- 0.032, 0.436 +/- 0.457 mm d-1, 0.150 +/- 0.016, and 1.611 +/- 0.180 for D-LSTM1 (RH-based), 0.944 +/- 0.030, 0.943 +/- 0.037, 0.423 +/- 0.313 mm d-1, 0.119 +/- 0.013, and 1.917 +/- 0.155 for D-LSTM2 (Rn-based), and 0.902 +/- 0.091, 0.891 +/- 0.094, 0.558 +/- 0.319 mm d-1, 0.181 +/- 0.058, and 1.440 +/- 0.550 for D-LSTM3 (T-based). For external strategy, the average value of R2, NSE, RMSE, MAPE, and GPI were 0.874, 0.872, 0.651 mm d-1, 0.159, and 1.837 for D-LSTM1, 0.894, 0.892, 0.591 mm d-1, 0.138, and 2.000 for D-LSTM2, and 0.839, 0.827, 0.768 mm d-1, 0.212, and 1.482 for D-LSTM3. Following, the LSTM performed better than DBN for local strategy, but vice versa for external strategy. Despite DL models outperforming RH-based and Rn-based empirical models, H-S outperformed the DBN3 for local strategy, and was superior to LSTM3 for external strategy. Under limited meteorological data, the Rn-based ET0 estimating models are superior to RH-based and T-based models, and RH-based achieved better accuracy than T-based for DL models, but vice versa for empirical models. There is significant spatial variability in the accuracy of daily ET0 models, but the high precision of the D-LSTM was stable on the Loess Plateau. Overall, the D-LSTM model, which combines the advantages of DBN and LSTM, is the most recommended ET0 model using incomplete meteoro-logical data on the Loess Plateau, which is very helpful for farmers or irrigation system operators to improve their irrigation scheduling.</t>
  </si>
  <si>
    <t xml:space="preserve">[Xing, Liwen; Cui, Ningbo; Guo, Li; Zhan, Cun; Wu, Zongjun] Sichuan Univ, State Key Lab Hydraul &amp; Mt River Engn, Chengdu 610065, Peoples R China; [Xing, Liwen; Cui, Ningbo; Guo, Li; Zhan, Cun; Wu, Zongjun] Sichuan Univ, Coll Water Resource &amp; Hydropower, Chengdu 610065, Peoples R China; [Du, Taisheng] China Agr Univ, Ctr Agr Water Res China, Beijing 100091, Peoples R China; [Gong, Daozhi] Chinese Acad Agr Sci, Inst Environm &amp; Sustainable Dev Agr, State Engn Lab Efficient Water Use Crops &amp; Disaste, Beijing 100081, Peoples R China; [Zhao, Long] Henan Univ Sci &amp; Technol, Coll Agr Equipment Engn, Luoyang 471000, Peoples R China; [Cui, Ningbo] Sichuan Univ, Coll Water Resource &amp; Hydropower, Chengdu 610065, Peoples R China</t>
  </si>
  <si>
    <t xml:space="preserve">Sichuan University; Sichuan University; China Agricultural University; Chinese Academy of Agricultural Sciences; Institute of Environment &amp; Sustainable Development in Agriculture, CAAS; Henan University of Science &amp; Technology; Sichuan University</t>
  </si>
  <si>
    <t xml:space="preserve">Cui, NB (corresponding author), Sichuan Univ, Coll Water Resource &amp; Hydropower, Chengdu 610065, Peoples R China.</t>
  </si>
  <si>
    <t xml:space="preserve">cuiningbo@126.com</t>
  </si>
  <si>
    <t xml:space="preserve">Xing, Liwen/HNC-5029-2023; Guo, Li/B-7820-2016</t>
  </si>
  <si>
    <t xml:space="preserve">Guo, Li/0000-0003-3821-4058; Cui, Ningbo/0000-0002-9437-7284</t>
  </si>
  <si>
    <t xml:space="preserve">National Key Research and Development Program of China, China [2016YFC0400206]; National Natural Science Foundation of China, China [51922072, 51779161, 51009101]; Fundamental Research Funds for the Central Universities of China, China [2018CDPZH10, 2016CDDY-S04-SCU, 2017CDLZ-N22]</t>
  </si>
  <si>
    <t xml:space="preserve">National Key Research and Development Program of China, China(National Key Research &amp; Development Program of China); National Natural Science Foundation of China, China(National Natural Science Foundation of China (NSFC)); Fundamental Research Funds for the Central Universities of China, China</t>
  </si>
  <si>
    <t xml:space="preserve">This work was funded by the National Key Research and Development Program of China, China (2016YFC0400206) , the National Natural Science Foundation of China, China (51922072, 51779161, 51009101) , and the Fundamental Research Funds for the Central Universities of China, China (2018CDPZH10, 2016CDDY-S04-SCU, 2017CDLZ-N22) .</t>
  </si>
  <si>
    <t xml:space="preserve">10.1016/j.jhydrol.2022.128567</t>
  </si>
  <si>
    <t xml:space="preserve">6F0UT</t>
  </si>
  <si>
    <t xml:space="preserve">WOS:000883786500002</t>
  </si>
  <si>
    <t xml:space="preserve">Jung, DH; Lee, TS; Kim, K; Park, SH</t>
  </si>
  <si>
    <t xml:space="preserve">Jung, Dae-Hyun; Lee, Taek Sung; Kim, KangGeon; Park, Soo Hyun</t>
  </si>
  <si>
    <t xml:space="preserve">A Deep Learning Model to Predict Evapotranspiration and Relative Humidity for Moisture Control in Tomato Greenhouses</t>
  </si>
  <si>
    <t xml:space="preserve">AGRONOMY-BASEL</t>
  </si>
  <si>
    <t xml:space="preserve">intelligent modeling for crops and their environment; multi-factor control for greenhouse environment; deep learning in agriculture</t>
  </si>
  <si>
    <t xml:space="preserve">NEURAL-NETWORK MODELS; CROP EVAPOTRANSPIRATION; NATURAL VENTILATION; PENMAN-MONTEITH; TEMPERATURE; SIMULATION; STRATEGY</t>
  </si>
  <si>
    <t xml:space="preserve">The greenhouse industry achieves stable agricultural production worldwide. Various information and communication technology techniques to model and control the environment have been applied as data from environmental sensors and actuators in greenhouses are monitored in real time. The current study designed data-based, deep learning models for evapotranspiration (ET) and humidity in tomato greenhouses. Using time-series data and applying long short-term memory (LSTM) modeling, an ET prediction model was developed and validated in comparison with the Stanghellini model. Training with 20-day and testing with 3-day data resulted in RMSEs of 0.00317 and 0.00356 kgm(-2) s(-1), respectively. The standard error of prediction indicated errors of 5.76 and 6.45% in training and testing, respectively. Variables were used to produce a feature map using a two-dimensional convolution layer which was transferred to a subsequent layer and finally connected with the LSTM structure for modeling. The RMSE in humidity prediction using the test dataset was 2.87, indicating a performance better than conventional RNN-LSTM models. Irrigation plans and humidity control may be more accurately conducted in greenhouse cultivation using this model.</t>
  </si>
  <si>
    <t xml:space="preserve">[Jung, Dae-Hyun] Kyung Hee Univ, Dept Smart Farm Sci, Yongin 17104, South Korea; [Jung, Dae-Hyun; Lee, Taek Sung; Park, Soo Hyun] Korea Inst Sci &amp; Technol KIST, Smart Farm Res Ctr, Gangneung Si 25451, South Korea; [Kim, KangGeon] Korea Inst Sci &amp; Technol KIST, Ctr Intelligent &amp; Interact Robot, Seoul 02792, South Korea</t>
  </si>
  <si>
    <t xml:space="preserve">Kyung Hee University; Korea Institute of Science &amp; Technology (KIST); Korea Institute of Science &amp; Technology (KIST)</t>
  </si>
  <si>
    <t xml:space="preserve">Park, SH (corresponding author), Korea Inst Sci &amp; Technol KIST, Smart Farm Res Ctr, Gangneung Si 25451, South Korea.</t>
  </si>
  <si>
    <t xml:space="preserve">ecoloves@kist.re.kr</t>
  </si>
  <si>
    <t xml:space="preserve">Jung, Dae-Hyun/GVS-6496-2022</t>
  </si>
  <si>
    <t xml:space="preserve">Kim, KangGeon/0000-0001-9467-2323; Park, Soo Hyun/0000-0002-5846-4233; Jung, Dae-Hyun/0000-0002-9826-2695</t>
  </si>
  <si>
    <t xml:space="preserve">Korea Institute of Planning and Evaluation for Technology in Food, Agriculture and Forestry (IPET); Korea Smart Farm R&amp;D Foundation (KosFarm) through Smart Farm Innovation Technology Development Program - Ministry of Agriculture, Food and Rural Affairs (MAFRA); Ministry of Science and ICT (MSIT), Rural Development Administration (RDA) [421026-04]</t>
  </si>
  <si>
    <t xml:space="preserve">Korea Institute of Planning and Evaluation for Technology in Food, Agriculture and Forestry (IPET)(Institute of Planning &amp; Evaluation for Technology in Food, Agriculture, Forestry, &amp; Fisheries (iPET), Republic of Korea); Korea Smart Farm R&amp;D Foundation (KosFarm) through Smart Farm Innovation Technology Development Program - Ministry of Agriculture, Food and Rural Affairs (MAFRA)(Ministry of Agriculture, Food &amp; Rural Affairs (MAFRA), Republic of Korea); Ministry of Science and ICT (MSIT), Rural Development Administration (RDA)(Rural Development Administration (RDA), Republic of Korea)</t>
  </si>
  <si>
    <t xml:space="preserve">This work was supported by Korea Institute of Planning and Evaluation for Technology in Food, Agriculture and Forestry (IPET) and Korea Smart Farm R&amp;D Foundation (KosFarm) through Smart Farm Innovation Technology Development Program, funded by the Ministry of Agriculture, Food and Rural Affairs (MAFRA) and Ministry of Science and ICT (MSIT), Rural Development Administration (RDA) (Grant No. 421026-04).</t>
  </si>
  <si>
    <t xml:space="preserve">2073-4395</t>
  </si>
  <si>
    <t xml:space="preserve">Agronomy-Basel</t>
  </si>
  <si>
    <t xml:space="preserve">10.3390/agronomy12092169</t>
  </si>
  <si>
    <t xml:space="preserve">Agronomy; Plant Sciences</t>
  </si>
  <si>
    <t xml:space="preserve">Agriculture; Plant Sciences</t>
  </si>
  <si>
    <t xml:space="preserve">4S4VK</t>
  </si>
  <si>
    <t xml:space="preserve">WOS:000857440300001</t>
  </si>
  <si>
    <t xml:space="preserve">Afzaal, H; Farooque, AA; Abbas, F; Acharya, B; Esau, T</t>
  </si>
  <si>
    <t xml:space="preserve">Afzaal, Hassan; Farooque, Aitazaz A.; Abbas, Farhat; Acharya, Bishnu; Esau, Travis</t>
  </si>
  <si>
    <t xml:space="preserve">Groundwater Estimation from Major Physical Hydrology Components Using Artificial Neural Networks and Deep Learning</t>
  </si>
  <si>
    <t xml:space="preserve">deep learning; evapotranspiration; stream flow; stream level; watershed hydrology</t>
  </si>
  <si>
    <t xml:space="preserve">WATER-TABLE DEPTH; MODELS</t>
  </si>
  <si>
    <t xml:space="preserve">Precise estimation of physical hydrology components including groundwater levels (GWLs) is a challenging task, especially in relatively non-contiguous watersheds. This study estimates GWLs with deep learning and artificial neural networks (ANNs), namely a multilayer perceptron (MLP), long short term memory (LSTM), and a convolutional neural network (CNN) with four different input variable combinations for two watersheds (Baltic River and Long Creek) in Prince Edward Island, Canada. Variables including stream level, stream flow, precipitation, relative humidity, mean temperature, evapotranspiration, heat degree days, dew point temperature, and evapotranspiration for the 2011-2017 period were used as input variables. Using a hit and trial approach and various hyperparameters, all ANNs were trained from scratched (2011-2015) and validated (2016-2017). The stream level was the major contributor to GWL fluctuation for the Baltic River and Long Creek watersheds (R-2 = 50.8 and 49.1%, respectively). The MLP performed better in validation for Baltic River and Long Creek watersheds (RMSE = 0.471 and 1.15, respectively). Increased number of variables from 1 to 4 improved the RMSE for the Baltic River watershed by 11% and for the Long Creek watershed by 1.6%. The deep learning techniques introduced in this study to estimate GWL fluctuations are convenient and accurate as compared to collection of periodic dips based on the groundwater monitoring wells for groundwater inventory control and management.</t>
  </si>
  <si>
    <t xml:space="preserve">[Afzaal, Hassan; Farooque, Aitazaz A.; Abbas, Farhat; Acharya, Bishnu] Univ Prince Edward Isl, Fac Sustainable Design Engn, Charlottetown, PE C1A 4P3, Canada; [Esau, Travis] Dalhousie Univ, Engn Dept, Agr Campus, Truro, NS B2N 5E3, Canada</t>
  </si>
  <si>
    <t xml:space="preserve">University of Prince Edward Island; Dalhousie University</t>
  </si>
  <si>
    <t xml:space="preserve">Farooque, AA; Abbas, F (corresponding author), Univ Prince Edward Isl, Fac Sustainable Design Engn, Charlottetown, PE C1A 4P3, Canada.</t>
  </si>
  <si>
    <t xml:space="preserve">hafzaal2@upei.ca; afarooque@upei.ca; fabbas@upei.ca; bacharya@upei.ca; tesau@dal.ca</t>
  </si>
  <si>
    <t xml:space="preserve">Afzaal, Hassan/AAR-2459-2020; Acharya, Bishnu/AAN-2978-2020</t>
  </si>
  <si>
    <t xml:space="preserve">Esau, Travis/0000-0002-1513-1471; Abbas, Farhat/0000-0002-2032-8527; Acharya, Bishnu/0000-0003-2442-0969; Afzaal, Hassan/0000-0002-3294-8432</t>
  </si>
  <si>
    <t xml:space="preserve">Natural Science and Engineering Research Council of Canada; Prince Edward Island Potato Board; Canadian Horticultural Council; Agriculture and Agri-Food Canada; Potato Board New Brunswick; New Brunswick Department of Agriculture, Aquaculture and Fisheries (CAP program)</t>
  </si>
  <si>
    <t xml:space="preserve">Natural Science and Engineering Research Council of Canada(Natural Sciences and Engineering Research Council of Canada (NSERC)); Prince Edward Island Potato Board; Canadian Horticultural Council; Agriculture and Agri-Food Canada(Agriculture &amp; Agri Food Canada); Potato Board New Brunswick; New Brunswick Department of Agriculture, Aquaculture and Fisheries (CAP program)</t>
  </si>
  <si>
    <t xml:space="preserve">This research was supported by the Natural Science and Engineering Research Council of Canada, the Prince Edward Island Potato Board, the Canadian Horticultural Council, Potato Board New Brunswick, the New Brunswick Department of Agriculture, Aquaculture and Fisheries (CAP program), and Agriculture and Agri-Food Canada.</t>
  </si>
  <si>
    <t xml:space="preserve">10.3390/w12010005</t>
  </si>
  <si>
    <t xml:space="preserve">KU6TM</t>
  </si>
  <si>
    <t xml:space="preserve">WOS:000519847200005</t>
  </si>
  <si>
    <t xml:space="preserve">Hybrid deep learning techniques for estimation of daily crop evapotranspiration using limited climate data</t>
  </si>
  <si>
    <t xml:space="preserve">Crop evapotranspiration; Limited meteorological data; Hybrid models; Climate change</t>
  </si>
  <si>
    <t xml:space="preserve">WHEAT; RICE; REQUIREMENTS; IRRIGATION; IMPACTS; MACHINE; MODELS; MAIZE</t>
  </si>
  <si>
    <t xml:space="preserve">Smart agriculture aims to improve the quality and quantity of crops by efficiently managing available resources. One of the main components of smart agriculture is precision irrigation which applies the required amount of water at the right time to crops. Crop evapotranspiration (ETc) prediction can contribute to managing the irrigation strategies effectively. Although several methods have been introduced for estimating ETc values, these methods are still associated with various challenges and limitations (high cost, time-consuming, and meteorological data unavailability). The current study is motivated by the desire to create deep learning (DL) based models capable of estimating ETc reliably to eliminate the above-mentioned limitations and forecast future ETc values for adaptation strategies. In this paper, two-hybrid DL models, i.e., Convolution Neural Network-eXtreme Gradient Boosting (CNN-XGB) and Convolution Neural Network-Support Vector Regression (CNN-SVR) are proposed to estimate daily ETc values of wheat and rice crops. Further, limited climate data (minimum temperature (T-min), maximum temperature (T-max), mean temperature (T-max) and solar radiation (R-s)) is used for the prediction of ETc values to handle data-scarce situations. Also, the future climate data obtained using two emission scenarios: Representative Concentration Pathways (RCP) 4.5 and RCP 8.5 for the time period 2023-2033, are used to project changes in ETc. The results demonstrate that the proposed hybrid models provide satisfactory performance with the Nash-SutcliffeEfficiency (NSE) = 0.95 and 0.976 for rice and wheat ETc values, respectively. The simulation of future data reveals the increase in T-min by 7.03%, 7.33%, and T-max by 10.5%, 11.5% for RCP 4.5 and RCP 8.5 respectively. Also, an increase in ETc of rice crop has been reported by 20%-22% while increment of wheat ETc has been noticed by 3%-4%. Thus, the proposed approach efficiently estimates ETc of wheat and rice crops using limited climate data and could assist water resource managers in achieving agricultural water sustainability.</t>
  </si>
  <si>
    <t xml:space="preserve">[Sharma, Gitika; Singh, Ashima; Jain, Sushma] Thapar Inst Engn &amp; Technol, Dept Comp Sci, Patiala, India</t>
  </si>
  <si>
    <t xml:space="preserve">Sharma, G (corresponding author), Thapar Inst Engn &amp; Technol, Dept Comp Sci, Patiala, India.</t>
  </si>
  <si>
    <t xml:space="preserve">Jain, Sushma/AGR-4480-2022; Sharma, Gitika/GPX-5577-2022</t>
  </si>
  <si>
    <t xml:space="preserve">10.1016/j.compag.2022.107338</t>
  </si>
  <si>
    <t xml:space="preserve">SEP 2022</t>
  </si>
  <si>
    <t xml:space="preserve">4X8QG</t>
  </si>
  <si>
    <t xml:space="preserve">WOS:000861101100001</t>
  </si>
  <si>
    <t xml:space="preserve">Alkubaisi, H; Mehr, AD; Adarsh, S; Khan, MMH</t>
  </si>
  <si>
    <t xml:space="preserve">Alkubaisi, Hiba; Mehr, Ali Danandeh; Adarsh, S.; Khan, Md Munir Hayet</t>
  </si>
  <si>
    <t xml:space="preserve">Drought modelling and forecasting using shallow and deep machine learning techniques</t>
  </si>
  <si>
    <t xml:space="preserve">MODELING EARTH SYSTEMS AND ENVIRONMENT</t>
  </si>
  <si>
    <t xml:space="preserve">Shallow learning; Deep learning; Machine learning; LSTM; MLP; Standardized precipitation evapotranspiration index (SPEI); Iraq</t>
  </si>
  <si>
    <t xml:space="preserve">Drought is a big challenge to world water security and ecosystem resilience, as defined by long dry periods leading to water scarcity. Because of the stochastic recurrence and severe socioeconomic impacts of droughts, precise drought modelling and forecasting are required for effective water resources management. Hence, exploring efficiency of shallow and deep machine learning techniques to enhance predictive accuracy of drought forecasting models is necessary. This article investigates and compares efficiency of a shallow multilayer perceptron (MLP) model with two deep models, two-hidden layer MLP (TMLP) and Long Short-Term Memory (LSTM). To this end, long-term (1950 to 2024) grid-based monthly Standardized Precipitation Evapotranspiration Index (SPEI) datasets near to the holy city of Karbala, Iraq, were retrieved and used to train and test all the models. First, the nearby grid data sets were averaged arithmetically to represent temporal variation of drought across this data scarce city. Then, the representative dataset was separated into training and testing subsets. The optimum predictors for one-month ahead SPEI forecasting scenario were determined via mutual information between SPEI and its lagged vectors. The results showed all models produce promising accuracy. A shallow MLP having 14 hidden neurons was found slightly superior to its deep TMLP and LSTM counterparts. Thus, the use of complex deep learning models is not suggested for SPEI modelling in the studied area.</t>
  </si>
  <si>
    <t xml:space="preserve">[Alkubaisi, Hiba] Antalya Bilim Univ, Inst Postgrad Educ, Elect &amp; Comp Engn Program, Antalya, Turkiye; [Adarsh, S.] TKM Coll Engn, Kollam 691005, Kerala, India; [Khan, Md Munir Hayet] INTI Int Univ INTI IU, Fac Engn &amp; Quant Surveying FEQS, Negeri Sembilan 71800, Malaysia; [Mehr, Ali Danandeh] Antalya Bilim Univ, Civil Engn Dept, Antalya, Turkiye</t>
  </si>
  <si>
    <t xml:space="preserve">Antalya Bilim University; Thangal Kunju Musaliar College of Engineering; Antalya Bilim University</t>
  </si>
  <si>
    <t xml:space="preserve">Mehr, AD (corresponding author), Antalya Bilim Univ, Civil Engn Dept, Antalya, Turkiye.</t>
  </si>
  <si>
    <t xml:space="preserve">hiba.alkubaisi@std.antalya.edu.tr; ali.danandeh@antalya.edu.tr; adarsh1982@tkmce.ac.in; munir.hayetkhan@newinti.edu.my</t>
  </si>
  <si>
    <t xml:space="preserve">DANANDEH MEHR, ALI/S-9321-2017</t>
  </si>
  <si>
    <t xml:space="preserve">2363-6203</t>
  </si>
  <si>
    <t xml:space="preserve">2363-6211</t>
  </si>
  <si>
    <t xml:space="preserve">MODEL EARTH SYST ENV</t>
  </si>
  <si>
    <t xml:space="preserve">Model. Earth Syst. Environ.</t>
  </si>
  <si>
    <t xml:space="preserve">10.1007/s40808-024-02268-w</t>
  </si>
  <si>
    <t xml:space="preserve">Q8A9T</t>
  </si>
  <si>
    <t xml:space="preserve">WOS:001386848900009</t>
  </si>
  <si>
    <t xml:space="preserve">Çetin, S; Ülker, B; Cinbis, G; Erten, E</t>
  </si>
  <si>
    <t xml:space="preserve">IEEE</t>
  </si>
  <si>
    <t xml:space="preserve">Cetin, Samet; Ulker, Berk; Cinbis, Gokberk; Erten, Esra</t>
  </si>
  <si>
    <t xml:space="preserve">IMAGE-TO-IMAGE TRANSLATION NETWORKS FOR ESTIMATING EVAPOTRANSPIRATION VARIATIONS: SAR2ET</t>
  </si>
  <si>
    <t xml:space="preserve">IGARSS 2024-2024 IEEE INTERNATIONAL GEOSCIENCE AND REMOTE SENSING SYMPOSIUM, IGARSS 2024</t>
  </si>
  <si>
    <t xml:space="preserve">IEEE International Geoscience and Remote Sensing Symposium (IGARSS)</t>
  </si>
  <si>
    <t xml:space="preserve">JUL 07-12, 2024</t>
  </si>
  <si>
    <t xml:space="preserve">Athens, GREECE</t>
  </si>
  <si>
    <t xml:space="preserve">Inst Elect &amp; Elect Engineers,Inst Elect &amp; Elect Engineers, Geoscience &amp; Remote Sensing Soc</t>
  </si>
  <si>
    <t xml:space="preserve">Sentinel-1; Evapotranspiration; deep learning; disaggregation; weak supervision</t>
  </si>
  <si>
    <t xml:space="preserve">Evapotranspiration (ET) plays a significant role in understanding the water necessities of crops during their growing season, and hence, aids to make a decision in agriculture (planting time, applying fertilizer, irrigation, yield prediction and etc.). In this context, over the past few years, a wide range of research studies have been implemented for learning field-level ET from low-resolution ET products by downscaling and/or data fusion strategies. Unlike these previous studies, this research aims to leverage deep learning based models to learn ET from temporally and spatially dense imaging data; Sentinel-1 and climate data; ERA-5, both provided by Copernicus Climate Change Service. The model is formed by weak supervision from high spatial resolution Sentinel-1 coupled with climate data and analysis ready ET product as target. We evaluated the framework across two geographically distributed regions, namely; The Balkans and The Aegean in order to understand how well weak supervision estimates ET over croplands in different ecosystems. The code for the SAR2ET model is publicly available at https://github.com/Agcurate/SAR2ET, where you can access all the details regarding the model.</t>
  </si>
  <si>
    <t xml:space="preserve">[Cetin, Samet; Cinbis, Gokberk] Middle East Tech Univ, Dept Comp Engn, TR-06800 Ankara, Turkiye; [Ulker, Berk] Eindhoven Univ Technol, Dept Elect Engn, NL-6825 MC Eindhoven, Netherlands; [Erten, Esra] Istanbul Tech Univ, Dept Geomat Engn, TR-34469 Istanbul, Turkiye</t>
  </si>
  <si>
    <t xml:space="preserve">Middle East Technical University; Eindhoven University of Technology; Istanbul Technical University</t>
  </si>
  <si>
    <t xml:space="preserve">Çetin, S (corresponding author), Middle East Tech Univ, Dept Comp Engn, TR-06800 Ankara, Turkiye.</t>
  </si>
  <si>
    <t xml:space="preserve">Climate Change AI Innovation Grants program</t>
  </si>
  <si>
    <t xml:space="preserve">This project entitled Improving Resiliency of Malian Farmers with Yield Estimation: IMPRESSYIELD was funded by the Climate Change AI Innovation Grants program, hosted by Climate Change AI with the additional support of Canada Hub of Future Earth.</t>
  </si>
  <si>
    <t xml:space="preserve">345 E 47TH ST, NEW YORK, NY 10017 USA</t>
  </si>
  <si>
    <t xml:space="preserve">2153-6996</t>
  </si>
  <si>
    <t xml:space="preserve">979-8-3503-6033-2; 979-8-3503-6032-5</t>
  </si>
  <si>
    <t xml:space="preserve">INT GEOSCI REMOTE SE</t>
  </si>
  <si>
    <t xml:space="preserve">10.1109/IGARSS53475.2024.10642364</t>
  </si>
  <si>
    <t xml:space="preserve">Geography, Physical; Geosciences, Multidisciplinary; Remote Sensing; Imaging Science &amp; Photographic Technology</t>
  </si>
  <si>
    <t xml:space="preserve">Physical Geography; Geology; Remote Sensing; Imaging Science &amp; Photographic Technology</t>
  </si>
  <si>
    <t xml:space="preserve">BX7BF</t>
  </si>
  <si>
    <t xml:space="preserve">WOS:001316158500072</t>
  </si>
  <si>
    <t xml:space="preserve">Ravindran, SM; Bhaskaran, SKM; Ambat, SK; Balakrishnan, K; Gopalakrishnan, MM</t>
  </si>
  <si>
    <t xml:space="preserve">Ravindran, Sowmya Mangalath; Bhaskaran, Santosh Kumar Moorakkal; Ambat, Sooraj K.; Balakrishnan, Kannan; Gopalakrishnan, Manoj Manguttathil</t>
  </si>
  <si>
    <t xml:space="preserve">An automated machine learning methodology for the improved prediction of reference evapotranspiration using minimal input parameters</t>
  </si>
  <si>
    <t xml:space="preserve">HYDROLOGICAL PROCESSES</t>
  </si>
  <si>
    <t xml:space="preserve">AutoGluon-tabular; AutoML; deep learning; H2O; machine learning; reference evapotranspiration</t>
  </si>
  <si>
    <t xml:space="preserve">TREE</t>
  </si>
  <si>
    <t xml:space="preserve">An accurate and minimal meteorological parameter-based reference evapotranspiration (ETo) computational model is highly essential to design a cost-effective and automated solution for precise water allocation in various agricultural and hydrological applications. Automated machine learning (AutoML), a substantially progressive machine learning (ML) paradigm, expedites the data science applications in these domains by automating and alleviating the tedious tasks of developing ML pipelines, particularly in non-linear hydrological process modelling. This paper proposes an AutoML solution for daily ET(o)prediction in a limited input parameter scenario, for the first time in ET(o)estimation research. Two AutoML frameworks, AutoGluon-Tabular (AGT) and H2O AutoML were implemented using daily meteorological data of a humid tropical climatic region of Kerala, India and evaluated its performance with the radiation-based empirical methods and traditional ML methods. The developed AutoML models imitated the input parameter combinations of radiation-based empirical models such as Priestley-Taylor, Makkink, Turc and Ritchie, with the Penman-Monteith ET(o)serving as the target for modelling process. An improvement of mean absolute error from 0.119 to 0.078 mm/day, mean squared error from 0.035 to 0.017 mm/day, root mean squared error from 0.186 to 0.129 mm/day, root mean squared logarithmic error from 0.078 to 0.026 mm/day, and coefficient of determination (R-2) from 0.971 to 0.985 observed in the AutoML model, AGT relative to the empirical model, Turc describes its enhanced performance capability. For demonstrating the superiority of AutoML to traditional ML techniques, another set of AutoML models were also developed based on California Irrigation Management Information System datasets and evaluated them with existing study results in literature. The overall result analysis demonstrated the superiority of AGT model in ET(o)prediction in all the weather stations considered in this study. The results of the study confirm that AutoML techniques can be applied to any hydrological dataset and provide an effective automated solution for hydrological process modelling.</t>
  </si>
  <si>
    <t xml:space="preserve">[Ravindran, Sowmya Mangalath; Balakrishnan, Kannan] Cochin Univ Sci &amp; Technol, Dept Comp Applicat, Kochi 682022, Kerala, India; [Bhaskaran, Santosh Kumar Moorakkal] Cochin Univ Sci &amp; Technol, Sch Engn, Div Informat Technol, Kochi, Kerala, India; [Ambat, Sooraj K.] Def R&amp;D Org, Naval Phys &amp; Oceanog Lab, Kochi, Kerala, India; [Gopalakrishnan, Manoj Manguttathil] Cochin Univ Sci &amp; Technol, Adv Ctr Atmospher Radar Res, Kochi, Kerala, India</t>
  </si>
  <si>
    <t xml:space="preserve">Cochin University Science &amp; Technology; Cochin University Science &amp; Technology; Defence Research &amp; Development Organisation (DRDO); Naval Physical &amp; Oceanographic Laboratory (NPOL); Cochin University Science &amp; Technology</t>
  </si>
  <si>
    <t xml:space="preserve">Ravindran, SM (corresponding author), Cochin Univ Sci &amp; Technol, Dept Comp Applicat, Kochi 682022, Kerala, India.</t>
  </si>
  <si>
    <t xml:space="preserve">sowmyamr@cusat.ac.in</t>
  </si>
  <si>
    <t xml:space="preserve">Ambat, Sooraj K./S-5610-2016</t>
  </si>
  <si>
    <t xml:space="preserve">Ambat, Sooraj K./0000-0002-3684-2221; Balakrishnan, Kannan/0000-0003-1285-5949; M R, Sowmya/0000-0001-7866-8164; M.G., Manoj/0000-0003-0419-4028</t>
  </si>
  <si>
    <t xml:space="preserve">Ministry of Earth Sciences (MoES), Govt. of India</t>
  </si>
  <si>
    <t xml:space="preserve">Ministry of Earth Sciences (MoES), Govt. of India(Ministry of Earth Sciences (MoES) - India)</t>
  </si>
  <si>
    <t xml:space="preserve">The authors would like to express their deep gratitude to the Advanced Centre for Atmospheric Radar Research (ACARR) in Cochin University of Science and Technology, Kochi, Kerala, India, supported by the Ministry of Earth Sciences (MoES), Govt. of India, for providing meteorological data for this study.</t>
  </si>
  <si>
    <t xml:space="preserve">0885-6087</t>
  </si>
  <si>
    <t xml:space="preserve">1099-1085</t>
  </si>
  <si>
    <t xml:space="preserve">HYDROL PROCESS</t>
  </si>
  <si>
    <t xml:space="preserve">Hydrol. Process.</t>
  </si>
  <si>
    <t xml:space="preserve">e14571</t>
  </si>
  <si>
    <t xml:space="preserve">10.1002/hyp.14571</t>
  </si>
  <si>
    <t xml:space="preserve">0X8YI</t>
  </si>
  <si>
    <t xml:space="preserve">WOS:000789986200001</t>
  </si>
  <si>
    <t xml:space="preserve">Wang, SC; Yu, XG; Li, Y; Wang, SJ; Meng, C</t>
  </si>
  <si>
    <t xml:space="preserve">Wang, Shichao; Yu, Xiaoge; Li, Yan; Wang, Shujun; Meng, Can</t>
  </si>
  <si>
    <t xml:space="preserve">Application of a hybrid deep learning approach with attention mechanism for evapotranspiration prediction: a case study from the Mount Tai region, China</t>
  </si>
  <si>
    <t xml:space="preserve">Water resource; Evapotranspiration; Prediction model; Convolutional Neural Network; Long Short-Term Memory network; Attention mechanism</t>
  </si>
  <si>
    <t xml:space="preserve">EVAPORATION; NETWORK</t>
  </si>
  <si>
    <t xml:space="preserve">Evapotranspiration is one of the most critical features in hydrology. In order to address the prediction of evapotranspiration accurately and scientifically, this study proposes a novel deep learning-based evapotranspiration prediction model, the CNN-BiLSTM-Attention model, using the climatically complex Mount Tai region in China as a case study. The model integrates the feature extraction capabilities of Convolutional Neural Networks (CNN), the temporal dependency capturing of Bidirectional Long Short-Term Memory Networks (BiLSTM), and the feature weighting abilities of the Attention mechanism. In order to enhance prediction accuracy with fewer climate parameters, various input parameter combinations are explored and compared with other classical models in this study. The model's performance is assessed across daily, weekly, and monthly time increments, using evaluation metrics such as Mean Absolute Error (MAE), Mean Squared Error (MSE), Root Mean Squared Error (RMSE), and R-squared (R2). This study holds significant implications for mountain hydrological cycles, as accurate evapotranspiration prediction aids in more informed decision-making for agricultural production, water resource management, and climate change research.</t>
  </si>
  <si>
    <t xml:space="preserve">[Wang, Shichao] Shandong Univ Sci &amp; Technol, Coll Earth Sci &amp; Engn, Qingdao, Peoples R China; [Yu, Xiaoge; Wang, Shujun; Meng, Can] Shandong Univ Sci &amp; Technol, Coll Resource, Tai An, Peoples R China; [Li, Yan] Taian Hydrol Ctr, Tai An, Peoples R China</t>
  </si>
  <si>
    <t xml:space="preserve">Shandong University of Science &amp; Technology; Shandong University of Science &amp; Technology</t>
  </si>
  <si>
    <t xml:space="preserve">Li, Y (corresponding author), Taian Hydrol Ctr, Tai An, Peoples R China.</t>
  </si>
  <si>
    <t xml:space="preserve">liyan20221111@163.com</t>
  </si>
  <si>
    <t xml:space="preserve">wang, shichao/JZU-0267-2024</t>
  </si>
  <si>
    <t xml:space="preserve">National Natural Science Foundation of China [42002282]</t>
  </si>
  <si>
    <t xml:space="preserve">This study was funded by National Natural Science Foundation of China (42002282).</t>
  </si>
  <si>
    <t xml:space="preserve">10.1007/s12145-023-01103-7</t>
  </si>
  <si>
    <t xml:space="preserve">XO2O9</t>
  </si>
  <si>
    <t xml:space="preserve">WOS:001065089800001</t>
  </si>
  <si>
    <t xml:space="preserve">Jayasinghe, WJMLP; Deo, RC; Ghahramani, A; Ghimire, S; Raj, N</t>
  </si>
  <si>
    <t xml:space="preserve">Jayasinghe, W. J. M. Lakmini Prarthana; Deo, Ravinesh C.; Ghahramani, Afshin; Ghimire, Sujan; Raj, Nawin</t>
  </si>
  <si>
    <t xml:space="preserve">Deep Multi-Stage Reference Evapotranspiration Forecasting Model: Multivariate Empirical Mode Decomposition Integrated With the Boruta-Random Forest Algorithm</t>
  </si>
  <si>
    <t xml:space="preserve">IEEE ACCESS</t>
  </si>
  <si>
    <t xml:space="preserve">Predictive models; Mathematical models; Data models; Forecasting; Australia; Analytical models; Empirical mode decomposition; Reference evapotranspiration forecasting; deep learning; multivariate empirical mode decomposition; boruta-random forest algorithm; long short-term memory network</t>
  </si>
  <si>
    <t xml:space="preserve">GLOBAL SOLAR-RADIATION; REFINED INDEX; PREDICTION; ENSEMBLE; NOISE</t>
  </si>
  <si>
    <t xml:space="preserve">Evapotranspiration, as a combination of evaporation and transpiration of water vapour, is a primary component of global hydrological cycles. It accounts for significant loss of soil moisture from the earth to the atmosphere. Reliable methods to monitor and forecast evapotranspiration are required for decision-making. Reference evapotranspiration, denoted as ET, is a major parameter that is useful in quantifying soil moisture in a cropping system. This article aims to design a multi-stage deep learning hybrid Long Short-Term Memory (LSTM) predictive model that is coupled with Multivariate Empirical Mode Decomposition (MEMD) and Boruta-Random Forest (Boruta) algorithms to forecast ET in the drought-prone regions (i.e., Gatton, Fordsdale, Cairns) of Queensland, Australia. Daily data extracted from NASA's Goddard Online Interactive Visualization and Analysis Infrastructure (GIOVANNI) and Scientific Information for Land Owners (SILO) repositories over 2003-2011 are used to build the proposed multi-stage deep learning hybrid model, i.e., MEMD-Boruta-LSTM, and the model's performance is compared against competitive benchmark models such as hybrid MEMD-Boruta-DNN, MEMD-Boruta-DT, and a standalone LSTM, DNN and DT model. The test MEMD-Boruta-LSTM hybrid model attained the lowest Relative Root Mean Square Error (&lt;= 17%), Absolute Percentage Bias (&lt;= 12.5%)and the highest Kling-Gupta Efficiency (&gt;= 0.89%) relative to benchmark models for all study sites. The proposed multi-stage deep hybrid MEMD-Boruta-LSTM model also outperformed all other benchmark models in terms of predictive efficacy, demonstrating its usefulness in the forecasting of the daily ET dataset. This MEMD-Boruta-LSTM hybrid model could therefore be employed in practical environments such as irrigation management systems to estimate evapotranspiration or to forecast ET.</t>
  </si>
  <si>
    <t xml:space="preserve">[Jayasinghe, W. J. M. Lakmini Prarthana; Ghimire, Sujan] Univ Southern Queensland, Sch Sci, Toowoomba, Qld 4350, Australia; [Deo, Ravinesh C.; Raj, Nawin] Univ Southern Queensland, Sch Sci, Springfield, Qld 4300, Australia; [Ghahramani, Afshin] Univ Southern Queensland, Ctr Sustainable Agr Syst, Inst Life Sci &amp; Environm, Toowoomba, Qld 4350, Australia</t>
  </si>
  <si>
    <t xml:space="preserve">University of Southern Queensland; University of Southern Queensland; University of Southern Queensland</t>
  </si>
  <si>
    <t xml:space="preserve">Jayasinghe, WJMLP (corresponding author), Univ Southern Queensland, Sch Sci, Toowoomba, Qld 4350, Australia.;Deo, RC (corresponding author), Univ Southern Queensland, Sch Sci, Springfield, Qld 4300, Australia.</t>
  </si>
  <si>
    <t xml:space="preserve">lakmini.mudiyanselage@usq.edu.au; ravinesh.deo@usq.edu.au</t>
  </si>
  <si>
    <t xml:space="preserve">Ghahramani, Afshin/C-4169-2012; Raj, Nawin/AAY-2846-2020; Ghimire, Sujan/ABA-5597-2021; Deo, Ravinesh/F-6157-2012</t>
  </si>
  <si>
    <t xml:space="preserve">Deo, Ravinesh/0000-0002-2290-6749; Ghimire, Sujan/0000-0002-7266-4442; Warnakulasooriya Jayasinghe Mudiyanselage, Lakmini Prarthana Jayasinghe/0000-0001-7137-6222</t>
  </si>
  <si>
    <t xml:space="preserve">School of Science, University of Southern Queensland, Australia; Wayamba University of Sri Lanka</t>
  </si>
  <si>
    <t xml:space="preserve">This work was supported in part by the School of Science, University of Southern Queensland, Australia; and in part by the Wayamba University of Sri Lanka.</t>
  </si>
  <si>
    <t xml:space="preserve">IEEE-INST ELECTRICAL ELECTRONICS ENGINEERS INC</t>
  </si>
  <si>
    <t xml:space="preserve">PISCATAWAY</t>
  </si>
  <si>
    <t xml:space="preserve">445 HOES LANE, PISCATAWAY, NJ 08855-4141 USA</t>
  </si>
  <si>
    <t xml:space="preserve">2169-3536</t>
  </si>
  <si>
    <t xml:space="preserve">IEEE Access</t>
  </si>
  <si>
    <t xml:space="preserve">10.1109/ACCESS.2021.3135362</t>
  </si>
  <si>
    <t xml:space="preserve">XT9YV</t>
  </si>
  <si>
    <t xml:space="preserve">WOS:000733935000001</t>
  </si>
  <si>
    <t xml:space="preserve">Rashid, T; Tian, D</t>
  </si>
  <si>
    <t xml:space="preserve">Rashid, Taufiq; Tian, Di</t>
  </si>
  <si>
    <t xml:space="preserve">Improved 30-m Evapotranspiration Estimates Over 145 Eddy Covariance Sites in the Contiguous United States: The Role of ECOSTRESS, Harmonized Landsat Sentinel-2 Imagery, Climate Reanalysis, and Deep Neural Network Postprocessing</t>
  </si>
  <si>
    <t xml:space="preserve">evapotranspiration; ECOSTRESS; satellite data; climate reanalysis; eddy covariance; deep learning</t>
  </si>
  <si>
    <t xml:space="preserve">TERRESTRIAL EVAPOTRANSPIRATION; SURFACE-TEMPERATURE; ENERGY-BALANCE; WATER-VAPOR; CLEAR-SKY; MODIS; SATELLITE; CARBON; REFLECTANCE; FLUXNET</t>
  </si>
  <si>
    <t xml:space="preserve">This study developed and evaluated 30-m daily evapotranspiration (ET) estimates using the Priestley-Taylor Jet Propulsion Laboratory (PT-JPL) model with ECOSTRESS, Moderate MODIS, harmonized Landsat Sentinel-2 (HLS) imagery, ERA5-Land reanalysis, and eddy covariance measurements. The new daily 30-m ET showed significantly improved performance (overall, r = 0.8, RMSE = 1.736, KGE = 0.466) at 145 EC sites over contiguous United States compared to the current 70-m ECOSTRESS ET (overall, r = 0.485, RMSE = 4.696, KGE = -0.841). A deep neural network postprocessing model trained with ET measurements from EC sites further improved the performance on test sites that were not used for model training (overall, r = 0.842, RMSE = 0.88, KGE = 0.792). The 30-m ET estimation biases were significantly related to the biases in the upwelling longwave (RUL) and downwelling shortwave radiation (RDS) inputs, with ET estimates driven by MODIS radiation showing higher biases compared to those driven by ERA5-Land radiation. The error diagnosis using random forest indicates that ET biases tend to be larger under higher ET estimates, and RUL and RDS were the primary contributors to the high bias at the higher ET ranges, with partial dependence plots revealing that the estimation biases tend to be higher under more humid environment, denser vegetation covers, and high net radiation conditions. In conclusion, higher spatial resolution satellite imagery of vegetation characteristics and higher temporal resolution radiation data, combined with continent-wide EC measurements and deep learning, provided substantial added value for improving ET estimations at the field scale (30-m). We developed and evaluated 30-m evapotranspiration (ET) estimates driven by ECOSTRESS, MODIS, harmonized Landsat Sentinel-2, and ERA5-Land data The new 30-m ET estimates showed significantly improved performance compared to the current 70-m ECOSTRESS ET over contiguous United States Deep neural network with eddy covariance measurements further improved 30-m ET estimates at unmeasured locations</t>
  </si>
  <si>
    <t xml:space="preserve">[Rashid, Taufiq; Tian, Di] Auburn Univ, Dept Crop Soil &amp; Environm Sci, Auburn, AL 36849 USA</t>
  </si>
  <si>
    <t xml:space="preserve">Auburn University System; Auburn University</t>
  </si>
  <si>
    <t xml:space="preserve">Tian, D (corresponding author), Auburn Univ, Dept Crop Soil &amp; Environm Sci, Auburn, AL 36849 USA.</t>
  </si>
  <si>
    <t xml:space="preserve">tiandi@auburn.edu</t>
  </si>
  <si>
    <t xml:space="preserve">Tian, Di/0000-0001-7752-947X</t>
  </si>
  <si>
    <t xml:space="preserve">National Institute of Food and Agriculture; Alabama Agricultural Experiment Station [1012578]; Hatch program of the USDA National Institute of Food and Agriculture (NIFA) [USDA-2019-67021-29937]; USDA NIFA Agriculture and Food Research Initiative (AFRI) program [EAR-2144293]; NSF CAREER Award</t>
  </si>
  <si>
    <t xml:space="preserve">National Institute of Food and Agriculture(United States Department of Agriculture (USDA)National Institute of Food &amp; Agriculture); Alabama Agricultural Experiment Station; Hatch program of the USDA National Institute of Food and Agriculture (NIFA); USDA NIFA Agriculture and Food Research Initiative (AFRI) program; NSF CAREER Award(National Science Foundation (NSF)NSF - Office of the Director (OD))</t>
  </si>
  <si>
    <t xml:space="preserve">This study is supported in part by the Alabama Agricultural Experiment Station and the Hatch program of the USDA National Institute of Food and Agriculture (NIFA) (Accession No. 1012578), by the USDA NIFA Agriculture and Food Research Initiative (AFRI) program (USDA-2019-67021-29937), and by the NSF CAREER Award (EAR-2144293).</t>
  </si>
  <si>
    <t xml:space="preserve">e2023WR036313</t>
  </si>
  <si>
    <t xml:space="preserve">10.1029/2023WR036313</t>
  </si>
  <si>
    <t xml:space="preserve">OF9J1</t>
  </si>
  <si>
    <t xml:space="preserve">WOS:001205966900001</t>
  </si>
  <si>
    <t xml:space="preserve">Dong, J; Zhu, YJ; Jia, XX; Shao, MA; Han, XY; Qiao, JB; Bai, CY; Tang, XD</t>
  </si>
  <si>
    <t xml:space="preserve">Dong, Juan; Zhu, Yuanjun; Jia, Xiaoxu; Shao, Ming'an; Han, Xiaoyang; Qiao, Jiangbo; Bai, Chenyun; Tang, Xiaodi</t>
  </si>
  <si>
    <t xml:space="preserve">Nation-scale reference evapotranspiration estimation by using deep learning and classical machine learning models in China</t>
  </si>
  <si>
    <t xml:space="preserve">ET0; Convolutional neural network; Extreme learning machine; Multiple adaptive regression splines</t>
  </si>
  <si>
    <t xml:space="preserve">LIMITED METEOROLOGICAL DATA; POTENTIAL EVAPOTRANSPIRATION; CLIMATE-CHANGE; SVM; EVAPORATION; REGRESSION; REGION; ELM</t>
  </si>
  <si>
    <t xml:space="preserve">Accurately estimating the reference evapotranspiration (ET0) is a basic requirement for precision irrigation and the correct planning of regional water resources. This study aimed to investigate the spatiotemporal variations in ET0 in China and to improve the accuracy of ET0 calculations on different spatiotemporal scales. Meteorological data collected at 100 stations in China during 1961 to 2019 were used to calculate ET0 with the Penman-Monteith model, and the temporal and spatial patterns in ET0-PM were analyzed with the Mann-Kendall nonparametric trend test method. Three machine learning models comprising convolutional neural network (CNN), extreme learning machine (ELM), and multiple adaptive regression splines (MARS), and seven empirical models calibrated with mind evolutionary algorithm (MEA) were compared to assess their suitability for calculating ET0 on different spatiotemporal scales in China. The results showed that the annual mean ET0-PM value (413.29-2772.35 mm) in China gradually increased from north to south and from west to east. ET0 exhibited an upward trend in the temperate continental zone (TCZ) and mountain plateau zone (MPZ) but a downward trend in the temperate monsoon zone (TMZ) and subtropical monsoon region (SMZ). By comparing the global performance indicators (GPI), the machine learning models generally performed better than the empirical models at different spatiotemporal scales. And CNN was the best model for calculating ET0 in terms of the model accuracy and stability. On the daily scale, MARS performed well in MPZ, whereas ELM performed well in TMZ and TCZ. On the monthly scale, MARS performed well in TMZ, whereas ELM performed well in SMZ and MPZ. At the annual scale, the accuracy of ELM was higher than that of MARS.</t>
  </si>
  <si>
    <t xml:space="preserve">[Dong, Juan; Zhu, Yuanjun; Bai, Chenyun; Tang, Xiaodi] Northwest A&amp;F Univ, Inst Soil &amp; Water Conservat, Yangling 712100, Shaanxi, Peoples R China; [Zhu, Yuanjun; Shao, Ming'an; Han, Xiaoyang; Qiao, Jiangbo] Northwest A&amp;F Univ, State Key Lab Soil Eros &amp; Dryland Farming Loess P, Yangling 712100, Shaanxi, Peoples R China; [Jia, Xiaoxu; Shao, Ming'an] Chinese Acad Sci, Inst Geog Sci &amp; Nat Resources Res, Key Lab Ecosyst Network Observat &amp; Modeling, Beijing 100101, Peoples R China; [Zhu, Yuanjun; Jia, Xiaoxu; Shao, Ming'an] Univ Chinese Acad Sci, Coll Resources &amp; Environm, Beijing 100190, Peoples R China</t>
  </si>
  <si>
    <t xml:space="preserve">Chinese Academy of Sciences; Institute of Soil &amp; Water Conservation (ISWC), CAS; Northwest A&amp;F University - China; Northwest A&amp;F University - China; Chinese Academy of Sciences; Institute of Geographic Sciences &amp; Natural Resources Research, CAS; Chinese Academy of Sciences; University of Chinese Academy of Sciences, CAS</t>
  </si>
  <si>
    <t xml:space="preserve">Zhu, YJ (corresponding author), Northwest A&amp;F Univ, Inst Soil &amp; Water Conservat, Yangling 712100, Shaanxi, Peoples R China.</t>
  </si>
  <si>
    <t xml:space="preserve">zhuyuanjun@foxmail.com</t>
  </si>
  <si>
    <t xml:space="preserve">Han, Xiaoyang/KPY-3687-2024</t>
  </si>
  <si>
    <t xml:space="preserve">Strategy Priority Research Program of Chinese Academy of Sciences [XDB40000000]; Natural Sci-ence Foundation of China [41530854, 42007011]</t>
  </si>
  <si>
    <t xml:space="preserve">Strategy Priority Research Program of Chinese Academy of Sciences; Natural Sci-ence Foundation of China(National Natural Science Foundation of China (NSFC))</t>
  </si>
  <si>
    <t xml:space="preserve">This work was supported by the Strategy Priority Research Program of Chinese Academy of Sciences (XDB40000000) and the Natural Sci-ence Foundation of China (41530854 and 42007011) .</t>
  </si>
  <si>
    <t xml:space="preserve">10.1016/j.jhydrol.2021.127207</t>
  </si>
  <si>
    <t xml:space="preserve">DEC 2021</t>
  </si>
  <si>
    <t xml:space="preserve">XQ1XT</t>
  </si>
  <si>
    <t xml:space="preserve">WOS:000731346400003</t>
  </si>
  <si>
    <t xml:space="preserve">Torres-Rua, A; Ticlavilca, AM; Aboutalebi, M; Nieto, H; Alsina, MM; White, A; Prueger, JH; Alfieri, J; Hipps, L; McKee, L; Kustas, W; Coopmans, C; Dokoozlian, N</t>
  </si>
  <si>
    <t xml:space="preserve">Thomasson, JA; TorresRua, AF</t>
  </si>
  <si>
    <t xml:space="preserve">Torres-Rua, Alfonso; Ticlavilca, Andres M.; Aboutalebi, Mahyar; Nieto, Hector; Alsina, Maria Mar; White, Alex; Prueger, John H.; Alfieri, Joseph; Hipps, Lawrence; McKee, Lynn; Kustas, William; Coopmans, Calvin; Dokoozlian, Nick</t>
  </si>
  <si>
    <t xml:space="preserve">Estimation of Evapotranspiration and Energy Fluxes using a Deep-Learning based High-Resolution Emissivity Model and the Two-Source Energy Balance Model with sUAS information</t>
  </si>
  <si>
    <t xml:space="preserve">AUTONOMOUS AIR AND GROUND SENSING SYSTEMS FOR AGRICULTURAL OPTIMIZATION AND PHENOTYPING V</t>
  </si>
  <si>
    <t xml:space="preserve">Conference on Autonomous Air and Ground Sensing Systems for Agricultural Optimization and Phenotyping V</t>
  </si>
  <si>
    <t xml:space="preserve">APR 27-MAY 08, 2020</t>
  </si>
  <si>
    <t xml:space="preserve">ELECTR NETWORK</t>
  </si>
  <si>
    <t xml:space="preserve">SPIE</t>
  </si>
  <si>
    <t xml:space="preserve">High-resolution evapotranspiration; narrowband emissivity; broadband emissivity; microbolometer camera; deep learning; land surface temperature; UAV; microbolometer camera; NASA HYTES; UCSB MODIS Emissivity; Landsat</t>
  </si>
  <si>
    <t xml:space="preserve">SURFACE-ENERGY; WATER; TEMPERATURE; ALGORITHM</t>
  </si>
  <si>
    <t xml:space="preserve">Surface temperature is necessary for the estimation of energy fluxes and evapotranspiration from satellites and airborne data sources. For example, the Two-Source Energy Balance (TSEB) model uses thermal information to quantify canopy and soil temperatures as well as their respective energy balance components. While surface (also called kinematic) temperature is desirable for energy balance analysis, obtaining this temperature is not straightforward due to a lack of spatially estimated narrowband (sensor-specific) and broadband emissivities of vegetation and soil, further complicated by spectral characteristics of the UAV thermal camera. This study presents an effort to spatially model narrowband and broadband emissivities for a microbolometer thermal camera at UAV information resolution (similar to 0.15 m) based on Landsat and NASA HyTES information using a deep learning (DL) model. The DL model is calibrated using equivalent optical Landsat / UAV spectral information to spatially estimate narrowband emissivity values of vegetation and soil in the 7-14-nm range at UAV resolution. The resulting DL narrowband emissivity values were then used to estimate broadband emissivity based on a developed narrowband-broadband emissivity relationship using the MODIS UCSB Emissivity Library database. The narrowband and broadband emissivities were incorporated into the TSEB model to determine their impact on the estimation of instantaneous energy balance components against ground measurements. The proposed effort was applied to information collected by the Utah State University AggieAir small Unmanned Aerial Systems (sUAS) Program as part of the ARS-USDA GRAPEX Project (Grape Remote sensing Atmospheric Profile and Evapotranspiration eXperiment) over a vineyard located in Lodi, California. A comparison of resulting energy balance component estimates, with and without the inclusion of high-resolution narrowband and broadband emissivities, against eddy covariance (EC) measurements under different scenarios are presented and discussed.</t>
  </si>
  <si>
    <t xml:space="preserve">[Torres-Rua, Alfonso; Aboutalebi, Mahyar; Hipps, Lawrence; Coopmans, Calvin] Utah State Univ, Old Main Hill, Logan, UT 84322 USA; [Ticlavilca, Andres M.] Ocean Associates Inc, Santa Rosa, CA 95404 USA; [Nieto, Hector] IRTA, Res &amp; Technol Food &amp; Agr, Lleida 25003, Spain; [Alsina, Maria Mar; Dokoozlian, Nick] E&amp;J Gallo Winery Viticulture Res, Modesto, CA 95354 USA; [White, Alex; Alfieri, Joseph; McKee, Lynn; Kustas, William] ARS, USDA, Hydrol &amp; Remote Sensing Lab, Beltsville, MD 20705 USA; [Prueger, John H.] ARS, USDA, Natl Lab Agr &amp; Environm, Ames, IA 50011 USA</t>
  </si>
  <si>
    <t xml:space="preserve">Utah System of Higher Education; Utah State University; IRTA; United States Department of Agriculture (USDA); United States Department of Agriculture (USDA); USDA Agricultural Research Service</t>
  </si>
  <si>
    <t xml:space="preserve">Torres-Rua, A (corresponding author), Utah State Univ, Old Main Hill, Logan, UT 84322 USA.</t>
  </si>
  <si>
    <t xml:space="preserve">alfonso.torres@usu.edu</t>
  </si>
  <si>
    <t xml:space="preserve">Torres, Alfonso/H-3998-2012; Prueger, John/HNC-4371-2023; Alsina, Maria/C-2879-2009; Aboutalebi, Mahyar/H-7469-2019; Kustas, William/C-2063-2015; Nieto, Hector/C-8136-2009</t>
  </si>
  <si>
    <t xml:space="preserve">White, Alex/0000-0002-9950-0499; Dokoozlian, Nick/0000-0002-1525-1967; Aboutalebi, Mahyar/0000-0001-7741-1631; Torres-Rua, Alfonso/0000-0002-2238-9550; Nieto, Hector/0000-0003-4250-6424</t>
  </si>
  <si>
    <t xml:space="preserve">NASA [NNX17AF51G] Funding Source: Medline; NASA [1001335, NNX17AF51G] Funding Source: Federal RePORTER</t>
  </si>
  <si>
    <t xml:space="preserve">NASA(National Aeronautics &amp; Space Administration (NASA)); NASA(National Aeronautics &amp; Space Administration (NASA))</t>
  </si>
  <si>
    <t xml:space="preserve">SPIE-INT SOC OPTICAL ENGINEERING</t>
  </si>
  <si>
    <t xml:space="preserve">BELLINGHAM</t>
  </si>
  <si>
    <t xml:space="preserve">1000 20TH ST, PO BOX 10, BELLINGHAM, WA 98227-0010 USA</t>
  </si>
  <si>
    <t xml:space="preserve">0277-786X</t>
  </si>
  <si>
    <t xml:space="preserve">1996-756X</t>
  </si>
  <si>
    <t xml:space="preserve">978-1-5106-3606-4</t>
  </si>
  <si>
    <t xml:space="preserve">PROC SPIE</t>
  </si>
  <si>
    <t xml:space="preserve">114140B</t>
  </si>
  <si>
    <t xml:space="preserve">10.1117/12.2558824</t>
  </si>
  <si>
    <t xml:space="preserve">Automation &amp; Control Systems; Agricultural Engineering; Remote Sensing</t>
  </si>
  <si>
    <t xml:space="preserve">Automation &amp; Control Systems; Agriculture; Remote Sensing</t>
  </si>
  <si>
    <t xml:space="preserve">BQ4KK</t>
  </si>
  <si>
    <t xml:space="preserve">Green Accepted</t>
  </si>
  <si>
    <t xml:space="preserve">WOS:000589984100008</t>
  </si>
  <si>
    <t xml:space="preserve">Feng, JJ; Wang, WZ; Xu, FA; Wang, ST</t>
  </si>
  <si>
    <t xml:space="preserve">Feng, Jiaojiao; Wang, Weizhen; Xu, Feinan; Wang, Shengtang</t>
  </si>
  <si>
    <t xml:space="preserve">Evaluating the ability of deep learning on actual daily evapotranspiration estimation over the heterogeneous surfaces</t>
  </si>
  <si>
    <t xml:space="preserve">JE Fern ' andez; Data-oriented deep learning; Conventional observations; Soil water content; Comparison of algorithm; Unified DL-based model; Heihe River Basin</t>
  </si>
  <si>
    <t xml:space="preserve">ENERGY-BALANCE CLOSURE; LARGE-APERTURE SCINTILLOMETER; HEIHE RIVER-BASIN; EDDY-COVARIANCE; HEAT-FLUX; EVAPORATION; MACHINE; MODEL; WATER; SOIL</t>
  </si>
  <si>
    <t xml:space="preserve">Evapotranspiration (ET) is one of the most critical components in hydrological processes and is of great importance to water resource management. Data-oriented deep learning (DL) has been increasingly utilized to forecast hydrological variables over recent years. In this study, the ability of the widely-used DL methods, including long short-term memory (LSTM), bi-directional LSTM (BiLSTM), deep neural network (DNN), and deep belief network (DBN), on the estimation of actual daily ET over the heterogeneous surfaces, was investigated using four groups of experiments. Firstly, the influence of the different input variables on the above DL-based ET model over the various land cover types was explored and analyzed. The results showed that the DL-based ET model can accurately estimate the actual daily ET over the heterogeneous surfaces using a few key conventional observations, i.e., net radiation (Rn), relative humidity (RH), air temperature (T-a), and wind speed (u), as well as soil water content (SWC). However, the performance of the DL-based ET model varied from the different combinations of input variables. SWC was crucial to the estimation of ET, with RMSD decreased from 0.94 to 0.76 mm d-1 when SWC was added to the DL model. Then, the comparison of the four DL-based ET model performances was done. The minor difference in ET estimates was caused by the algorithm differences between LSTM, BiLSTM, DNN, and DBN. Based on the above work, a unified DL-based ET model over the heterogeneous surfaces was developed. The unified DL-based model improved the applicability of DL in ET estimation although it underperformed the separate DL-based model. Finally, the comparison of the performance of the TSEB model and DL method was done. Evaluated with the results of heterogeneous surface, the DL-based model had a better accuracy with a MAPE of 16 - 50%; while the TSEB model had a larger MAPE of 20 - 55%. The results of this research suggest that the DL-based ET model is a promising alternative for the simulation of the daily ET over the heterogeneous surfaces.</t>
  </si>
  <si>
    <t xml:space="preserve">[Feng, Jiaojiao; Wang, Weizhen; Xu, Feinan; Wang, Shengtang] Chinese Acad Sci, Northwest Inst Ecoenvironm &amp; Resources, Key Lab Remote Sensing Gansu Prov, Heihe Remote Sensing Expt Res Stn, Lanzhou 730000, Peoples R China; [Wang, Shengtang] Univ Chinese Acad Sci, Beijing 100049, Peoples R China</t>
  </si>
  <si>
    <t xml:space="preserve">Chinese Academy of Sciences; Chinese Academy of Sciences; University of Chinese Academy of Sciences, CAS</t>
  </si>
  <si>
    <t xml:space="preserve">Wang, WZ (corresponding author), Chinese Acad Sci, Northwest Inst Ecoenvironm &amp; Resources, Key Lab Remote Sensing Gansu Prov, Heihe Remote Sensing Expt Res Stn, Lanzhou 730000, Peoples R China.</t>
  </si>
  <si>
    <t xml:space="preserve">weizhen@lzb.ac.cn</t>
  </si>
  <si>
    <t xml:space="preserve">National Key Research and Development Program of China [2023YFB3905801]; National Sci- ence Foundation of China [42201431, 42101411]; China Postdoctoral Science Foundation [2022M723357, 2021M703463]</t>
  </si>
  <si>
    <t xml:space="preserve">National Key Research and Development Program of China(National Key Research &amp; Development Program of China); National Sci- ence Foundation of China(National Natural Science Foundation of China (NSFC)); China Postdoctoral Science Foundation(China Postdoctoral Science Foundation)</t>
  </si>
  <si>
    <t xml:space="preserve">This work is funded by the National Key Research and Development Program of China (grant number 2023YFB3905801) ; the National Sci- ence Foundation of China (grant numbers 42201431 and 42101411) ; the Project funded by China Postdoctoral Science Foundation (grant numbers 2022M723357 and No. 2021M703463) .</t>
  </si>
  <si>
    <t xml:space="preserve">FEB 1</t>
  </si>
  <si>
    <t xml:space="preserve">10.1016/j.agwat.2023.108627</t>
  </si>
  <si>
    <t xml:space="preserve">DEC 2023</t>
  </si>
  <si>
    <t xml:space="preserve">DU1O0</t>
  </si>
  <si>
    <t xml:space="preserve">WOS:001134502600001</t>
  </si>
  <si>
    <t xml:space="preserve">Ravindran, SM; Bhaskaran, SKM; Ambat, SKN</t>
  </si>
  <si>
    <t xml:space="preserve">Ravindran, Sowmya Mangalath; Bhaskaran, Santosh Kumar Moorakkal; Ambat, Sooraj Krishnan Nair</t>
  </si>
  <si>
    <t xml:space="preserve">A Deep Neural Network Architecture to Model Reference Evapotranspiration Using a Single Input Meteorological Parameter</t>
  </si>
  <si>
    <t xml:space="preserve">ENVIRONMENTAL PROCESSES-AN INTERNATIONAL JOURNAL</t>
  </si>
  <si>
    <t xml:space="preserve">Reference evapotranspiration; Deep neural network; Feature importance; Extreme gradient boosting; Random forest; SHAP</t>
  </si>
  <si>
    <t xml:space="preserve">EXTREME LEARNING-MACHINE; WEATHER PARAMETERS; DIFFERENT CLIMATES; SENSITIVITY; REGIONS; XGBOOST; SVM</t>
  </si>
  <si>
    <t xml:space="preserve">Hydro-agrological research considers the reference evapotranspiration (ETo), driven by meteorological variables, crucial for achieving precise irrigation in precision agriculture. ETo modelling based on a single meteorological parameter would be beneficial in places where the collection of climatic parameters is challenging. The aim of this research is to develop a deep neural network (DNN) architecture that predicts daily ETo with a single input parameter selected based on the feature importance (FI) score generated by the machine learning techniques, random forest (RF), and extreme gradient boosting (XGBoost). This study also investigated the potential of SHapley Additive exPlanations to interpret and validate the outcomes of the feature selection methods by assessing the contributions of each feature to the ETo prediction. These methods recommended solar radiation as a significant parameter in the datasets of three California Irrigation Management System (CIMIS) weather stations located in distinct ETo zones. Three ETo models (DNN-Ret, XGB-Ret, and RF-Ret) were built using solar radiation as the sole input, and CIMIS ETo as the output. The performance evaluation of the developed models proved that DNN-Ret outperformed XGB-Ret and RF-Ret regardless of the dataset, with coefficients of determination (R-2) ranging from 0.914 to 0.954 in the local scenario, with an average decrease of 8-9.5% in mean absolute error and root mean squared error, and an improvement of 2.6-2.9% in Nash-Sutcliffe efficiency and 1.7-2% increase in R-2. The overall result analysis highlighted the efficiency of DNN-Ret in the single input parameter based ETo modelling in diverse climatic zones.</t>
  </si>
  <si>
    <t xml:space="preserve">[Ravindran, Sowmya Mangalath] Cochin Univ Sci &amp; Technol, Dept Comp Applicat, Kochi 682022, Kerala, India; [Bhaskaran, Santosh Kumar Moorakkal] Cochin Univ Sci &amp; Technol, Sch Engn, Div Informat Technol, Kochi 682022, Kerala, India; [Ambat, Sooraj Krishnan Nair] Def R&amp;D Org, Naval Phys &amp; Oceanog Lab, Kochi 682021, Kerala, India</t>
  </si>
  <si>
    <t xml:space="preserve">Cochin University Science &amp; Technology; Cochin University Science &amp; Technology; Defence Research &amp; Development Organisation (DRDO); Naval Physical &amp; Oceanographic Laboratory (NPOL)</t>
  </si>
  <si>
    <t xml:space="preserve">; Ambat, Sooraj K./S-5610-2016</t>
  </si>
  <si>
    <t xml:space="preserve">M R, Sowmya/0000-0001-7866-8164; Ambat, Sooraj K./0000-0002-3684-2221</t>
  </si>
  <si>
    <t xml:space="preserve">SPRINGER INT PUBL AG</t>
  </si>
  <si>
    <t xml:space="preserve">CHAM</t>
  </si>
  <si>
    <t xml:space="preserve">GEWERBESTRASSE 11, CHAM, CH-6330, SWITZERLAND</t>
  </si>
  <si>
    <t xml:space="preserve">2198-7491</t>
  </si>
  <si>
    <t xml:space="preserve">2198-7505</t>
  </si>
  <si>
    <t xml:space="preserve">ENVIRON PROCESS</t>
  </si>
  <si>
    <t xml:space="preserve">Environ. Process.</t>
  </si>
  <si>
    <t xml:space="preserve">10.1007/s40710-021-00543-x</t>
  </si>
  <si>
    <t xml:space="preserve">OCT 2021</t>
  </si>
  <si>
    <t xml:space="preserve">Engineering, Environmental</t>
  </si>
  <si>
    <t xml:space="preserve">Engineering</t>
  </si>
  <si>
    <t xml:space="preserve">WS2TO</t>
  </si>
  <si>
    <t xml:space="preserve">WOS:000702804400001</t>
  </si>
  <si>
    <t xml:space="preserve">Kaissi, O; Belaqziz, S; Kharrou, MH; Erraki, S; El Hachimi, C; Amazirh, A; Chehbouni, A</t>
  </si>
  <si>
    <t xml:space="preserve">Kaissi, Oumaima; Belaqziz, Salwa; Kharrou, Mohamed Hakim; Erraki, Salah; El Hachimi, Chouaib; Amazirh, Abdelhakim; Chehbouni, Abdelghani</t>
  </si>
  <si>
    <t xml:space="preserve">Advanced learning models for estimating the spatio-temporal variability of reference evapotranspiration using in-situ and ERA5-Land reanalysis data</t>
  </si>
  <si>
    <t xml:space="preserve">Evapotranspiration; Deep learning; Smart agriculture; FAO-56 Penman-Monteith; Hargreaves; ERA5-Land reanalysis data</t>
  </si>
  <si>
    <t xml:space="preserve">PENMAN-MONTEITH; IRRIGATION; FAO-56; EQUATION; REGION; CROPS; SOIL</t>
  </si>
  <si>
    <t xml:space="preserve">Reference Evapotranspiration (ET0) is a key parameter in hydrology. It has a variety of practical applications, ranging from understanding the hydrological cycle to estimating crop water needs for efficient irrigation in agriculture. The FAO PENMAN-MONTEITH (FAO-PM) method is largely adopted and is the recommended method by the FAO for ET0 estimation. However, it requires multiple measured meteorological parameters that are, in some conditions, difficult to obtain. This work fills this gap and leverages the potential of data-driven methods, namely machine learning and deep learning models, to accurately estimate ET0 while using a limited number of easy-to-obtain parameters. The study uses physical-based models (FAO-PM and Hargreaves) as ET0 learning data providers for data-driven models. First, physical models were fed with meteorological data covering the period 2013-2020 at an hourly scale to estimate ET0. The data were sourced from the in-situ local weather station of our study area in the Tensift basin (center of Morocco) and from the Copernicus ERA5-Land reanalysis data. Next, as a preprocessing step, feature engineering was performed using a decision tree-based approach. We evaluated the predictive importance of weather parameters for ET0 estimation. Scores between 0 and 1 were assigned to each parameter, indicating their efficacy. Notably, mean air temperature and global solar radiation stood out, collectively surpassing an 86% importance threshold. In contrast to the rest of the parameters that have a low importance of 10%. This emphasizes the critical significance of mean air temperature and global solar radiation as essential predictors for accurate ET0 estimation. Finally, during the modeling phase, three deep-learning models Long Short-Term Memory (LSTM), Gated Recurrent Unit, and Convolutional Neural Network are highlighted. Notably, the LSTM model exhibits superior performance, delivering comparable coefficients of determination (R2) and root mean square error (RMSE) results, surpassing its counterparts. In terms of univariate predictions using the Hargreaves and FAO-56 PM methods, the LSTM consistently achieves high R2 values of 0.90 across all data sources, accompanied by impressive accuracy reflected in low MAE, MSE, and RMSE values ranging from 0.004 to 0.07 mm/day. In addition, the ensemble learning model XGBoost had the best prediction performance with R2 = 0.93 and RMSE = 0.03 mm/day. This confirms that machine learning models outperform deep learning architectures for small and medium-sized datasets. The proposed models will be integrated into an under-development agricultural decision support system.</t>
  </si>
  <si>
    <t xml:space="preserve">[Kaissi, Oumaima; Belaqziz, Salwa; Erraki, Salah; El Hachimi, Chouaib; Amazirh, Abdelhakim; Chehbouni, Abdelghani] Mohammed VI Polytech Univ UM6P, Ctr Remote Sensing Applicat CRSA, Benguerir, Morocco; [Kharrou, Mohamed Hakim] Mohammed VI Polytech Univ UM6P, Int Water Res Inst IWRI, Benguerir, Morocco; [Belaqziz, Salwa] Ibn Zohr Univ UIZ, Fac Sci, Dept Comp Sci, LabSIV Lab, Agadir, Morocco; [Erraki, Salah] Cadi Ayyad Univ UCA, Fac Sci &amp; Technol FST, ProcEDE AgroBiotech Ctr, Dept Phys, Marrakech, Morocco; [Chehbouni, Abdelghani] Univ Toulouse, IRD CNRS UPS CNES, Ctr Etud Spatiales Biosphere CESBIO, Toulouse, France</t>
  </si>
  <si>
    <t xml:space="preserve">Mohammed VI Polytechnic University; Mohammed VI Polytechnic University; Ibn Zohr University of Agadir; Cadi Ayyad University of Marrakech; Universite de Toulouse; Universite Toulouse III - Paul Sabatier; Centre National de la Recherche Scientifique (CNRS); Institut de Recherche pour le Developpement (IRD)</t>
  </si>
  <si>
    <t xml:space="preserve">Kaissi, O (corresponding author), Mohammed VI Polytech Univ UM6P, Ctr Remote Sensing Applicat CRSA, Benguerir, Morocco.</t>
  </si>
  <si>
    <t xml:space="preserve">Oumaima.KAISSI@um6p.ma</t>
  </si>
  <si>
    <t xml:space="preserve">EL HACHIMI, CHOUAIB/HTP-9393-2023; Belaqziz, Salwa/HPC-2234-2023; Er-Raki, salah/I-4792-2014; chehbouni, abdelghani/ACN-8375-2022; chehbouni, abdelghani/K-2096-2016</t>
  </si>
  <si>
    <t xml:space="preserve">chehbouni, abdelghani/0000-0002-0270-1690; KHARROU, Mohamed Hakim/0000-0003-4310-1074; Belaqziz, Salwa/0000-0001-7248-8605; Amazirh, Abdelhakim/0000-0002-6665-3843; kaissi, oumaima/0009-0007-5462-6980; EL HACHIMI, CHOUAIB/0000-0001-8019-1051</t>
  </si>
  <si>
    <t xml:space="preserve">OCP S.A. (Office Cherifien des Phosphates) [71]; OCP S.A. (Office Cherifien des Phosphates)</t>
  </si>
  <si>
    <t xml:space="preserve">OCP S.A. (Office Cherifien des Phosphates); OCP S.A. (Office Cherifien des Phosphates)</t>
  </si>
  <si>
    <t xml:space="preserve">This study was conducted within the framework of the ASSIWAT research program, based at Mohammed VI Polytechnic University (UM6P) and the International Water Research Institute (IWRI) Center in Morocco. Funding for this research was kindly provided by OCP S.A. (Office Cherifien des Phosphates) under grant agreement number 71. We would to express our gratitude to the FIRMA research program for its consistent support and substantial contributions to this study. Their help has been invaluable in advancing our research. In addition, we express our sincere gratitude to the reviewers for their valuable comments and suggestions.</t>
  </si>
  <si>
    <t xml:space="preserve">10.1007/s40808-023-01872-6</t>
  </si>
  <si>
    <t xml:space="preserve">OCT 2023</t>
  </si>
  <si>
    <t xml:space="preserve">LU6Y6</t>
  </si>
  <si>
    <t xml:space="preserve">WOS:001088170100001</t>
  </si>
  <si>
    <t xml:space="preserve">Banerjee, D; Ganguly, S; Tsai, WP</t>
  </si>
  <si>
    <t xml:space="preserve">Banerjee, Dolon; Ganguly, Sayantan; Tsai, Wen-Ping</t>
  </si>
  <si>
    <t xml:space="preserve">A novel hybrid machine learning framework for spatio-temporal analysis of reference evapotranspiration in India</t>
  </si>
  <si>
    <t xml:space="preserve">Reference evapotranspiration (ET o ); Hybrid ML models; Statistical downscaling; Climate models; Reanalysis data; Spatio-temporal variation</t>
  </si>
  <si>
    <t xml:space="preserve">MODELING REFERENCE EVAPOTRANSPIRATION; POTENTIAL EVAPOTRANSPIRATION; TEMPERATURE; PERFORMANCE; PREDICTION</t>
  </si>
  <si>
    <t xml:space="preserve">Study region: The study focuses on the diverse climatic regions of India, spanning arid, semi-arid, sub-humid, and humid zones. Study focus: This research employs a novel hybrid machine learning (ML) framework for precise spatio-temporal reference evapotranspiration (ETo) modelling from 1970 to 2024, addressing the variability in temperature, humidity, and precipitation. Three advanced ML models-QuantileAdjusted xLSTM Network (QAxLNet), Quantile-Score Diffusion Model (QSDM), and Attentive Deep Quantile-Aware Autoencoder Network (ADAQNet)-are proposed and applied, focusing on relative humidity and temperature as critical predictors. Model validation, conducted with EEFlux-derived ETo data and Indian Meteorological Department (IMD) benchmarks, revealed strong alignment across diverse climatic zones. New hydrological insights for the region: The MPI-ESM1-2-HR model under SSP3-7.0 scenarios outperformed other CMIP6 models, with a correlation coefficient of 0.975 and spatial error of 3.55 mm. The ADAQNet demonstrated superior performance, with lowest errors RMSE (Train: 0.2247, Test: 0.2499), and R2 (Train: 0.96; Test: 0.9571) among the models. ETo declined at an average rate of 1.9 mm/year, indicating the role of climate change. ETo variability closely mirrored the spatial distribution of the National Building Code (NBC) of India. Seasonal variations were significant, with arid regions (Rajasthan, Gujarat) experiencing the highest increase (2.5-5.1 mm/year). Humid regions showed high sensitivity to RH forecasts, with up to 20 % ETo deviation. The study emphasizes the spatial, temporal, and seasonal variations of ETo across the region, highlighting its dependence on climatic factors.</t>
  </si>
  <si>
    <t xml:space="preserve">[Banerjee, Dolon; Ganguly, Sayantan] Indian Inst Technol Ropar, Dept Civil Engn, Rupnagar 140001, Punjab, India; [Tsai, Wen-Ping] Natl Cheng Kung Univ, Dept Hydraul &amp; Ocean Engn, 1 Univ Rd, Tainan 70101, Taiwan</t>
  </si>
  <si>
    <t xml:space="preserve">Indian Institute of Technology System (IIT System); Indian Institute of Technology (IIT) - Ropar; National Cheng Kung University</t>
  </si>
  <si>
    <t xml:space="preserve">Banerjee, D (corresponding author), Indian Inst Technol Ropar, Dept Civil Engn, Rupnagar 140001, Punjab, India.</t>
  </si>
  <si>
    <t xml:space="preserve">dolon.20cez0004@iitrpr.ac.in</t>
  </si>
  <si>
    <t xml:space="preserve">Ganguly, Sayantan/I-2063-2019</t>
  </si>
  <si>
    <t xml:space="preserve">Ganguly, Sayantan/0000-0002-9992-7118</t>
  </si>
  <si>
    <t xml:space="preserve">Indo-Taiwan Joint Research Centre on Artificial Intelligence and Machine Learning at the Indian Institute of Technology Ropar</t>
  </si>
  <si>
    <t xml:space="preserve">The authors gratefully acknowledge the funding received from the Indo-Taiwan Joint Research Centre on Artificial Intelligence and Machine Learning (https:// www.iitrpr.ac.in/indo-taiwan/) at the Indian Institute of Technology Ropar, which helped the authors immensely in reaching the goals of the present research work.</t>
  </si>
  <si>
    <t xml:space="preserve">10.1016/j.ejrh.2025.102271</t>
  </si>
  <si>
    <t xml:space="preserve">Z1X4S</t>
  </si>
  <si>
    <t xml:space="preserve">WOS:001436920400001</t>
  </si>
  <si>
    <t xml:space="preserve">Hu, XL; Shi, LS; Lin, G</t>
  </si>
  <si>
    <t xml:space="preserve">Hu, Xiaolong; Shi, Liangsheng; Lin, Guang</t>
  </si>
  <si>
    <t xml:space="preserve">The data-driven solution of energy imbalance-induced structural error in evapotranspiration models</t>
  </si>
  <si>
    <t xml:space="preserve">Evapotranspiration; Energy imbalance problem; Structural error; Machine learning</t>
  </si>
  <si>
    <t xml:space="preserve">BALANCE CLOSURE; PART I; ECOSYSTEMS; STORAGE; FLUXES; SITES</t>
  </si>
  <si>
    <t xml:space="preserve">Due to the energy imbalance problem that the sum of latent and sensible heat fluxes is not equivalent to available energy, there exists a structural error in energy balance-based evapotranspiration models. In this study, the data-driven solution was proposed to address this problem. We combined three machine learning algorithms, deep neural network, long-short term memory, and random forest, with observations from 69 FLXUNET sites to quantify instantaneous energy balance ratio (EBR), then corrected the energy imbalance-induced structural error in evapotranspiration models. The contributions of the environmental factors to the energy imbalance problem was evaluated using the Sobol sensitivity analysis. Our results showed that the data-driven methods obtained a good estimation of EBR, and further decreased the error of evapotranspiration estimation. The data-driven solution performed well from the scale of individual site to global, which demonstrated a good generalization performance. The three machine learning algorithms had similar performances on overcoming the energy imbalance-induced structural error. Friction velocity and atmospheric stability were detected as the most sensitive factors to the energy imbalance problem, which can be explained by the vital influence of advection on the energy imbalance problem. Our work provided new insight into the improvement of evapotranspiration models.</t>
  </si>
  <si>
    <t xml:space="preserve">[Hu, Xiaolong; Shi, Liangsheng] Wuhan Univ, State Key Lab Water Resources &amp; Hydropower Engn S, Wuhan 430072, Hubei, Peoples R China; [Lin, Guang] Purdue Univ, Sch Mech Engn, Dept Math, Dept Stat Courtesy Earth Atmospher &amp; Planetary Sc, W Lafayette, IN 47907 USA</t>
  </si>
  <si>
    <t xml:space="preserve">Wuhan University; Purdue University System; Purdue University</t>
  </si>
  <si>
    <t xml:space="preserve">Shi, LS (corresponding author), Wuhan Univ, State Key Lab Water Resources &amp; Hydropower Engn S, Wuhan 430072, Hubei, Peoples R China.</t>
  </si>
  <si>
    <t xml:space="preserve">liangshs@whu.edu.cn</t>
  </si>
  <si>
    <t xml:space="preserve">Lin, Guang/ABB-2145-2021</t>
  </si>
  <si>
    <t xml:space="preserve">Lin, Guang/0000-0002-0976-1987</t>
  </si>
  <si>
    <t xml:space="preserve">National Natural Science Foundation of China [51861125202]; National Science Foundation [DMS-1555072, DMS-1736364, CMMI-1634832]</t>
  </si>
  <si>
    <t xml:space="preserve">National Natural Science Foundation of China(National Natural Science Foundation of China (NSFC)); National Science Foundation(National Science Foundation (NSF))</t>
  </si>
  <si>
    <t xml:space="preserve">This study was supported by the National Natural Science Foundation of China Grant 51861125202. The authors gratefully acknowledge all of the researchers for their contributions behind each flux sites and the organizers of the FLUXNET database. GL gratefully acknowledges the support from National Science Foundation (DMS-1555072, DMS-1736364, and CMMI-1634832). All codes and data are available from the corresponding author (Dr. Liangsheng Shi, liangshs@whu.edu.cn) upon request.</t>
  </si>
  <si>
    <t xml:space="preserve">10.1016/j.jhydrol.2021.126205</t>
  </si>
  <si>
    <t xml:space="preserve">MAR 2021</t>
  </si>
  <si>
    <t xml:space="preserve">SF6AI</t>
  </si>
  <si>
    <t xml:space="preserve">WOS:000652835600077</t>
  </si>
  <si>
    <t xml:space="preserve">Elbeltagi, A; Deng, JS; Wang, K; Malik, A; Maroufpoor, S</t>
  </si>
  <si>
    <t xml:space="preserve">Elbeltagi, Ahmed; Deng, Jinsong; Wang, Ke; Malik, Anurag; Maroufpoor, Saman</t>
  </si>
  <si>
    <t xml:space="preserve">Modeling long-term dynamics of crop evapotranspiration using deep learning in a semi-arid environment</t>
  </si>
  <si>
    <t xml:space="preserve">Crop evapotranspiration; DNN model; Climate change; Future projection</t>
  </si>
  <si>
    <t xml:space="preserve">DATA-DRIVEN METHODS; HARGREAVES EQUATION; WATER PRODUCTIVITY; CLIMATE VARIABLES; RIVER-BASIN; TEMPERATURE; REGRESSION; SOUTH; WHEAT</t>
  </si>
  <si>
    <t xml:space="preserve">Crop evapotranspiration (ETc) is one of the most basic components of the hydrologic cycle that is effective in irrigation system design and management, water resources planning and scheduling, and hydrologic water balance. Thus, precise estimation of ETc is valuable for various applications of agricultural water engineering, especially in developing countries such as Egypt, which has lack of meteorological data, high cost and time to calculate ETc, and lack of information on future ETc values to consider management scenarios and increase production potential. Also, due to the existence of different climates in Egypt, the estimate of ETc has become a challenge. To this end, the aim of this study was to estimate the ETc to eliminate the limitations mentioned, and analyze the long-term dynamics of ETc based on limited climate data and simple method. Three Egyptian governorates namely Ad Daqahliyah, Ash Sharqiyah, and Kafr ash Shaykh of Nile Delta, were selected as major wheat-producing sites. The required historical required climatic data were collected from open access data library while future data were from two extreme scenarios of the Representative Concentration Pathways (RCP) i.e., RCP 4.5, and RCP 8.5. The available dataset was divided into three parts: (i) calibration from 1970-2000, (ii) validation from 2000-2017, and (iii) prediction from 2022-2035. The deep neural network (DNN) was employed for incorporating historical data and predicting future ETc. For the evaluation of generated DNN models, the research finding indicates that the correlation coefficients between actual versus predicted monthly ETc were found to be 0.95, 0.96, and 0.97 for calibration period, and 0.94, 0.95 and 0.95 for validation at Ad Daqahliyah, Kafr ash Shaykh, and Ash Sharqiyah regions, respectively. For the simulation of future climatic data, maximum temperature (T-max) will increased by 5.19 %, 4.22 %, and 20.82 %, minimum temperature (T-min) will increased by 1.62 %, 36.44 %, and 27.80 %, and solar radiation (SR) will increased by 6.53 %, 18.74 %, and 28.83 % for the study locations, respectively. Moreover, the DNN model exposed that the Kafr ash Shaykh attain the highest values of ETc with an increase of 11.31 %, slightly increased of 1.38 % for Ad Daqahliyah, and decreased by 15.09 % for Ash Sharqiyah in comparison to the historical data. Thus, the proposed model of crop water-use prediction effectively estimated ETc of wheat and make an efficient decision. The developed models produced satisfactory results for water managers to save water and achieve the sustainability of agricultural water.</t>
  </si>
  <si>
    <t xml:space="preserve">[Elbeltagi, Ahmed; Deng, Jinsong; Wang, Ke] Zhejiang Univ, Coll Environm &amp; Resource Sci, Hangzhou 310058, Peoples R China; [Elbeltagi, Ahmed] Mansoura Univ, Agr Engn Dept, Fac Agr, Mansoura 35516, Egypt; [Malik, Anurag] Punjab Agr Univ, Reg Res Stn, Bathinda 151001, Punjab, India; [Maroufpoor, Saman] Univ Tehran, Irrigat &amp; Reclamat Engn Dept, Tehran, Iran</t>
  </si>
  <si>
    <t xml:space="preserve">Zhejiang University; Egyptian Knowledge Bank (EKB); Mansoura University; Punjab Agricultural University; University of Tehran</t>
  </si>
  <si>
    <t xml:space="preserve">Deng, JS (corresponding author), Zhejiang Univ, Coll Environm &amp; Resource Sci, Hangzhou 310058, Peoples R China.</t>
  </si>
  <si>
    <t xml:space="preserve">ahmed_elbeltagi@zju.edu.cn; jsong_deng@zju.edu.cn</t>
  </si>
  <si>
    <t xml:space="preserve">Maroufpoor, Saman/AAC-9154-2022; Deng, Jinsong/A-9301-2015; Elbeltagi, Ahmed/P-4614-2018; Malik, Anurag/AAF-5402-2020</t>
  </si>
  <si>
    <t xml:space="preserve">Elbeltagi, Ahmed/0000-0002-5506-9502; Malik, Anurag/0000-0002-0298-5777; Maroufpoor, Saman/0000-0002-9130-2367</t>
  </si>
  <si>
    <t xml:space="preserve">Zhejiang Provincial Natural Science Foundation of China [LY18G030006]</t>
  </si>
  <si>
    <t xml:space="preserve">Zhejiang Provincial Natural Science Foundation of China(Natural Science Foundation of Zhejiang Province)</t>
  </si>
  <si>
    <t xml:space="preserve">This work was supported by Zhejiang Provincial Natural Science Foundation of China [grant number LY18G030006]. Cordial thanks are extended to the editor and seven anonymous reviewers for their helpful feedback.</t>
  </si>
  <si>
    <t xml:space="preserve">10.1016/j.agwat.2020.106334</t>
  </si>
  <si>
    <t xml:space="preserve">NK6SE</t>
  </si>
  <si>
    <t xml:space="preserve">WOS:000566864000005</t>
  </si>
  <si>
    <t xml:space="preserve">Qian, L; Wu, LF; Zhang, ZT; Fan, JL; Yu, XJ; Liu, XG; Yang, QL; Cui, YK</t>
  </si>
  <si>
    <t xml:space="preserve">Qian, Long; Wu, Lifeng; Zhang, Zhitao; Fan, Junliang; Yu, Xingjiao; Liu, Xiaogang; Yang, Qiliang; Cui, Yaokui</t>
  </si>
  <si>
    <t xml:space="preserve">A gap filling method for daily evapotranspiration of global flux data sets based on deep learning</t>
  </si>
  <si>
    <t xml:space="preserve">Gap filling; Evapotranspiration; ET products; ERA5; CNN-LSTM; Eddy covariance</t>
  </si>
  <si>
    <t xml:space="preserve">EDDY COVARIANCE MEASUREMENTS; NET ECOSYSTEM EXCHANGE; LATENT-HEAT FLUX; GROSS PRIMARY PRODUCTION; ENERGY-BALANCE CLOSURE; LAND-COVER TYPES; TERRESTRIAL EVAPOTRANSPIRATION; POTENTIAL EVAPOTRANSPIRATION; SURFACE CONDUCTANCE; PRODUCTS</t>
  </si>
  <si>
    <t xml:space="preserve">In response to irregular data gaps in evapotranspiration (ET) data obtained using eddy covariance (EC) methods, this study seeks to explore a high-precision interpolation method that is not constrained by spatiotemporal limitations. Leveraging daily observations from 241 global flux towers (FLUXNET ET) as a reference, data gaps are artificially introduced at five different proportions: 5 %, 10 %, 20%, 35%, and 50 %, this process is repeated 30 times (Take the average of the results). Four ET products, along with environmental factors (ERA5 meteorological data and NOAA Normalized Difference Vegetation Index), are employed as input to assess the performance of the target model, Convolutional Neural Network (CNN)-Long Short-Term Memory (LSTM), as well as five comparative models: CNN, LSTM, Random Forest (RF), Support Vector Machine (SVM), and Extreme Learning Machine (ELM), in filling the data gaps. These results are then compared with the filling outcomes obtained without ET products as input, aiming to investigate whether ET products contributes to improving the accuracy and stability of ET gap filling. The results indicate that, firstly, the filling performance of the target model CNN-LSTM surpasses that of other models, with minimal impact from gap proportions. Moreover, incorporating ET products as input alongside environmental factors significantly enhances the filling accuracy and stability of the model. Compared to scenarios without ET products as input, the CNN-LSTM model shows an average increase in R2 of 5 % to 15 % and a decrease in root mean square error (RMSE) of 15 % to 35 %. Specifically, as the gap proportion increases from 5 % to 50 %, the average Pearson correlation coefficient (R2) decreases from 0.952 to 0.846 (a decline of 11 %), the average RMSE increases from 0.491 mm/d to 0.620 mm/ d (a rise of 26 %), and reached the filling limit at the gap ratio of 93 % (R2 below 0.4). Conversely, without ET products as input, as the gap proportion increases, the average R2 decreases from 0.916 to 0.784 (a decline of 14 %), the RMSE increases from 0.552 mm/d to 0.952 mm/d (a rise of 72 %), and reached the filling limit at the gap ratio of 80 %. Secondly, the contribution of ET products to the model estimation far exceeds that of ERA5 meteorological factors and NDVI, with the contribution of ET products increasing with higher gap proportions from 58.0% to 73.6%. Finally, different latitudes, land cover types, and climate types influence the model filling performance, with better performance observed in high-latitude regions, Grassland (GRA), and Dry-Cold climates. In summary, incorporating ET products as input for CNN-LSTM yields high-precision gap-filling results, surpassing existing typical methods for gap filling and its application is not constrained by spatiotemporal limitations.</t>
  </si>
  <si>
    <t xml:space="preserve">[Qian, Long; Wu, Lifeng; Zhang, Zhitao; Fan, Junliang; Yu, Xingjiao] Northwest A&amp;F Univ, Coll Water Resources &amp; Architectural Engn, Yangling 712100, Peoples R China; [Qian, Long; Zhang, Zhitao; Fan, Junliang; Yu, Xingjiao] Northwest A&amp;F Univ, Key Lab Agr Soil &amp; Water Engn Arid &amp; Semiarid Area, Minist Educ, Yangling 712100, Peoples R China; [Qian, Long; Wu, Lifeng; Liu, Xiaogang; Yang, Qiliang] Kunming Univ Sci &amp; Technol, Fac Modern Agr Engn, Kunming 650500, Peoples R China; [Wu, Lifeng] Nanchang Inst Technol, Sch Hydraul &amp; Ecol Engn, Nanchang 330099, Peoples R China; [Cui, Yaokui] Peking Univ, Inst RS &amp; GIS, Sch Earth &amp; Space Sci, Beijing 100871, Peoples R China</t>
  </si>
  <si>
    <t xml:space="preserve">Northwest A&amp;F University - China; Northwest A&amp;F University - China; Kunming University of Science &amp; Technology; Nanchang Institute Technology; Peking University</t>
  </si>
  <si>
    <t xml:space="preserve">Wu, LF; Zhang, ZT (corresponding author), Northwest A&amp;F Univ, Coll Water Resources &amp; Architectural Engn, Yangling 712100, Peoples R China.</t>
  </si>
  <si>
    <t xml:space="preserve">qianlong9611@126.com; china.sw@163.com; zhitaozhang@126.com</t>
  </si>
  <si>
    <t xml:space="preserve">Wu, Lifeng/IUQ-4000-2023; Cui, Yaokui/ABB-2268-2021; Zhang, Zhitao/AAD-7087-2019; Qian, Long/GWR-2876-2022</t>
  </si>
  <si>
    <t xml:space="preserve">Qian, Long/0000-0002-0669-8089</t>
  </si>
  <si>
    <t xml:space="preserve">National Key Research and Development Program of China [2022YFD1900404-01]; Key Research and Development of Jiangxi Province in China [20212BDH80016]; National Natural Science Foundation of China [51979232, 52179044]; National Key Research and Develop-ment Program of China [2023YFD1900702, 2017YFC1502701]</t>
  </si>
  <si>
    <t xml:space="preserve">National Key Research and Development Program of China(National Key Research &amp; Development Program of China); Key Research and Development of Jiangxi Province in China; National Natural Science Foundation of China(National Natural Science Foundation of China (NSFC)); National Key Research and Develop-ment Program of China(National Key Research &amp; Development Program of China)</t>
  </si>
  <si>
    <t xml:space="preserve">This research was supported by the National Key Research and Development Program of China (2022YFD1900404-01) , the Key Research and Development of Jiangxi Province in China (20212BDH80016) , the National Natural Science Foundation of China (51979232, 52179044) , and the National Key Research and Develop-ment Program of China (2023YFD1900702, 2017YFC1502701) .</t>
  </si>
  <si>
    <t xml:space="preserve">10.1016/j.jhydrol.2024.131787</t>
  </si>
  <si>
    <t xml:space="preserve">AUG 2024</t>
  </si>
  <si>
    <t xml:space="preserve">D7O1M</t>
  </si>
  <si>
    <t xml:space="preserve">WOS:001298030900001</t>
  </si>
  <si>
    <t xml:space="preserve">Zhao, GL; Song, LS; Zhao, L; Tao, SN</t>
  </si>
  <si>
    <t xml:space="preserve">Zhao, Gengle; Song, Lisheng; Zhao, Long; Tao, Sinuo</t>
  </si>
  <si>
    <t xml:space="preserve">A Comparison of Different Machine Learning Methods to Reconstruct Daily Evapotranspiration Time Series Estimated by Thermal-Infrared Remote Sensing</t>
  </si>
  <si>
    <t xml:space="preserve">REMOTE SENSING</t>
  </si>
  <si>
    <t xml:space="preserve">evapotranspiration; two-source energy balance model; reconstruction; machine learning; validation</t>
  </si>
  <si>
    <t xml:space="preserve">ENERGY-BALANCE MODEL; SOIL-MOISTURE; HEAT-FLUX; RADIOMETRIC TEMPERATURE; WATER; EVAPORATION; PRODUCTS; NETWORK; TOWERS; LEVEL</t>
  </si>
  <si>
    <t xml:space="preserve">Remote sensing-based models usually have difficulty in generating spatio-temporally continuous terrestrial evapotranspiration (ET) due to cloud cover and model failures. To overcome this problem, machine learning methods have been widely used to reconstruct ET. Therefore, studies comparing and evaluating the accuracy and effectiveness of reconstruction among different machine learning methods at the basin scale are necessary. In this study, four popular machine learning methods, including deep forest (DF), deep neural network (DNN), random forest (RF) and extreme gradient boosting (XGB), were used to reconstruct the ET product, addressing gaps resulting from cloud cover and model failure. The ET reconstructed by the four methods was evaluated and compared for Heihe River Basin. The results showed that the four methods performed well for Heihe River Basin, but the RF method was particularly robust. It not only performed well compared with ground measurements (R = 0.73) but also demonstrated the ability to fully reconstruct gaps generated by the TSEB model across the entire basin. Validation based on ground measurements showed that the DNN and XGB models performed well (R &gt; 0.70). However, some gaps still existed in the desert after reconstruction using the DNN and XGB models, especially for the XGB model. The DF model filled these gaps throughout the basin, but this model had lower consistency compared with ground measurements (R = 0.66) and yielded many low values. The results of this study suggest that machine learning methods have considerable potential in the reconstruction of ET at the basin scale.</t>
  </si>
  <si>
    <t xml:space="preserve">[Zhao, Gengle; Zhao, Long; Tao, Sinuo] Southwest Univ, Sch Geog Sci, Chongqing 400715, Peoples R China; [Song, Lisheng] Anhui Normal Univ, Sch Geog &amp; Tourism, Wuhu 241002, Peoples R China</t>
  </si>
  <si>
    <t xml:space="preserve">Southwest University - China; Anhui Normal University</t>
  </si>
  <si>
    <t xml:space="preserve">Song, LS (corresponding author), Anhui Normal Univ, Sch Geog &amp; Tourism, Wuhu 241002, Peoples R China.</t>
  </si>
  <si>
    <t xml:space="preserve">lele1120@email.swu.edu.cn; songls@ahnu.edu.cn; zhaol04@swu.edu.cn; tsn876@email.swu.edu.cn</t>
  </si>
  <si>
    <t xml:space="preserve">Song, Lisheng/AFL-6837-2022; Zhao, Long/GXH-6762-2022</t>
  </si>
  <si>
    <t xml:space="preserve">Zhao, Long/0000-0001-7624-8860</t>
  </si>
  <si>
    <t xml:space="preserve">National Natural Science Foundation of China</t>
  </si>
  <si>
    <t xml:space="preserve">I would like to thank Song Lisheng for his guidance, Tao Sino for his suggestions on revising the paper and Zhao Long for his valuable comments and discussions.</t>
  </si>
  <si>
    <t xml:space="preserve">2072-4292</t>
  </si>
  <si>
    <t xml:space="preserve">REMOTE SENS-BASEL</t>
  </si>
  <si>
    <t xml:space="preserve">Remote Sens.</t>
  </si>
  <si>
    <t xml:space="preserve">10.3390/rs16030509</t>
  </si>
  <si>
    <t xml:space="preserve">Environmental Sciences; Geosciences, Multidisciplinary; Remote Sensing; Imaging Science &amp; Photographic Technology</t>
  </si>
  <si>
    <t xml:space="preserve">Environmental Sciences &amp; Ecology; Geology; Remote Sensing; Imaging Science &amp; Photographic Technology</t>
  </si>
  <si>
    <t xml:space="preserve">HQ7W9</t>
  </si>
  <si>
    <t xml:space="preserve">Green Submitted, gold</t>
  </si>
  <si>
    <t xml:space="preserve">WOS:001161048300001</t>
  </si>
  <si>
    <t xml:space="preserve">Karbasi, M; Ali, M; Randhawa, GS; Jamei, M; Malik, A; Shah, SHH; Bos, M; Zaman, Q; Farooque, AA</t>
  </si>
  <si>
    <t xml:space="preserve">Karbasi, Masoud; Ali, Mumtaz; Randhawa, Gurjit S.; Jamei, Mehdi; Malik, Anurag; Shah, Syed Hamid Hussain; Bos, Melanie; Zaman, Qamar; Farooque, Aitazaz Ahsan</t>
  </si>
  <si>
    <t xml:space="preserve">Innovative multi-temporal evapotranspiration forecasting using empirical fourier decomposition and bidirectional long short-term memory</t>
  </si>
  <si>
    <t xml:space="preserve">SMART AGRICULTURAL TECHNOLOGY</t>
  </si>
  <si>
    <t xml:space="preserve">Evapotranspiration; Empirical fourier decomposition; Machine learning; Deep learning; Climate adaptation; Feature selection</t>
  </si>
  <si>
    <t xml:space="preserve">MODEL; LSTM; PERFORMANCE; PREDICTION</t>
  </si>
  <si>
    <t xml:space="preserve">Reference evapotranspiration (ETo) is an essential environmental variable that is intimately significant to agriculture. Managing water and crop planning relies heavily on precise forecasting of ETo. This research used a novel time series decomposition technique, Empirical Fourier Decomposition (EFD), to forecast ETo accurately. Four machine learning techniques were used to forecast ETo using decomposed lagged ETo values. The input data source was from Prince Edward Island (PEI) weather stations (Harrington and St Peters Stations). First, autocorrelation analysis was performed to determine effective lags. Then, ETo data were decomposed using EFD, and lagged data was created based on EFD results. The Kbest feature selection algorithm was used to choose effective inputs, reducing the training time. The accuracy of models was evaluated using different statistical metrics such as correlation coefficient (R) and root mean square error (RMSE). The results showed that using EFD decomposition can significantly improve forecast accuracy. The comparison between different machine learning models showed that the deep learning-based model (Bidirectional LSTM (Long Short Term Memory)) (R = 0.956, RMSE= 0.451 mm/day for Harrington station and R = 0.956, RMSE= 0.451 mm/day for St Peters station) performed better than the Generalized Regression Neural Network (GRNN), K-nearest neighbor (KNN), and Random Forest (RF) models. Finally, the best model (EFD-Bidirectional LSTM) was used to forecast multitemporal ETo at both stations. Results showed that the developed model can forecast ETo for up to 28 days with reasonable accuracy. However, the accuracy of multi-step ahead forecasting decreases when evapotranspiration values are high, as the models tend to underestimate these values. The findings of this study can assist in accurately calculating crop water requirements and help farmers optimize their irrigation schedules.</t>
  </si>
  <si>
    <t xml:space="preserve">[Karbasi, Masoud; Jamei, Mehdi; Shah, Syed Hamid Hussain; Farooque, Aitazaz Ahsan] Univ Prince Edward Isl, Canadian Ctr Climate Change &amp; Adaptat, St Peters Bay, PE, Canada; [Karbasi, Masoud] Univ Zanjan, Fac Agr, Water Engn Dept, Zanjan, Iran; [Ali, Mumtaz] Univ Southern Queensland, UniSQ Coll, Brisbane, Qld 4305, Australia; [Randhawa, Gurjit S.] Univ Guelph, Sch Comp Sci, Guelph, ON, Canada; [Jamei, Mehdi] Shahid Chamran Univ Ahvaz, Fac Civil Engn &amp; Architecture, Ahvaz, Iran; [Jamei, Mehdi] Al Ayen Univ, Sci Res Ctr, New Era &amp; Dev Civil Engn Res Grp, Nasiriyah 64001, Thi Qar, Iraq; [Malik, Anurag] Punjab Agr Univ, Reg Res Stn, Bathinda 151001, Punjab, India; [Shah, Syed Hamid Hussain] Univ Saskatchewan, Coll Engn, Saskatoon, SK, Canada; [Bos, Melanie] MMFC, Fredericton, NB, Canada; [Zaman, Qamar] Dalhousie Univ, Fac Agr, Truro, NS, Canada; [Farooque, Aitazaz Ahsan] Univ Prince Edward Isl, Fac Sustainable Design Engn, Charlottetown, PE, Canada</t>
  </si>
  <si>
    <t xml:space="preserve">University of Prince Edward Island; University Zanjan; University of Southern Queensland; University of Guelph; Shahid Chamran University of Ahvaz; Al-Ayen University; Punjab Agricultural University; University of Saskatchewan; Dalhousie University; University of Prince Edward Island</t>
  </si>
  <si>
    <t xml:space="preserve">Farooque, AA (corresponding author), Univ Prince Edward Isl, Canadian Ctr Climate Change &amp; Adaptat, St Peters Bay, PE, Canada.;Randhawa, GS (corresponding author), Univ Guelph, Sch Comp Sci, Guelph, ON, Canada.;Farooque, AA (corresponding author), Univ Prince Edward Isl, Fac Sustainable Design Engn, Charlottetown, PE, Canada.</t>
  </si>
  <si>
    <t xml:space="preserve">randhawg@uoguelph.ca; afarooque@upei.ca</t>
  </si>
  <si>
    <t xml:space="preserve">Jamei, Mehdi/V-3832-2019; Karbasi, Masoud/Y-8622-2018; Ali, Mumtaz/AAF-8685-2020; Malik, Anurag/AAF-5402-2020</t>
  </si>
  <si>
    <t xml:space="preserve">Ali, Mumtaz/0000-0002-6975-5159; Randhawa, Gurjit/0000-0003-1054-125X; Malik, Anurag/0000-0002-0298-5777</t>
  </si>
  <si>
    <t xml:space="preserve">Natural Sciences and Engineering Research Council of Canada (NSERC) [RGPIN-2022-03547, RGPIN-2023-03,351]; Atlantic Canada Opportunities Agency; NSERC Alliance</t>
  </si>
  <si>
    <t xml:space="preserve">Natural Sciences and Engineering Research Council of Canada (NSERC)(Natural Sciences and Engineering Research Council of Canada (NSERC)); Atlantic Canada Opportunities Agency; NSERC Alliance(Natural Sciences and Engineering Research Council of Canada (NSERC))</t>
  </si>
  <si>
    <t xml:space="preserve">This work has been supported by the Natural Sciences and Engineering Research Council of Canada (NSERC) Discovery Grants [RGPIN-2022-03547 to G.S.R. and to RGPIN-2023-03,351 to A.A.F.] . The authors thank the Atlantic Canada Opportunities Agency and NSERC Alliance for supporting this research. The authors are also gratful to the Precision Agriculture Research Group at the University of Prince Edward Island for their assistance.</t>
  </si>
  <si>
    <t xml:space="preserve">2772-3755</t>
  </si>
  <si>
    <t xml:space="preserve">SMART AGR TECHNOL</t>
  </si>
  <si>
    <t xml:space="preserve">Smart Agric. Technol.</t>
  </si>
  <si>
    <t xml:space="preserve">10.1016/j.atech.2024.100619</t>
  </si>
  <si>
    <t xml:space="preserve">NOV 2024</t>
  </si>
  <si>
    <t xml:space="preserve">Agricultural Engineering; Agriculture, Multidisciplinary; Agronomy</t>
  </si>
  <si>
    <t xml:space="preserve">L9C1S</t>
  </si>
  <si>
    <t xml:space="preserve">WOS:001353618300001</t>
  </si>
  <si>
    <t xml:space="preserve">Zheng, ZH; Ali, M; Jamei, M; Xiang, Y; Karbasi, M; Yaseen, ZM; Farooque, AA</t>
  </si>
  <si>
    <t xml:space="preserve">Zheng, Zihao; Ali, Mumtaz; Jamei, Mehdi; Xiang, Yong; Karbasi, Masoud; Yaseen, Zaher Mundher; Farooque, Aitazaz Ahsan</t>
  </si>
  <si>
    <t xml:space="preserve">Design data decomposition-based reference evapotranspiration forecasting model: A soft feature filter based deep learning driven approach</t>
  </si>
  <si>
    <t xml:space="preserve">ENGINEERING APPLICATIONS OF ARTIFICIAL INTELLIGENCE</t>
  </si>
  <si>
    <t xml:space="preserve">Evapotranspiration; MVMD; LSTM; BiLSTM; GRU; BiGRU; RNN; BiRNN</t>
  </si>
  <si>
    <t xml:space="preserve">NEURAL-NETWORK; COMPUTING MODELS; OPTIMIZATION; EVAPORATION; PREDICTION; PRECIPITATION; EQUATIONS; MACHINE</t>
  </si>
  <si>
    <t xml:space="preserve">Reference evapotranspiration can cause huge discrepancies in soil moisture and runoff which is responsible for uncertainties in drought warning systems. Reference evapotranspiration (ETo) is one of the major drought elements that leads to soil dryness, vegetation surfaces and transpiration. An innovative strategy is proposed based on Multivariate Variational Mode Decomposition hybridized with Soft Feature Filter and Gated Recurrent Unit to design MVMD-SoFeFilterGRU to forecast one-day daily ETo at (t+1). Initially, the importance of each predictor was determined using correlation matrix to identify significant lags at (t+1). Next, the intrinsic mode functions (IMFs) in terms of signals were obtained via MVMD to decompose the lags. The SoFeFilter approach was employed to select the most relevant IMFs which were then incorporated into the GRU to construct the MVMD-SoFeFilter-GRU model to forecast one-day ahead daily ETo. For comparison, the LSTM, BiLSTM, RNN, BiRNN, and BiGRU models were combined with MVMD and SoFeFilter to create MVMD-SoFeFilterLSTM, MVMD-SoFeFilterBiLSTM, MVMD-SoFeFilterRNN, MVMD-SoFeFilterBiRNN, and MVMD-SoFeFilterBiGRU mod-els. Further, the results were also compared against the standalone GRU, BiGRU, LSTM, BiLSTM, RNN, and BiRNN models based on goodness-of-fit metrics for two stations in Queensland, Australia. For example, in Gympie station, the MVMD-SoFeFilterGRU model produced highest values of WIE = 0.9795, NSE = 0.9234, LME = 0.7645, and for Redcliffe station, these metrics are WIE = 0.9800, NSE = 0.9257, LME = 0.7580. The findings confirm that the MVMD-SoFeFilterGRU is the most precise to forecast one-day ahead ET0.</t>
  </si>
  <si>
    <t xml:space="preserve">[Zheng, Zihao; Xiang, Yong] Deakin Univ, Sch Informat Technol, Burwood, Vic 3125, Australia; [Ali, Mumtaz] Univ Southern Queensland, UniSQ Coll, Toowoomba, Australia; [Jamei, Mehdi] Shahid Chamran Univ Ahvaz, Fac Engn, Shohadaye Hoveizeh Campus Technol, Dashte Azadegan, Iran; [Karbasi, Masoud] Univ Zanjan, Fac Agr, Water Engn Dept, Zanjan, Iran; [Yaseen, Zaher Mundher] King Fahd Univ Petr &amp; Minerals, Civil &amp; Environm Engn Dept, Dhahran 31261, Saudi Arabia; [Yaseen, Zaher Mundher] King Fahd Univ Petr &amp; Minerals, Interdisciplinary Res Ctr Membranes &amp; Water Secur, Dhahran 31261, Saudi Arabia; [Ali, Mumtaz; Farooque, Aitazaz Ahsan] Univ Prince Edward Isl, Canadian Ctr Climate Change &amp; Adaptat, St Peters Bay, PE, Canada; [Farooque, Aitazaz Ahsan] Univ Prince Edward Isl, Fac Sustainable Design Engn, Charlottetown, PE, Canada</t>
  </si>
  <si>
    <t xml:space="preserve">Deakin University; University of Southern Queensland; Shahid Chamran University of Ahvaz; University Zanjan; King Fahd University of Petroleum &amp; Minerals; King Fahd University of Petroleum &amp; Minerals; University of Prince Edward Island; University of Prince Edward Island</t>
  </si>
  <si>
    <t xml:space="preserve">Ali, M (corresponding author), Univ Southern Queensland, UniSQ Coll, Toowoomba, Australia.;Jamei, M (corresponding author), Shahid Chamran Univ Ahvaz, Fac Engn, Shohadaye Hoveizeh Campus Technol, Dashte Azadegan, Iran.;Ali, M (corresponding author), Univ Prince Edward Isl, Canadian Ctr Climate Change &amp; Adaptat, St Peters Bay, PE, Canada.</t>
  </si>
  <si>
    <t xml:space="preserve">s218145394@deakin.edu.au; mumtaz.ali@usq.edu.au; M.jamei@shhut.ac.ir; yong.xiang@deakin.edu.au; M.karbasi@znu.ac.ir; z.yaseen@kfupm.edu.sa; afarooque@upei.ca</t>
  </si>
  <si>
    <t xml:space="preserve">Jamei, Mehdi/V-3832-2019; Yaseen, Zaher/G-7029-2018; Ali, Mumtaz/AAF-8685-2020; Karbasi, Masoud/Y-8622-2018</t>
  </si>
  <si>
    <t xml:space="preserve">Yaseen, Zaher/0000-0003-3647-7137; Ali, Mumtaz/0000-0002-6975-5159; Karbasi, Masoud/0000-0002-9012-8280</t>
  </si>
  <si>
    <t xml:space="preserve">PERGAMON-ELSEVIER SCIENCE LTD</t>
  </si>
  <si>
    <t xml:space="preserve">THE BOULEVARD, LANGFORD LANE, KIDLINGTON, OXFORD OX5 1GB, ENGLAND</t>
  </si>
  <si>
    <t xml:space="preserve">0952-1976</t>
  </si>
  <si>
    <t xml:space="preserve">1873-6769</t>
  </si>
  <si>
    <t xml:space="preserve">ENG APPL ARTIF INTEL</t>
  </si>
  <si>
    <t xml:space="preserve">Eng. Appl. Artif. Intell.</t>
  </si>
  <si>
    <t xml:space="preserve">10.1016/j.engappai.2023.105984</t>
  </si>
  <si>
    <t xml:space="preserve">FEB 2023</t>
  </si>
  <si>
    <t xml:space="preserve">Automation &amp; Control Systems; Computer Science, Artificial Intelligence; Engineering, Multidisciplinary; Engineering, Electrical &amp; Electronic</t>
  </si>
  <si>
    <t xml:space="preserve">Automation &amp; Control Systems; Computer Science; Engineering</t>
  </si>
  <si>
    <t xml:space="preserve">9W3BN</t>
  </si>
  <si>
    <t xml:space="preserve">WOS:000948953800001</t>
  </si>
  <si>
    <t xml:space="preserve">Márquez-Grajales, A; Villegas-Vega, R; Salas-Martínez, F; Acosta-Mesa, HG; Mezura-Montes, E</t>
  </si>
  <si>
    <t xml:space="preserve">Marquez-Grajales, Aldo; Villegas-Vega, Ramiro; Salas-Martinez, Fernando; Acosta-Mesa, Hector-Gabriel; Mezura-Montes, Efren</t>
  </si>
  <si>
    <t xml:space="preserve">Characterizing drought prediction with deep learning: A literature review</t>
  </si>
  <si>
    <t xml:space="preserve">METHODSX</t>
  </si>
  <si>
    <t xml:space="preserve">Review</t>
  </si>
  <si>
    <t xml:space="preserve">Drought; Deep learning; Prediction; Remote sensing and climate index</t>
  </si>
  <si>
    <t xml:space="preserve">ARTIFICIAL-INTELLIGENCE; REGRESSION; NETWORK</t>
  </si>
  <si>
    <t xml:space="preserve">Drought prediction is a complex phenomenon that impacts human activities and the environment. For this reason, predicting its behavior is crucial to mitigating such effects. Deep learning techniques are emerging as a powerful tool for this task. The main goal of this work is to review the state-of-the-art for characterizing the deep learning techniques used in the drought prediction task. The results suggest that the most widely used climate indexes were the Standardized Precipitation Index (SPI) and the Standardized Precipitation Evapotranspiration Index (SPEI). Regarding the multispectral index, the Normalized Difference Vegetation Index (NDVI) is the indicator most utilized. On the other hand, countries with a higher production of scientific knowledge in this area are located in Asia and Oceania; meanwhile, America and Africa are the region with few publications. Concerning deep learning methods, the Long-Short Term Memory network (LSTM) is the algorithm most implemented for this task, either implemented canonically or together with other deep learning techniques (hybrid methods). In conclusion, this review reveals a need for more scientific knowledge about drought prediction using multispectral indices and deep learning techniques in America and Africa; therefore, it is an opportunity to characterize the phenomenon in developing countries.</t>
  </si>
  <si>
    <t xml:space="preserve">[Marquez-Grajales, Aldo] INFOTEC, Ctr Res &amp; Innovat Informat &amp; Commun Technol, Circuito Tecnopolo Sur 112,Fracc Tecnopolo Pocitos, Aguascalientes 20326, Aguascalientes, Mexico; [Villegas-Vega, Ramiro; Acosta-Mesa, Hector-Gabriel; Mezura-Montes, Efren] Univ Veracruz, Artificial Intelligence Res Inst, Campus Sur Paseo Lote 2,Secc Segunda N 112, Xalapa 91097, Veracruz, Mexico; [Salas-Martinez, Fernando] Colegio Veracruz, Carrillo Puerto 26, Xalapa 91000, Veracruz, Mexico</t>
  </si>
  <si>
    <t xml:space="preserve">INFOTEC - Centro de Investigacion e Innovacion en Tecnologias de la Informacion y Comunicacion; Universidad Veracruzana</t>
  </si>
  <si>
    <t xml:space="preserve">Mezura-Montes, E (corresponding author), Univ Veracruz, Artificial Intelligence Res Inst, Campus Sur Paseo Lote 2,Secc Segunda N 112, Xalapa 91097, Veracruz, Mexico.</t>
  </si>
  <si>
    <t xml:space="preserve">emezura@uv.mx</t>
  </si>
  <si>
    <t xml:space="preserve">Salas, Fernando/KUF-2178-2024; Mezura-Montes, Efrén/R-3926-2019; Acosta-Mesa, Hector/GQP-3005-2022</t>
  </si>
  <si>
    <t xml:space="preserve">Mezura-Montes, Efren/0000-0002-1565-5267</t>
  </si>
  <si>
    <t xml:space="preserve">National Council for Humanities, Science and Technology (CONAHCYT) [1311162]</t>
  </si>
  <si>
    <t xml:space="preserve">National Council for Humanities, Science and Technology (CONAHCYT)</t>
  </si>
  <si>
    <t xml:space="preserve">Second author acknowledges to the National Council for Humanities, Science and Technology (CONAHCYT) , for the scholarship grant awarded through the CVU number 1311162 .</t>
  </si>
  <si>
    <t xml:space="preserve">2215-0161</t>
  </si>
  <si>
    <t xml:space="preserve">MethodsX</t>
  </si>
  <si>
    <t xml:space="preserve">10.1016/j.mex.2024.102800</t>
  </si>
  <si>
    <t xml:space="preserve">JUN 2024</t>
  </si>
  <si>
    <t xml:space="preserve">Multidisciplinary Sciences</t>
  </si>
  <si>
    <t xml:space="preserve">Science &amp; Technology - Other Topics</t>
  </si>
  <si>
    <t xml:space="preserve">WM5D2</t>
  </si>
  <si>
    <t xml:space="preserve">Green Published, gold</t>
  </si>
  <si>
    <t xml:space="preserve">WOS:001255291900001</t>
  </si>
  <si>
    <t xml:space="preserve">Lucas, PDE; Alves, MA; Silva, PCDE; Guimaraes, FG</t>
  </si>
  <si>
    <t xml:space="preserve">de Oliveira e Lucas, Patricia; Alves, Marcos Antonio; de Lima e Silva, Petronio Candido; Guimaraes, Frederico Gadelha</t>
  </si>
  <si>
    <t xml:space="preserve">Reference evapotranspiration time series forecasting with ensemble of convolutional neural networks</t>
  </si>
  <si>
    <t xml:space="preserve">Reference evapotranspiration; Time series prediction; Convolutional neural networks; Ensemble learning</t>
  </si>
  <si>
    <t xml:space="preserve">MODELING REFERENCE EVAPOTRANSPIRATION</t>
  </si>
  <si>
    <t xml:space="preserve">The population growth and climate change are making the agricultural sector to seek more accurate and efficient approaches to ensure an adequate and regular supply of food for society with less water consumption. Irrigation management, an essential practice for the development of sustainable agriculture, seeks, through the forecast of Reference Evapotranspiration (ETo), to know in advance the water requirements of crops to plan and manage water resources. However, there is still a gap in the literature regarding the application and evaluation of deep learning models and ensemble models to forecasting reference evapotranspiration in irrigation management. In this context, this paper aims to explore the use of Convolutional Neural Networks (CNNs) in the prediction of ETo time series. Three CNNs with different structures were employed to predict a daily time series. Also, in order to evaluate the ensemble forecast of ETo time series, we apply four ensemble models composed of these CNNs in order to produce a probabilistic forecast. This information can be useful for planning and controlling irrigation of crops. Through experimental tests on a real database, the results showed the feasibility of the CNN models for forecasting ETo and that ensemble models were better than the well-known Seasonal ARIMA and Seasonal Naive and improved predictions in terms of variance, precision and computational cost in relation to the individual CNN models, in addition to allowing the estimation of uncertainty, as their outputs are probability distributions. In order to promote reproducibility of this research, all data and codes are publicly available.</t>
  </si>
  <si>
    <t xml:space="preserve">[de Oliveira e Lucas, Patricia; de Lima e Silva, Petronio Candido] IFNMG, Inst Fed Norte Minas Gerais, Belo Horizonte, MG, Brazil; [de Oliveira e Lucas, Patricia; Alves, Marcos Antonio; de Lima e Silva, Petronio Candido; Guimaraes, Frederico Gadelha] Machine Intelligence &amp; Data Sci Minds Lab, Belo Horizonte, MG, Brazil; [Alves, Marcos Antonio; Guimaraes, Frederico Gadelha] Univ Fed Minas Gerais, Belo Horizonte, MG, Brazil</t>
  </si>
  <si>
    <t xml:space="preserve">Instituto Federal do Norte de Minas Gerais (IFNMG); Universidade Federal de Minas Gerais</t>
  </si>
  <si>
    <t xml:space="preserve">Guimaraes, FG (corresponding author), Machine Intelligence &amp; Data Sci Minds Lab, Belo Horizonte, MG, Brazil.;Guimaraes, FG (corresponding author), Univ Fed Minas Gerais, Belo Horizonte, MG, Brazil.</t>
  </si>
  <si>
    <t xml:space="preserve">patricia.lucas@ifnmg.edu.br; marcosalves@ufmg.br; petronio.candido@ifnmg.edu.br; fredericoguimaraes@ufmg.br</t>
  </si>
  <si>
    <t xml:space="preserve">LUCAS, PATRÍCIA/JRX-3658-2023; Silva, Petrônio/M-4085-2019; Alves, Marcos/JJE-4740-2023; Guimaraes, Frederico/F-3937-2010; Silva, Petronio/W-1029-2018</t>
  </si>
  <si>
    <t xml:space="preserve">Guimaraes, Frederico/0000-0001-9238-8839; Antonio Alves, Marcos/0000-0001-6934-6745; Silva, Petronio/0000-0002-1202-2552; Lucas, Patricia de Oliveira/0000-0002-7334-8863</t>
  </si>
  <si>
    <t xml:space="preserve">Foundation for Research of the State of Minas Gerais (Fundacao de Amparo a Pesquisa do Estado de Minas Gerais - FAPEMIG); Coordination for the Improvement of Higher Education Personnel (Coordenacao de Aperfeicoamento de Pessoal de Nivel Superior - CAPES), Brazilian federal government agency under the Ministry of Education; National Council for Scientific and Technological Development (CNPq), Brazil [306850/2016-8]; Brazilian agency CAPES</t>
  </si>
  <si>
    <t xml:space="preserve">Foundation for Research of the State of Minas Gerais (Fundacao de Amparo a Pesquisa do Estado de Minas Gerais - FAPEMIG); Coordination for the Improvement of Higher Education Personnel (Coordenacao de Aperfeicoamento de Pessoal de Nivel Superior - CAPES), Brazilian federal government agency under the Ministry of Education; National Council for Scientific and Technological Development (CNPq), Brazil(Conselho Nacional de Desenvolvimento Cientifico e Tecnologico (CNPQ)); Brazilian agency CAPES(Coordenacao de Aperfeicoamento de Pessoal de Nivel Superior (CAPES))</t>
  </si>
  <si>
    <t xml:space="preserve">This work was partially financed by the Foundation for Research of the State of Minas Gerais (Fundacao de Amparo a Pesquisa do Estado de Minas Gerais - FAPEMIG), by the Coordination for the Improvement of Higher Education Personnel (Coordenacao de Aperfeicoamento de Pessoal de Nivel Superior - CAPES), which is a Brazilian federal government agency under the Ministry of Education, and by the National Council for Scientific and Technological Development (CNPq), Brazil, Grants No. 306850/2016-8. Marcos A. Alves declares that this work has been supported by the Brazilian agency CAPES.</t>
  </si>
  <si>
    <t xml:space="preserve">10.1016/j.compag.2020.105700</t>
  </si>
  <si>
    <t xml:space="preserve">NS0IR</t>
  </si>
  <si>
    <t xml:space="preserve">WOS:000571944500008</t>
  </si>
  <si>
    <t xml:space="preserve">Chen, JC; Dafflon, B; Tran, AP; Falco, N; Hubbard, SS</t>
  </si>
  <si>
    <t xml:space="preserve">Chen, Jiancong; Dafflon, Baptiste; Anh Phuong Tran; Falco, Nicola; Hubbard, Susan S.</t>
  </si>
  <si>
    <t xml:space="preserve">A deep learning hybrid predictive modeling (HPM) approach for estimating evapotranspiration and ecosystem respiration</t>
  </si>
  <si>
    <t xml:space="preserve">HYDROLOGY AND EARTH SYSTEM SCIENCES</t>
  </si>
  <si>
    <t xml:space="preserve">CONTERMINOUS UNITED-STATES; GLOBAL EVAPOTRANSPIRATION; SOIL RESPIRATION; EDDY COVARIANCE; LANDSAT; FLUX; DYNAMICS; CLIMATE; ATMOSPHERE; SATELLITE</t>
  </si>
  <si>
    <t xml:space="preserve">Climate change is reshaping vulnerable ecosystems, leading to uncertain effects on ecosystem dynamics, including evapotranspiration (ET) and ecosystem respiration (R-eco). However, accurate estimation of ET and R-eco still remains challenging at sparsely monitored watersheds, where data and field instrumentation are limited. In this study, we developed a hybrid predictive modeling approach (HPM) that integrates eddy covariance measurements, physically based model simulation results, meteorological forcings, and remote-sensing datasets to estimate ET and R-eco in high space-time resolution. HPM relies on a deep learning algorithm and long short-term memory (LSTM) and requires only air temperature, precipitation, radiation, normalized difference vegetation index (NDVI), and soil temperature (when available) as input variables. We tested and validated HPM estimation results in different climate regions and developed four use cases to demonstrate the applicability and variability of HPM at various FLUXNET sites and Rocky Mountain SNOTEL sites in Western North America. To test the limitations and performance of the HPM approach in mountainous watersheds, an expanded use case focused on the East River Watershed, Colorado, USA. The results indicate HPM is capable of identifying complicated interactions among meteorological forcings, ET, and R-eco variables, as well as providing reliable estimation of ET and R-eco across relevant spatiotemporal scales, even in challenging mountainous systems. The study documents that HPM increases our capability to estimate ET and R-eco and enhances process understanding at sparsely monitored watersheds.</t>
  </si>
  <si>
    <t xml:space="preserve">[Chen, Jiancong] Univ Calif Berkeley, Dept Civil &amp; Environm Engn, Berkeley, CA 94720 USA; [Dafflon, Baptiste; Anh Phuong Tran; Falco, Nicola; Hubbard, Susan S.] Lawrence Berkeley Natl Lab, Earth &amp; Environm Sci Area, Berkeley, CA USA; [Anh Phuong Tran] Water Resources Inst, Dept Water Resources Engn &amp; Technol, 8 Phao Dai Lang, Hanoi, Vietnam</t>
  </si>
  <si>
    <t xml:space="preserve">University of California System; University of California Berkeley; United States Department of Energy (DOE); Lawrence Berkeley National Laboratory</t>
  </si>
  <si>
    <t xml:space="preserve">Chen, JC (corresponding author), Univ Calif Berkeley, Dept Civil &amp; Environm Engn, Berkeley, CA 94720 USA.</t>
  </si>
  <si>
    <t xml:space="preserve">nigel_chen1993@berkeley.edu</t>
  </si>
  <si>
    <t xml:space="preserve">; Dafflon, Baptiste/G-2441-2015; Falco, Nicola/K-5459-2016; Hubbard, Susan/E-9508-2010</t>
  </si>
  <si>
    <t xml:space="preserve">Chen, Jiancong/0000-0002-4970-1436; Dafflon, Baptiste/0000-0001-9871-5650; Falco, Nicola/0000-0003-3307-6098; Hubbard, Susan/0000-0003-2966-5631</t>
  </si>
  <si>
    <t xml:space="preserve">U.S. Department of Energy, Office of Science, Office of Biological and Environmental Research [DE-AC02-05CH11231]</t>
  </si>
  <si>
    <t xml:space="preserve">U.S. Department of Energy, Office of Science, Office of Biological and Environmental Research(United States Department of Energy (DOE))</t>
  </si>
  <si>
    <t xml:space="preserve">This research has been supported by the U.S. Department of Energy, Office of Science, Office of Biological and Environmental Research (grant no. DE-AC02-05CH11231).</t>
  </si>
  <si>
    <t xml:space="preserve">COPERNICUS GESELLSCHAFT MBH</t>
  </si>
  <si>
    <t xml:space="preserve">GOTTINGEN</t>
  </si>
  <si>
    <t xml:space="preserve">BAHNHOFSALLEE 1E, GOTTINGEN, 37081, GERMANY</t>
  </si>
  <si>
    <t xml:space="preserve">1027-5606</t>
  </si>
  <si>
    <t xml:space="preserve">1607-7938</t>
  </si>
  <si>
    <t xml:space="preserve">HYDROL EARTH SYST SC</t>
  </si>
  <si>
    <t xml:space="preserve">Hydrol. Earth Syst. Sci.</t>
  </si>
  <si>
    <t xml:space="preserve">NOV 25</t>
  </si>
  <si>
    <t xml:space="preserve">10.5194/hess-25-6041-2021</t>
  </si>
  <si>
    <t xml:space="preserve">Geosciences, Multidisciplinary; Water Resources</t>
  </si>
  <si>
    <t xml:space="preserve">Geology; Water Resources</t>
  </si>
  <si>
    <t xml:space="preserve">XD9QL</t>
  </si>
  <si>
    <t xml:space="preserve">WOS:000723034200001</t>
  </si>
  <si>
    <t xml:space="preserve">Elzain, HE; Abdalla, OA; Abdallah, M; Al-Maktoumi, A; Eltayeb, M; Abba, SI</t>
  </si>
  <si>
    <t xml:space="preserve">Elzain, Hussam Eldin; Abdalla, Osman A.; Abdallah, Mohammed; Al-Maktoumi, Ali; Eltayeb, Mohamed; Abba, Sani I.</t>
  </si>
  <si>
    <t xml:space="preserve">Innovative approach for predicting daily reference evapotranspiration using improved shallow and deep learning models in a coastal region: A comparative study</t>
  </si>
  <si>
    <t xml:space="preserve">Reference evapotranspiration; SL and DL models; Semi-supervised PL; Coastal region; FAO-56Penman-Monteith approach</t>
  </si>
  <si>
    <t xml:space="preserve">CLASSIFICATION</t>
  </si>
  <si>
    <t xml:space="preserve">Accurate and reliable estimation of Reference Evapotranspiration (ETo) is crucial for water resources management, hydrological processes, and agricultural production. The FAO-56 Penman-Monteith (FAO-56PM) approach is recommended as the standard model for ETo estimation; nevertheless, the absence of comprehensive meteorological variables at many global locations frequently restricts its implementation. This study compares shallow learning (SL) and deep learning (DL) models for estimating daily ETo against the FAO-56PM approach based on various statistic metrics and graphic tool over a coastal Red Sea region, Sudan. A novel approach of the SL model, the Catboost Regressor (CBR) and three DL models: 1D-Convolutional Neural Networks (1D-CNN), Long Short-Term Memory (LSTM), and Gated Recurrent Unit (GRU) were adopted and coupled with a semisupervised pseudo-labeling (PL) technique. Six scenarios were developed regarding different input combinations of meteorological variables such as air temperature (Tmin, Tmax, and Tmean), wind speed (U2), relative humidity (RH), sunshine hours duration (SSH), net radiation (Rn), and saturation vapor pressure deficit (es-ea). The results showed that the PL technique reduced the systematic error of SL and DL models during training for all the scenarios. The input combination of Tmin, Tmax, Tmean, and RH reflected higher performance than other combinations for all employed models. The CBR-PL model demonstrated good generalization abilities to predict daily ETo and was the overall superior model in the testing phase according to prediction accuracy, stability analysis, and less computation cost compared to DL models. Thus, the relatively simple CBR-PL model is highly recommended as a promising tool for predicting daily ETo in coastal regions worldwide which have limited climate data.</t>
  </si>
  <si>
    <t xml:space="preserve">[Elzain, Hussam Eldin; Al-Maktoumi, Ali] Sultan Qaboos Univ, Water Res Ctr, POB 50, Al Khoud 123, Oman; [Abdalla, Osman A.] Sultan Qaboos Univ, Coll Sci, Dept Earth Sci, PO 36, Al Khoud 123, Oman; [Abdallah, Mohammed] Hohai Univ, Coll Hydrol &amp; Water Resources, Nanjing 210024, Jiangsu, Peoples R China; [Abdallah, Mohammed] Hydraul Res Stn, POB 318,Wad, Medani, Sudan; [Al-Maktoumi, Ali] Sultan Qaboos Univ, Dept Soils Water &amp; Agr Engn, PO 34, Muscat 123, Oman; [Eltayeb, Mohamed] Islamic Univ Madinah, Fac Comp &amp; Informat Syst, Medina 42351, Saudi Arabia; [Abba, Sani I.] King Fahd Univ Petr &amp; Minerals, Interdisciplinary Res Ctr Membranes &amp; Water Secur, Dhahran 31261, Saudi Arabia</t>
  </si>
  <si>
    <t xml:space="preserve">Sultan Qaboos University; Sultan Qaboos University; Hohai University; Sultan Qaboos University; Islamic University of Al Madinah; King Fahd University of Petroleum &amp; Minerals</t>
  </si>
  <si>
    <t xml:space="preserve">Abdalla, OA (corresponding author), Sultan Qaboos Univ, Coll Sci, Dept Earth Sci, PO 36, Al Khoud 123, Oman.</t>
  </si>
  <si>
    <t xml:space="preserve">halzain944@gmail.com; osman@squ.edu.om; mabdallahhhu@gmail.com; ali4530@squ.edu.om; mohammad2012191@gmail.com; saniisaabba86@gmail.com</t>
  </si>
  <si>
    <t xml:space="preserve">Elzain, Hussam/AAY-4477-2021; Abba, Sani/C-8573-2017; Abdalla, Osman/N-3083-2019; Al-Maktoumi, Ali/A-6665-2017; Abdallah, Mohammed/ACC-8628-2022</t>
  </si>
  <si>
    <t xml:space="preserve">Abdallah, Mohammed/0000-0002-7151-6923; Abdalla, Osman/0000-0001-5150-416X; Elzain, Hussam Eldin/0000-0003-3356-4649; Al-Maktoumi, Ali/0000-0001-8766-5993</t>
  </si>
  <si>
    <t xml:space="preserve">10.1016/j.jenvman.2024.120246</t>
  </si>
  <si>
    <t xml:space="preserve">LF1A6</t>
  </si>
  <si>
    <t xml:space="preserve">WOS:001185263400001</t>
  </si>
  <si>
    <t xml:space="preserve">Fine, L; Richard, A; Tanny, J; Pradalier, C; Rosa, R; Rozenstein, O</t>
  </si>
  <si>
    <t xml:space="preserve">Fine, Lior; Richard, Antoine; Tanny, Josef; Pradalier, Cedric; Rosa, Rafael; Rozenstein, Offer</t>
  </si>
  <si>
    <t xml:space="preserve">Introducing State-of-the-Art Deep Learning Technique for Gap-Filling of Eddy Covariance Crop Evapotranspiration Data</t>
  </si>
  <si>
    <t xml:space="preserve">net radiation; air temperature; wind speed; relative humidity; time series</t>
  </si>
  <si>
    <t xml:space="preserve">NET ECOSYSTEM EXCHANGE; FLUX DATA; SYSTEM; HEAT</t>
  </si>
  <si>
    <t xml:space="preserve">Gaps often occur in eddy covariance flux measurements, leading to data loss and necessitating accurate gap-filling. Furthermore, gaps in evapotranspiration (ET) measurements of annual field crops are particularly challenging to fill because crops undergo rapid change over a short season. In this study, an innovative deep learning (DL) gap-filling method was tested on a database comprising six datasets from different crops (cotton, tomato, and wheat). For various gap scenarios, the performance of the method was compared with the common gap-filling technique, marginal distribution sampling (MDS), which is based on lookup tables. Furthermore, a predictor importance analysis was performed to evaluate the importance of the different meteorological inputs in estimating ET. On the half-hourly time scale, the deep learning method showed a significant 13.5% decrease in nRMSE (normalized root mean square error) throughout all datasets and gap durations. A substantially smaller standard deviation of mean nRMSE, compared with marginal distribution sampling, was also observed. On the whole-gap time scale (half a day to six days), average nMBE (normalized mean bias error) was similar to that of MDS, whereas standard deviation was improved. Using only air temperature and relative humidity as input variables provided an RMSE that was significantly smaller than that resulting from the MDS method. These results suggest that the deep learning method developed here is reliable and more consistent than the standard gap-filling method and thereby demonstrates the potential of advanced deep learning techniques for improving dynamic time series modeling.</t>
  </si>
  <si>
    <t xml:space="preserve">[Fine, Lior; Tanny, Josef; Rosa, Rafael; Rozenstein, Offer] Agr Res Org, Volcani Inst, Inst Soil Water &amp; Environm Sci, HaMaccabim Rd 68, IL-75359 Rishon Leziyyon, Israel; [Fine, Lior] Hebrew Univ Jerusalem, Fac Agr Food &amp; Environm, Dept Soil &amp; Water Sci, POB 12, IL-76100 Rehovot, Israel; [Richard, Antoine; Pradalier, Cedric] CNRS, UMI2958 GT, GeorgiaTech Lorraine, 2 Rue Marconi, F-57057 Metz, France</t>
  </si>
  <si>
    <t xml:space="preserve">VOLCANI INSTITUTE OF AGRICULTURAL RESEARCH; Hebrew University of Jerusalem; Centre National de la Recherche Scientifique (CNRS)</t>
  </si>
  <si>
    <t xml:space="preserve">Rozenstein, O (corresponding author), Agr Res Org, Volcani Inst, Inst Soil Water &amp; Environm Sci, HaMaccabim Rd 68, IL-75359 Rishon Leziyyon, Israel.</t>
  </si>
  <si>
    <t xml:space="preserve">cedric.pradalier@georgiatech-metz.fr; cedric.pradalier@georgiatech-metz.fr; cedric.pradalier@georgiatech-metz.fr; cedric.pradalier@georgiatech-metz.fr; rafael.rosa.uy@gmail.com; cedric.pradalier@georgiatech-metz.fr</t>
  </si>
  <si>
    <t xml:space="preserve">Tanny, Josef/0000-0002-2643-7134; Pradalier, Cedric/0000-0002-1746-2733</t>
  </si>
  <si>
    <t xml:space="preserve">Ministry of Science &amp; Technology, Israel [3-15830]; Ministry of Europe and Foreign Affairs (MEAE); Ministry of Higher Education, Research and Innovation (MESRI) of France</t>
  </si>
  <si>
    <t xml:space="preserve">Ministry of Science &amp; Technology, Israel(Ministry of Science, Technology and Space (MOST), Israel); Ministry of Europe and Foreign Affairs (MEAE); Ministry of Higher Education, Research and Innovation (MESRI) of France</t>
  </si>
  <si>
    <t xml:space="preserve">This research was supported by a grant from the Ministry of Science &amp; Technology, Israel (grant number 3-15830); the Ministry of Europe and Foreign Affairs (MEAE); and the Ministry of Higher Education, Research and Innovation (MESRI) of France.</t>
  </si>
  <si>
    <t xml:space="preserve">10.3390/w14050763</t>
  </si>
  <si>
    <t xml:space="preserve">ZW7DD</t>
  </si>
  <si>
    <t xml:space="preserve">WOS:000771368400001</t>
  </si>
  <si>
    <t xml:space="preserve">Sattari, MT; Apaydin, H; Shamshirband, S</t>
  </si>
  <si>
    <t xml:space="preserve">Sattari, Mohammad Taghi; Apaydin, Halit; Shamshirband, Shahaboddin</t>
  </si>
  <si>
    <t xml:space="preserve">Performance Evaluation of Deep Learning-Based Gated Recurrent Units (GRUs) and Tree-Based Models for Estimating ETo by Using Limited Meteorological Variables</t>
  </si>
  <si>
    <t xml:space="preserve">MATHEMATICS</t>
  </si>
  <si>
    <t xml:space="preserve">reference evapotranspiration; deep learning; M5 tree model; random forest; random tree; regression tree</t>
  </si>
  <si>
    <t xml:space="preserve">RANDOM FOREST; EVAPOTRANSPIRATION</t>
  </si>
  <si>
    <t xml:space="preserve">The amount of water allocated to irrigation systems is significantly greater than the amount allocated to other sectors. Thus, irrigation water demand management is at the center of the attention of the Ministry of Agriculture and Forestry in Turkey. To plan more effective irrigation systems in agriculture, it is necessary to accurately calculate plant water requirements. In this study, daily reference evapotranspiration (ETo) values were estimated using tree-based regression and deep learning-based gated recurrent unit (GRU) models. For this purpose, 15 input scenarios, consisting of meteorological variables including maximum and minimum temperature, wind speed, maximum and minimum relative humidity, dew point temperature, and sunshine duration, were considered. ETo values calculated according to the United Nations Food and Agriculture Organization (FAO) Penman-Monteith method were considered as model outputs. The results indicate that the random forest model, with a correlation coefficient of 0.9926, is better than the other tree-based models. In addition, the GRU model, with R = 0.9837, presents good performance relative to the other models. In this study, it was found that maximum temperature was more effective in estimating ETo than other variables.</t>
  </si>
  <si>
    <t xml:space="preserve">[Sattari, Mohammad Taghi] Univ Tabriz, Fac Agr, Dept Water Engn, Tabriz 51666, Iran; [Sattari, Mohammad Taghi; Apaydin, Halit] Ankara Univ, Fac Agr, Dept Agr Engn, TR-06110 Ankara, Turkey; [Shamshirband, Shahaboddin] Ton Duc Thang Univ, Dept Management Sci &amp; Technol Dev, Ho Chi Minh City, Vietnam; [Shamshirband, Shahaboddin] Ton Duc Thang Univ, Fac Informat Technol, Ho Chi Minh City, Vietnam</t>
  </si>
  <si>
    <t xml:space="preserve">University of Tabriz; Ankara University; Ton Duc Thang University; Ton Duc Thang University</t>
  </si>
  <si>
    <t xml:space="preserve">Sattari, MT (corresponding author), Univ Tabriz, Fac Agr, Dept Water Engn, Tabriz 51666, Iran.;Sattari, MT (corresponding author), Ankara Univ, Fac Agr, Dept Agr Engn, TR-06110 Ankara, Turkey.;Shamshirband, S (corresponding author), Ton Duc Thang Univ, Dept Management Sci &amp; Technol Dev, Ho Chi Minh City, Vietnam.;Shamshirband, S (corresponding author), Ton Duc Thang Univ, Fac Informat Technol, Ho Chi Minh City, Vietnam.</t>
  </si>
  <si>
    <t xml:space="preserve">mtsattar@gmail.com; apaydin@ankara.edu.tr; shahaboddin.shamshirband@tdtu.edu.vn</t>
  </si>
  <si>
    <t xml:space="preserve">S.Band, Shahab/ABI-7388-2020; Sattari, Mohammad Taghi/AAI-3212-2020; APAYDIN, Halit/A-3134-2016</t>
  </si>
  <si>
    <t xml:space="preserve">APAYDIN, Halit/0000-0002-9875-7321; Sattari, Mohammad Taghi/0000-0002-5139-2118</t>
  </si>
  <si>
    <t xml:space="preserve">Scientific and Technological Research Council of Turkey (TUBITAK) [1059B211900014, 2221]</t>
  </si>
  <si>
    <t xml:space="preserve">Scientific and Technological Research Council of Turkey (TUBITAK)(Turkiye Bilimsel ve Teknolojik Arastirma Kurumu (TUBITAK))</t>
  </si>
  <si>
    <t xml:space="preserve">This work was funded by Fellowships for Visiting Scientists and Scientists on Sabbatical Leave Programme (2221) of The Scientific and Technological Research Council of Turkey (TUBITAK). Grand number is 1059B211900014.</t>
  </si>
  <si>
    <t xml:space="preserve">2227-7390</t>
  </si>
  <si>
    <t xml:space="preserve">MATHEMATICS-BASEL</t>
  </si>
  <si>
    <t xml:space="preserve">10.3390/math8060972</t>
  </si>
  <si>
    <t xml:space="preserve">MR9TW</t>
  </si>
  <si>
    <t xml:space="preserve">WOS:000553932700001</t>
  </si>
  <si>
    <t xml:space="preserve">Feng, QM; Shen, JY; Yang, F; Liang, SJ; Liu, J; Kuang, XX; Wang, DS; Zeng, ZZ</t>
  </si>
  <si>
    <t xml:space="preserve">Feng, Qiaomei; Shen, Junyong; Yang, Feng; Liang, Shijing; Liu, Jiang; Kuang, Xingxing; Wang, Dashan; Zeng, Zhenzhong</t>
  </si>
  <si>
    <t xml:space="preserve">Long-term gridded land evapotranspiration reconstruction using Deep Forest with high generalizability</t>
  </si>
  <si>
    <t xml:space="preserve">SCIENTIFIC DATA</t>
  </si>
  <si>
    <t xml:space="preserve">Article; Data Paper</t>
  </si>
  <si>
    <t xml:space="preserve">TERRESTRIAL EVAPOTRANSPIRATION; WATER-BUDGET; ASSIMILATION</t>
  </si>
  <si>
    <t xml:space="preserve">Previous datasets have limitations in generalizing evapotranspiration (ET) across various land cover types due to the scarcity and spatial heterogeneity of observations, along with the incomplete understanding of underlying physical mechanisms as a deeper contributing factor. To fill in these gaps, here we developed a global Highly Generalized Land (HG-Land) ET dataset at 0.5 degrees spatial resolution with monthly values covering the satellite era (1982-2018). Our approach leverages the power of a Deep Forest machine-learning algorithm, which ensures good generalizability and mitigates overfitting by minimizing hyper-parameterization. Model explanations are further provided to enhance model transparency and gain new insights into the ET process. Validation conducted at both the site and basin scales attests to the dataset's satisfactory accuracy, with a pronounced emphasis on the Northern Hemisphere. Furthermore, we find that the primary driver of ET predictions varies across different climatic regions. Overall, the HG-Land ET, underpinned by the interpretability of the machine-learning model, emerges as a validated and generalized resource catering to scientific research and various applications.</t>
  </si>
  <si>
    <t xml:space="preserve">[Feng, Qiaomei; Yang, Feng; Liang, Shijing; Kuang, Xingxing; Wang, Dashan; Zeng, Zhenzhong] Southern Univ Sci &amp; Technol, Sch Environm Sci &amp; Engn, Shenzhen 518055, Peoples R China; [Shen, Junyong; Liu, Jiang] Southern Univ Sci &amp; Technol, Dept Comp Sci &amp; Engn, Shenzhen 518055, Peoples R China; [Liu, Jiang] Southern Univ Sci &amp; Technol, Res Inst Trustworthy Autonomous Syst, Shenzhen 518055, Peoples R China; [Zeng, Zhenzhong] Southern Univ Sci &amp; Technol, Guangdong Prov Key Lab Soil &amp; Groundwater Pollut, Shenzhen 518055, Peoples R China</t>
  </si>
  <si>
    <t xml:space="preserve">Southern University of Science &amp; Technology; Southern University of Science &amp; Technology; Southern University of Science &amp; Technology; Southern University of Science &amp; Technology</t>
  </si>
  <si>
    <t xml:space="preserve">Wang, DS; Zeng, ZZ (corresponding author), Southern Univ Sci &amp; Technol, Sch Environm Sci &amp; Engn, Shenzhen 518055, Peoples R China.;Zeng, ZZ (corresponding author), Southern Univ Sci &amp; Technol, Guangdong Prov Key Lab Soil &amp; Groundwater Pollut, Shenzhen 518055, Peoples R China.</t>
  </si>
  <si>
    <t xml:space="preserve">wangds6@sustech.edu.cn; zengzz@sustech.edu.cn</t>
  </si>
  <si>
    <t xml:space="preserve">shen, junyong/JAC-5258-2023; Zeng, Zhenzhong/A-2212-2019</t>
  </si>
  <si>
    <t xml:space="preserve">Zeng, Zhenzhong/0000-0001-6851-2756; Liang, Shijing/0000-0001-8136-484X</t>
  </si>
  <si>
    <t xml:space="preserve">National Natural Science Foundation of China (National Science Foundation of China) [42071022, 42371026, 82272086]; National Natural Science Foundation of China [2023B1212060002]; Guangdong Provincial Key Laboratory of Soil and Groundwater Pollution Control [2022A1515240070]; Guangdong Basic and Applied Basic Research Foundation [29/Y01296602, 29/Y01296122, 29/Y01296222]; Southern University of Science and Technology [2022M711472]; China Postdoctoral Science Foundation</t>
  </si>
  <si>
    <t xml:space="preserve">National Natural Science Foundation of China (National Science Foundation of China)(National Natural Science Foundation of China (NSFC)); National Natural Science Foundation of China(National Natural Science Foundation of China (NSFC)); Guangdong Provincial Key Laboratory of Soil and Groundwater Pollution Control; Guangdong Basic and Applied Basic Research Foundation; Southern University of Science and Technology; China Postdoctoral Science Foundation(China Postdoctoral Science Foundation)</t>
  </si>
  <si>
    <t xml:space="preserve">This study was supported by the National Natural Science Foundation of China (grant no. 42071022, 42371026, 82272086), the fund provided by Guangdong Provincial Key Laboratory of Soil and Groundwater Pollution Control (No. 2023B1212060002), the Guangdong Basic and Applied Basic Research Foundation (No. 2022A1515240070), the start-up fund provided by the Southern University of Science and Technology (29/Y01296602; 29/Y01296122; 29/Y01296222), and the China Postdoctoral Science Foundation (grant no. 2022M711472). The authors sincerely acknowledge the anonymous reviewers for their detailed and constructive comments on the original version of our work.</t>
  </si>
  <si>
    <t xml:space="preserve">NATURE PORTFOLIO</t>
  </si>
  <si>
    <t xml:space="preserve">BERLIN</t>
  </si>
  <si>
    <t xml:space="preserve">HEIDELBERGER PLATZ 3, BERLIN, 14197, GERMANY</t>
  </si>
  <si>
    <t xml:space="preserve">2052-4463</t>
  </si>
  <si>
    <t xml:space="preserve">SCI DATA</t>
  </si>
  <si>
    <t xml:space="preserve">Sci. Data</t>
  </si>
  <si>
    <t xml:space="preserve">DEC 18</t>
  </si>
  <si>
    <t xml:space="preserve">10.1038/s41597-023-02822-8</t>
  </si>
  <si>
    <t xml:space="preserve">CQ9B5</t>
  </si>
  <si>
    <t xml:space="preserve">WOS:001126815800003</t>
  </si>
  <si>
    <t xml:space="preserve">Hasan, IA; Yuce, MI</t>
  </si>
  <si>
    <t xml:space="preserve">Hasan, Ibrahim A.; Yuce, Mehmet Ishak</t>
  </si>
  <si>
    <t xml:space="preserve">Prediction of Potential Evapotranspiration via Machine Learning and Deep Learning for Sustainable Water Management in the Murat River Basin</t>
  </si>
  <si>
    <t xml:space="preserve">SUSTAINABILITY</t>
  </si>
  <si>
    <t xml:space="preserve">PET; sustainable prediction; Thornthwaite equation; CNN; SVM; RF</t>
  </si>
  <si>
    <t xml:space="preserve">EVAPORATION; MODELS; AREA</t>
  </si>
  <si>
    <t xml:space="preserve">Potential evapotranspiration (PET) is a significant factor contributing to water loss in hydrological systems, making it a critical area of research. However, accurately calculating and measuring PET remains challenging due to the limited availability of comprehensive data. This study presents a detailed sustainable model for predicting PET using the Thornthwaite equation, which requires only mean monthly temperature (Tmean) and latitude, with calculations performed using R-Studio. A geographic information system (GIS) was employed to interpolate meteorological data, ensuring coverage of all sub-basins within the Murat River basin, the study area. Additionally, Python libraries were utilized to implement artificial intelligence-driven models, incorporating both machine learning and deep learning techniques. The study harnesses the power of artificial intelligence (AI), applying deep learning through a convolutional neural network (CNN) and machine learning techniques, including support vector machine (SVM) and random forest (RF). The results demonstrate promising performance across the models. For CNN, the coefficient of determination (R2) varied from 96.2 to 98.7%, the mean squared error (MSE) ranged from 0.287 to 0.408, and the root mean squared error (RMSE) was between 0.541 and 0.649. For SVM, the R2 varied from 94.5 to 95.6%, MSE ranged between 0.981 and 1.013, and RMSE ranged from 0.990 to 1.014. RF showed the best performance, achieving an R2 of 100%, MSE values of 0.326 and 0.640, and corresponding RMSE values of 0.571 and 0.800. The climate and topography data used for all algorithms were consistent, and the results indicate that the RF model outperforms the others. Consequently, The RF model's superior accuracy highlights its potential as a reliable tool for sustainable PET prediction, supporting informed decision-making in water resource planning. By leveraging GIS, AI, and machine learning, this study enhances PET modeling methodologies, addressing critical water management challenges and promoting sustainable hydrological practices in the face of climate change and resource limitations.</t>
  </si>
  <si>
    <t xml:space="preserve">[Hasan, Ibrahim A.; Yuce, Mehmet Ishak] Gaziantep Univ, Civil Engn Dept, TR-27410 Gaziantep, Turkiye</t>
  </si>
  <si>
    <t xml:space="preserve">Gaziantep University</t>
  </si>
  <si>
    <t xml:space="preserve">Hasan, IA; Yuce, MI (corresponding author), Gaziantep Univ, Civil Engn Dept, TR-27410 Gaziantep, Turkiye.</t>
  </si>
  <si>
    <t xml:space="preserve">ibrahim.a.blbas@gmail.com; yuce@gantep.edu.tr</t>
  </si>
  <si>
    <t xml:space="preserve">YUCE, M. I./AAG-5619-2020; YUCE, Mehmet Ishak/G-6778-2013</t>
  </si>
  <si>
    <t xml:space="preserve">YUCE, Mehmet Ishak/0000-0002-6267-9528</t>
  </si>
  <si>
    <t xml:space="preserve">Irrigation Directorateof Erbil</t>
  </si>
  <si>
    <t xml:space="preserve">The authors extend their sincere appreciation to the U.S. Geological Survey(USGS) Agency for providing relevant data. Special thanks are also given to the Irrigation Directorateof Erbil for their support during working on this research. Also, the authors express their gratitudeto the anonymous reviewers and the editorial team for their insightful suggestions, which havesignificantly enhanced the quality of this paper.</t>
  </si>
  <si>
    <t xml:space="preserve">2071-1050</t>
  </si>
  <si>
    <t xml:space="preserve">SUSTAINABILITY-BASEL</t>
  </si>
  <si>
    <t xml:space="preserve">Sustainability</t>
  </si>
  <si>
    <t xml:space="preserve">10.3390/su162411077</t>
  </si>
  <si>
    <t xml:space="preserve">Green &amp; Sustainable Science &amp; Technology; Environmental Sciences; Environmental Studies</t>
  </si>
  <si>
    <t xml:space="preserve">Science Citation Index Expanded (SCI-EXPANDED); Social Science Citation Index (SSCI)</t>
  </si>
  <si>
    <t xml:space="preserve">Science &amp; Technology - Other Topics; Environmental Sciences &amp; Ecology</t>
  </si>
  <si>
    <t xml:space="preserve">Q7R9J</t>
  </si>
  <si>
    <t xml:space="preserve">WOS:001386613900001</t>
  </si>
  <si>
    <t xml:space="preserve">Choi, GY; Cho, Y</t>
  </si>
  <si>
    <t xml:space="preserve">Choi, Ga-young; Cho, Younghyun</t>
  </si>
  <si>
    <t xml:space="preserve">Research Status of Satellite-based Evapotranspiration and Soil Moisture Estimations in South Korea</t>
  </si>
  <si>
    <t xml:space="preserve">KOREAN JOURNAL OF REMOTE SENSING</t>
  </si>
  <si>
    <t xml:space="preserve">Korean</t>
  </si>
  <si>
    <t xml:space="preserve">Evapotranspiration; Soil moisture; Satellite imagery; Remote sensing</t>
  </si>
  <si>
    <t xml:space="preserve">LAND-SURFACE EVAPORATION; REMOTELY-SENSED SURFACE; ENERGY-BALANCE; HEAT-FLUX; MAPPING EVAPOTRANSPIRATION; RADAR-SCATTERING; EMPIRICAL-MODEL; VEGETATION; RETRIEVAL; TEMPERATURE</t>
  </si>
  <si>
    <t xml:space="preserve">The application of satellite imageries has increased in the field of hydrology and water resources in recent years. However, challenges have been encountered on obtaining accurate evapotranspiration and soil moisture. Therefore, present researches have emphasized the necessity to obtain estimations of satellite -based evapotranspiration and soil moisture with related development researches. In this study, we presented the research status in Korea by investigating the current trends and methodologies for evapotranspiration and soil moisture. As a result of examining the detailed methodologies, we have ascertained that, in general, evapotranspiration is estimated using Energy balance models, such as Surface Energy Balance Algorithm for Land (SEBAL) and Mapping Evapotranspiration with Internalized Calibration (METRIC). In addition, Penman -Monteith and Priestley -Taylor equations are also used to estimate evapotranspiration. In the case of soil moisture, in general, active (AMSR-E, AMSR2, MIRAS, and SMAP) and passive (ASCAT and SAR) sensors are used for estimation. In terms of statistics, deep learning, as well as linear regression equations and artificial neural networks, are used for estimating these parameters. There were a number of research cases in which various indices were calculated using satellite -based data and applied to the characterization of drought. In some cases, hydrological cycle factors of evapotranspiration and soil moisture were calculated based on the Land Surface Model (LSM). Through this process, by comparing, reviewing, and presenting major detailed methodologies, we intend to use these references in related research, and lay the foundation for the advancement of researches on the calculation of satellite -based hydrological cycle data in the future.</t>
  </si>
  <si>
    <t xml:space="preserve">[Choi, Ga-young; Cho, Younghyun] K water Res Inst, Water Resources &amp; Environm Res Ctr, Daejeon, South Korea</t>
  </si>
  <si>
    <t xml:space="preserve">Cho, Y (corresponding author), K water Res Inst, Water Resources &amp; Environm Res Ctr, Daejeon, South Korea.</t>
  </si>
  <si>
    <t xml:space="preserve">yhcho@kwater.or.kr</t>
  </si>
  <si>
    <t xml:space="preserve">KOREAN SOC REMOTE SENSING</t>
  </si>
  <si>
    <t xml:space="preserve">SEOUL</t>
  </si>
  <si>
    <t xml:space="preserve">KOREAN SOC REMOTE SENSING, SEOUL, 00000, SOUTH KOREA</t>
  </si>
  <si>
    <t xml:space="preserve">1225-6161</t>
  </si>
  <si>
    <t xml:space="preserve">2287-9307</t>
  </si>
  <si>
    <t xml:space="preserve">KOREAN J REMOTE SENS</t>
  </si>
  <si>
    <t xml:space="preserve">Korean J. Remote Sensing</t>
  </si>
  <si>
    <t xml:space="preserve">10.7780/kjrs.2022.38.6.1.14</t>
  </si>
  <si>
    <t xml:space="preserve">Remote Sensing</t>
  </si>
  <si>
    <t xml:space="preserve">RO6J8</t>
  </si>
  <si>
    <t xml:space="preserve">WOS:001228641100002</t>
  </si>
  <si>
    <t xml:space="preserve">Roy, DK; Sarkar, TK; Kamar, SSA; Goswami, T; Muktadir, MA; Al-Ghobari, HM; Alataway, A; Dewidar, AZ; El-Shafei, AA; Mattar, MA</t>
  </si>
  <si>
    <t xml:space="preserve">Roy, Dilip Kumar; Sarkar, Tapash Kumar; Kamar, Sheikh Shamshul Alam; Goswami, Torsha; Muktadir, Md Abdul; Al-Ghobari, Hussein M.; Alataway, Abed; Dewidar, Ahmed Z.; El-Shafei, Ahmed A.; Mattar, Mohamed A.</t>
  </si>
  <si>
    <t xml:space="preserve">Daily Prediction and Multi-Step Forward Forecasting of Reference Evapotranspiration Using LSTM and Bi-LSTM Models</t>
  </si>
  <si>
    <t xml:space="preserve">deep learning; recurrent neural networks; machine learning algorithms; reference evapotranspiration</t>
  </si>
  <si>
    <t xml:space="preserve">ARTIFICIAL NEURAL-NETWORKS; SUPPORT VECTOR REGRESSION; LIMITED CLIMATIC DATA; FUZZY; TREES; MACHINES; SYSTEMS; GUANGXI; RIVER; ANFIS</t>
  </si>
  <si>
    <t xml:space="preserve">Precise forecasting of reference evapotranspiration (ET0) is one of the critical initial steps in determining crop water requirements, which contributes to the reliable management and long-term planning of the world's scarce water sources. This study provides daily prediction and multi-step forward forecasting of ET0 utilizing a long short-term memory network (LSTM) and a bi-directional LSTM (Bi-LSTM) model. For daily predictions, the LSTM model's accuracy was compared to that of other artificial intelligence-based models commonly used in ET0 forecasting, including support vector regression (SVR), M5 model tree (M5Tree), multivariate adaptive regression spline (MARS), probabilistic linear regression (PLR), adaptive neuro-fuzzy inference system (ANFIS), and Gaussian process regression (GPR). The LSTM model outperformed the other models in a comparison based on Shannon's entropy-based decision theory, while the M5 tree and PLR models proved to be the lowest performers. Prior to performing a multi-step-ahead forecasting, ANFIS, sequence-to-sequence regression LSTM network (SSR-LSTM), LSTM, and Bi-LSTM approaches were used for one-step-ahead forecasting utilizing the past values of the ET0 time series. The results showed that the Bi-LSTM model outperformed other models and that the sequence of models in ascending order in terms of accuracies was Bi-LSTM &gt; SSR-LSTM &gt; ANFIS &gt; LSTM. The Bi-LSTM model provided multi-step (5 day)-ahead ET0 forecasting in the next step. According to the results, the Bi-LSTM provided reasonably accurate and acceptable forecasting of multi-step-forward ET0 with relatively lower levels of forecasting errors. In the final step, the generalization capability of the proposed best models (LSTM for daily predictions and Bi-LSTM for multi-step-ahead forecasting) was evaluated on new unseen data obtained from a test station, Ishurdi. The model's performance was assessed on three distinct datasets (the entire dataset and the first and the second halves of the entire dataset) derived from the test dataset between 1 January 2015 and 31 December 2020. The results indicated that the deep learning techniques (LSTM and Bi-LSTM) achieved equally good performances as the training station dataset, for which the models were developed. The research outcomes demonstrated the ability of the developed deep learning models to generalize the prediction capabilities outside the training station.</t>
  </si>
  <si>
    <t xml:space="preserve">[Roy, Dilip Kumar; Kamar, Sheikh Shamshul Alam] Bangladesh Agr Res Inst, Irrigat &amp; Water Management Div, Gazipur 1701, Bangladesh; [Sarkar, Tapash Kumar] Bangladesh Rice Res Inst, Grain Qual &amp; Nutr Div, Gazipur 1701, Bangladesh; [Goswami, Torsha] West Bengal Univ Anim &amp; Fishery Sci, Fac Vet &amp; Anim Sci, Dept Vet Microbiol, Kolkata 700056, W Bengal, India; [Muktadir, Md Abdul] Univ Sydney, Ctr Carbon Water &amp; Food, Camperdown, NSW 2570, Australia; [Al-Ghobari, Hussein M.; Dewidar, Ahmed Z.; El-Shafei, Ahmed A.; Mattar, Mohamed A.] King Saud Univ, Coll Food &amp; Agr Sci, Dept Agr Engn, Riyadh 11451, Saudi Arabia; [Alataway, Abed; Dewidar, Ahmed Z.; El-Shafei, Ahmed A.; Mattar, Mohamed A.] King Saud Univ, Prince Sultan Inst Environm Water &amp; Desert Res, Prince Sultan Bin Abdulaziz Int Prize Water Chair, Riyadh 11451, Saudi Arabia; [El-Shafei, Ahmed A.] Alexandria Univ, Fac Agr El Shatby, Dept Agr Engn, Alexandria 21545, Egypt; [Mattar, Mohamed A.] Agr Res Ctr, Agr Engn Res Inst AEnRI, Giza 12618, Egypt</t>
  </si>
  <si>
    <t xml:space="preserve">Bangladesh Agricultural Research Institute (BARI); Bangladesh Rice Research Institute (BRRI); West Bengal University of Animal &amp; Fishery Sciences; University of Sydney; King Saud University; King Saud University; Egyptian Knowledge Bank (EKB); Alexandria University; Egyptian Knowledge Bank (EKB); Agricultural Research Center - Egypt</t>
  </si>
  <si>
    <t xml:space="preserve">Roy, DK (corresponding author), Bangladesh Agr Res Inst, Irrigat &amp; Water Management Div, Gazipur 1701, Bangladesh.;Mattar, MA (corresponding author), King Saud Univ, Coll Food &amp; Agr Sci, Dept Agr Engn, Riyadh 11451, Saudi Arabia.;Mattar, MA (corresponding author), King Saud Univ, Prince Sultan Inst Environm Water &amp; Desert Res, Prince Sultan Bin Abdulaziz Int Prize Water Chair, Riyadh 11451, Saudi Arabia.;Mattar, MA (corresponding author), Agr Res Ctr, Agr Engn Res Inst AEnRI, Giza 12618, Egypt.</t>
  </si>
  <si>
    <t xml:space="preserve">dilip.roy@my.jcu.edu.au; tksarkar_engr@yahoo.com; alamkamar91@gmail.com; toshami09@gmail.com; md.muktadir@sydney.edu.au; hghobari@ksu.edu.sa; aalataway@ksu.edu.sa; adewidar@ksu.edu.sa; aelshafeilbn.c@ksu.edu.sa; mmattar@ksu.edu.sa</t>
  </si>
  <si>
    <t xml:space="preserve">Dewidar, Ahmed/GYQ-6203-2022; El-Shafei, Ahmed/ABB-5505-2020; Roy, Dilip/Y-9175-2019; Muktadir, Abdul/AAP-7965-2021; Mattar, Mohamed/W-1106-2018; Kamar, Sk shamshul Alam/HNP-7941-2023</t>
  </si>
  <si>
    <t xml:space="preserve">Muktadir, Md Abdul/0000-0002-7818-6314; El-Shafei, Ahmed/0000-0001-5225-3219; Roy, Dilip Kumar/0000-0002-7685-0445</t>
  </si>
  <si>
    <t xml:space="preserve">Vice Deanship of Research Chairs at King Saud University</t>
  </si>
  <si>
    <t xml:space="preserve">Vice Deanship of Research Chairs at King Saud University(King Saud University)</t>
  </si>
  <si>
    <t xml:space="preserve">This research was financially supported by the Vice Deanship of Research Chairs at King Saud University.</t>
  </si>
  <si>
    <t xml:space="preserve">10.3390/agronomy12030594</t>
  </si>
  <si>
    <t xml:space="preserve">0E9GV</t>
  </si>
  <si>
    <t xml:space="preserve">WOS:000776981600001</t>
  </si>
  <si>
    <t xml:space="preserve">Sung, JH; Kim, J; Chung, ES; Ryu, Y</t>
  </si>
  <si>
    <t xml:space="preserve">Sung, Jang Hyun; Kim, Jinsoo; Chung, Eun-Sung; Ryu, Young</t>
  </si>
  <si>
    <t xml:space="preserve">Deep-learning based projection of change in irrigation water-use under RCP 8.5</t>
  </si>
  <si>
    <t xml:space="preserve">agricultural water withdrawal; climate change; deep belief network; potential evapotranspiration; RCP 8; 5; water-use rate</t>
  </si>
  <si>
    <t xml:space="preserve">DROUGHT; PRECIPITATION</t>
  </si>
  <si>
    <t xml:space="preserve">Stream water-use is essential for both agricultural and hydrological management and yet not many studies have explored its non-stationarity and nonlinearity with meteorological variables. This study proposed a deep-learning based model to estimate agricultural water withdrawal using hydro-meteorological variables, which projected the changes of agricultural water withdrawal influenced by climate change of future. The relationships between meteorological variables and stream water-use rate (WUR) were quantified using a deep belief network (DBN). The influences of precipitation, potential evapotranspiration, and monthly averaged WUR on the performance of the developed DBN model were tested. As a result, this DBN with potential evapotranspiration (PET) provided better performances than precipitation to estimate the WUR. The PET of multi-model scenarios for Representative Concentration Pathways 8.5 would be increased as time goes by, and thus leads to increase WUR estimated by DBN in three basins, located in South Korea during the future period. On the contrary, water availability expected to decrease compared to the current. Therefore, managing water-uses and improving efficiencies can be prepared for the change in agricultural water-use by climate change in the future.</t>
  </si>
  <si>
    <t xml:space="preserve">[Sung, Jang Hyun] Minist Environm, Han River Flood Control Off, Seoul, South Korea; [Kim, Jinsoo] Natl Assembly Res Serv, Land Transport &amp; Maritime Affairs Team, Seoul, South Korea; [Chung, Eun-Sung] Seoul Natl Univ Sci &amp; Technol, Dept Civil Engn, Seoul, South Korea; [Ryu, Young] Natl Inst Meteorol Res, Operat Syst Dev Dept, 33 Seohobuk Ro, Seogwipo 63568, Jeju, South Korea</t>
  </si>
  <si>
    <t xml:space="preserve">Seoul National University of Science &amp; Technology</t>
  </si>
  <si>
    <t xml:space="preserve">Ryu, Y (corresponding author), Natl Inst Meteorol Res, Operat Syst Dev Dept, 33 Seohobuk Ro, Seogwipo 63568, Jeju, South Korea.</t>
  </si>
  <si>
    <t xml:space="preserve">youngryu@korea.kr</t>
  </si>
  <si>
    <t xml:space="preserve">Chung, Eun-Sung/U-9010-2019</t>
  </si>
  <si>
    <t xml:space="preserve">Chung, Eun-Sung/0000-0002-4329-1800; Ryu, Young/0000-0002-6203-6258</t>
  </si>
  <si>
    <t xml:space="preserve">National Research Foundation of Korea [2021R1A2C20056990]</t>
  </si>
  <si>
    <t xml:space="preserve">National Research Foundation of Korea(National Research Foundation of Korea)</t>
  </si>
  <si>
    <t xml:space="preserve">National Research Foundation of Korea, Grant/Award Number: 2021R1A2C20056990</t>
  </si>
  <si>
    <t xml:space="preserve">e14315</t>
  </si>
  <si>
    <t xml:space="preserve">10.1002/hyp.14315</t>
  </si>
  <si>
    <t xml:space="preserve">UJ0UV</t>
  </si>
  <si>
    <t xml:space="preserve">WOS:000691011400042</t>
  </si>
  <si>
    <t xml:space="preserve">Singh, A; Haghverdi, A</t>
  </si>
  <si>
    <t xml:space="preserve">Singh, Amninder; Haghverdi, Amir</t>
  </si>
  <si>
    <t xml:space="preserve">Development and evaluation of temperature-based deep learning models to estimate reference evapotranspiration</t>
  </si>
  <si>
    <t xml:space="preserve">ARTIFICIAL INTELLIGENCE IN AGRICULTURE</t>
  </si>
  <si>
    <t xml:space="preserve">CIMIS; Deep learning; Irrigation; Machine learning; Wavelet transform</t>
  </si>
  <si>
    <t xml:space="preserve">ARTIFICIAL NEURAL-NETWORK</t>
  </si>
  <si>
    <t xml:space="preserve">asing075@ucr.edu</t>
  </si>
  <si>
    <t xml:space="preserve">[Singh, Amninder; Haghverdi, Amir] Univ Calif Riverside, Dept Environm Sci, Riverside, CA 92521 USA</t>
  </si>
  <si>
    <t xml:space="preserve">University of California System; University of California Riverside</t>
  </si>
  <si>
    <t xml:space="preserve">Singh, A (corresponding author), Univ Calif Riverside, Dept Environm Sci, Riverside, CA 92521 USA.</t>
  </si>
  <si>
    <t xml:space="preserve">Haghverdi, Amir/I-8110-2012</t>
  </si>
  <si>
    <t xml:space="preserve">Verdi, Amir/0000-0001-5033-6395</t>
  </si>
  <si>
    <t xml:space="preserve">KEAI PUBLISHING LTD</t>
  </si>
  <si>
    <t xml:space="preserve">BEIJING</t>
  </si>
  <si>
    <t xml:space="preserve">16 DONGHUANGCHENGGEN NORTH ST, Building 5, Room 411, BEIJING, DONGCHENG DISTRICT 100009, PEOPLES R CHINA</t>
  </si>
  <si>
    <t xml:space="preserve">2589-7217</t>
  </si>
  <si>
    <t xml:space="preserve">ARTIF INTELL AGR</t>
  </si>
  <si>
    <t xml:space="preserve">Artif. Intell. Agric.</t>
  </si>
  <si>
    <t xml:space="preserve">10.1016/j.aiia.2023.08.003</t>
  </si>
  <si>
    <t xml:space="preserve">Agriculture, Multidisciplinary; Computer Science, Artificial Intelligence</t>
  </si>
  <si>
    <t xml:space="preserve">S7MM1</t>
  </si>
  <si>
    <t xml:space="preserve">WOS:001072974100001</t>
  </si>
  <si>
    <t xml:space="preserve">Karbasi, M; Jamei, M; Ali, M; Malik, A; Chu, XF; Farooque, AA; Yaseen, ZM</t>
  </si>
  <si>
    <t xml:space="preserve">Karbasi, Masoud; Jamei, Mehdi; Ali, Mumtaz; Malik, Anurag; Chu, Xuefeng; Farooque, Aitazaz Ahsan; Yaseen, Zaher Mundher</t>
  </si>
  <si>
    <t xml:space="preserve">Development of an enhanced bidirectional recurrent neural network combined with time-varying filter-based empirical mode decomposition to forecast weekly reference evapotranspiration</t>
  </si>
  <si>
    <t xml:space="preserve">Evapotranspiration; Agriculture engineering; Deep learning; Boruta feature selection; Recurrent neural network</t>
  </si>
  <si>
    <t xml:space="preserve">RANDOM FOREST; PERFORMANCE; ALGORITHM; OPTIMIZER; MACHINE; BORUTA; ANN</t>
  </si>
  <si>
    <t xml:space="preserve">Evapotranspiration is one of agricultural water management's most significant and impactful hydrologic processes. A new multi-decomposition deep learning-based technique is proposed in this study to forecast weekly reference evapotranspiration (ETo) in western coastal regions of Australia (Redcliffe and Gold Coast). The time-varying filter-based empirical mode decomposition (TVF-EMD) technique was used to first break down the original meteorological variables/signals into intrinsic mode decomposition functions (IMFs), which included maximum and minimum temperature, relative humidity, wind speed, and solar radiation. Using a partial autocorrelation function (PACF), the significant lagged values were then calculated from the decomposed sub-sequences (i.e., IMFs). A novel Extra Tree-Boruta feature selection algorithm was used to extract important features from the decomposed IMFs. Four machine learning approaches, including bidirectional recurrent neural network (Bi-RNN), multi-layer perceptron neural network (MLP), random forest (RF), and extreme gradient boosting (XGBoost), were used to forecast weekly evapotranspiration using the TVF-EMD-based decomposed meteorological data. Different statistical metrics were applied to evaluate the model performances. The results showed that the decomposition of the input data by TVF-EMD significantly improved the accuracy compared with the non-decomposed inputs (single models without decomposition). The findings indicate that the TVF-BiRNN model, as presented, achieved the highest level of accuracy in simulating weekly ET0 at both the Red-cliffe and Gold Coast stations (Redcliffe: R=0.9281, RMSE=3.8793 mm/week, MAPE = 9.2010%; Gold Coast: R=0.8717, RMSE=4.1169 mm/week, MAPE = 11.5408%). The novel hybrid modeling technique can potentially improve agricultural water management through its ability to generate more accurate ETo estimates weekly. The proposed methodology exhibits potential applicability to various other environmental and hydrological modeling issues.</t>
  </si>
  <si>
    <t xml:space="preserve">[Karbasi, Masoud; Jamei, Mehdi; Farooque, Aitazaz Ahsan] Univ Prince Edward Isl, Canadian Ctr Climate Change &amp; Adaptat, St Peters, PE, Canada; [Karbasi, Masoud] Univ Zanjan, Fac Agr, Water Engn Dept, Zanjan, Iran; [Jamei, Mehdi] Al Ayen Univ, Sci Res Ctr, New Era &amp; Dev Civil Engn Res Grp, Thi Qar 64001, Iraq; [Jamei, Mehdi] Shahid Chamran Univ Ahvaz, Fac Civil Engn &amp; Architecture, Dept Civil Engn, Ahvaz, Iran; [Ali, Mumtaz] Univ Southern Queensland, UniSQ Coll, Ipswich, Qld 4305, Australia; [Malik, Anurag] Punjab Agr Univ, Reg Res Stn, Bathinda, Punjab, India; [Chu, Xuefeng] North Dakota State Univ, Dept Civil Construct &amp; Environm Engn, Fargo, ND USA; [Farooque, Aitazaz Ahsan] Univ Prince Edward Isl, Fac Sustainable Design Engn, Charlottetown, PE, Canada; [Yaseen, Zaher Mundher] King Fahd Univ Petr &amp; Minerals, Civil &amp; Environm Engn Dept, Dhahran 31261, Saudi Arabia; [Yaseen, Zaher Mundher] King Fahd Univ Petr &amp; Minerals, Interdisciplinary Res Ctr Membranes &amp; Water Secur, Dhahran 31261, Saudi Arabia</t>
  </si>
  <si>
    <t xml:space="preserve">University of Prince Edward Island; University Zanjan; Al-Ayen University; Shahid Chamran University of Ahvaz; University of Southern Queensland; Punjab Agricultural University; North Dakota State University Fargo; University of Prince Edward Island; King Fahd University of Petroleum &amp; Minerals; King Fahd University of Petroleum &amp; Minerals</t>
  </si>
  <si>
    <t xml:space="preserve">Karbasi, M (corresponding author), Univ Prince Edward Isl, Canadian Ctr Climate Change &amp; Adaptat, St Peters, PE, Canada.</t>
  </si>
  <si>
    <t xml:space="preserve">m.karbasi@znu.ac.ir</t>
  </si>
  <si>
    <t xml:space="preserve">Yaseen, Zaher/G-7029-2018; Karbasi, Masoud/Y-8622-2018; Jamei, Mehdi/V-3832-2019; Chu, Xuefeng/H-7285-2012; Ali, Mumtaz/AAF-8685-2020; Malik, Anurag/AAF-5402-2020</t>
  </si>
  <si>
    <t xml:space="preserve">Ali, Mumtaz/0000-0002-6975-5159; Malik, Anurag/0000-0002-0298-5777</t>
  </si>
  <si>
    <t xml:space="preserve">DEC 1</t>
  </si>
  <si>
    <t xml:space="preserve">10.1016/j.agwat.2023.108604</t>
  </si>
  <si>
    <t xml:space="preserve">CK3B6</t>
  </si>
  <si>
    <t xml:space="preserve">WOS:001125096400001</t>
  </si>
  <si>
    <t xml:space="preserve">Hu, XL; Shi, LS; Lin, G; Lin, L</t>
  </si>
  <si>
    <t xml:space="preserve">Hu, Xiaolong; Shi, Liangsheng; Lin, Guang; Lin, Lin</t>
  </si>
  <si>
    <t xml:space="preserve">Comparison of physical-based, data-driven and hybrid modeling approaches for evapotranspiration estimation</t>
  </si>
  <si>
    <t xml:space="preserve">Evapotranspiration; Physical-based; Data-driven; Hybrid modeling</t>
  </si>
  <si>
    <t xml:space="preserve">BALANCE SYSTEM SEBS; ROUGHNESS HEIGHT; NEURAL-NETWORKS; HEAT-FLUX; SURFACE; EVAPORATION; WATER; VEGETATION; SOIL; PARAMETERIZATION</t>
  </si>
  <si>
    <t xml:space="preserve">Obtaining accurate estimates of evapotranspiration is a key issue in many fields like hydrology, ecology, and agriculture. There exist different ways, including physical-based and data-driven approaches, to estimate evapotranspiration. Here, the physical-based model (the surface energy balance system, SEBS), data-driven models (using three machine learning techniques, deep neural network (DNN), random forest (RF), and symbolic regression (SR)), and hybrid model were compared using the FLUXNET2015 dataset. More importantly, different search strategies were investigated to optimize the network architecture and to explore the maximum accuracy of data-driven models. The Shapley additive explanations (SHAP) was introduced to quantify the contributions of input features to evapotranspiration estimation. The results show that there is a large error in the SEBS model with RMSE of 121 W m(-2), while the data-driven models acquire the best evapotranspiration estimation with RMSE of 32-53 W m(-2). The hybrid approach, whose RMSE is 60 W m(-2), improves the SEBS model but still underperforms data-driven models. The complexity of data-driven models influences the accuracy of evapotranspiration estimations. By optimizing the network architecture, DNN and RF obtain results with similar precision. But the performance of SR, which generates a simple algebraic formula for evapotranspiration estimation, is significantly degraded. SHAP reveals that all models regard net radiation as the most crucial feature. The SEBS and hybrid models attach much importance to temperature and humidity. Three data-driven models learn the different relationships between input features and evapotranspiration. The DNN-based model is likely to learn a relatively correct relationship among the data-driven models because it has a similar feature importances pattern with physical-based and hybrid models.</t>
  </si>
  <si>
    <t xml:space="preserve">[Hu, Xiaolong; Shi, Liangsheng; Lin, Lin] Wuhan Univ, State Key Lab Water Resources &amp; Hydropower Engn S, Wuhan 430072, Hubei, Peoples R China; [Lin, Guang] Purdue Univ, Sch Mech Engn, Dept Math, Dept Stat Courtesy Earth Atmospher &amp; Planetary Sc, W Lafayette, IN 47907 USA</t>
  </si>
  <si>
    <t xml:space="preserve">National Natural Science Foundation of China [51979200, 51861125202, 51779180]</t>
  </si>
  <si>
    <t xml:space="preserve">This study was supported by the National Natural Science Foundation of China Grant 51979200, 51861125202, and 51779180. The authors gratefully acknowledge all of the researchers for their contributions behind each flux site and the organizers of the FLUXNET database.</t>
  </si>
  <si>
    <t xml:space="preserve">10.1016/j.jhydrol.2021.126592</t>
  </si>
  <si>
    <t xml:space="preserve">JUL 2021</t>
  </si>
  <si>
    <t xml:space="preserve">UQ1FF</t>
  </si>
  <si>
    <t xml:space="preserve">WOS:000695816300014</t>
  </si>
  <si>
    <t xml:space="preserve">Qian, L; Yu, XJ; Wu, LF; Zhang, ZT; Fan, SL; Du, RQ; Liu, XG; Yang, QL; Qiu, RJ; Cui, YK; Huang, GM; Wang, YC</t>
  </si>
  <si>
    <t xml:space="preserve">Qian, Long; Yu, Xingjiao; Wu, Lifeng; Zhang, Zhitao; Fan, Shuailong; Du, Ruiqi; Liu, Xiaogang; Yang, Qiliang; Qiu, Rangjian; Cui, Yaokui; Huang, Guomin; Wang, Yicheng</t>
  </si>
  <si>
    <t xml:space="preserve">Improving high uncertainty of evapotranspiration products under extreme climatic conditions based on deep learning and ERA5 reanalysis data</t>
  </si>
  <si>
    <t xml:space="preserve">Evapotranspiration; ET products; Extreme climatic condition; CNN; ERA5; Independent verification</t>
  </si>
  <si>
    <t xml:space="preserve">LAND-COVER TYPES; GROSS PRIMARY PRODUCTION; NEURAL-NETWORK; CARBON-DIOXIDE; FLUXNET SITES; HEAT-FLUX; MODEL; EVAPORATION; TEMPERATURE; FOREST</t>
  </si>
  <si>
    <t xml:space="preserve">Accurate quantification of Terrestrial Evapotranspiration (ET) is crucial for understanding global water resource management amid climate change. However, against the backdrop of frequent global extreme climate events, existing ET products don't accurately reflect ground data under extreme climate conditions (high temperature and high vapor pressure deficit (VPD)) and no studies have addressed this uncertainty. This study, based on data from 150 flux towers (FLUXNET ET), utilizes four daily-scale ET product datasets (REA, GLEAMv3.6b, REA, ERA5) and ERA5 reanalysis meteorological data as inputs for Convolutional Neural Network (CNN), to explore ways to improve the accuracy of ET products under extreme climatic conditions, while three Machine Learning (ML) models were selected as comparisons. An additional 35 nearby sites provide independent validation for model applicability. The results show that the estimation accuracy of ET products under extreme climatic conditions has an average decrease of 37.5 % in the correlation coefficient (R2) and an average increase of 40 % in the root-mean-square-error (RMSE), whereas the CNN significantly improves this high uncertainty and outperforms the other ML models. The accuracy was significantly improved with the addition of ET products (R2 = 0.924, RMSE=0.323 mm/d) compared to having only meteorological data as input (R2 = 0.888, RMSE=0.369 mm/d). Under extreme climatic conditions, the R2 and RMSE of CNN are 0.786(171.6 % average improvement) and 0.448 (65.4 % average reduction) compared to ET products, with PBias ranging from -9% to 9 % and the most significant improvement in the America (region), EBF (land cover type), and Cwa (climate type). Furthermore, using ET products as inputs significantly enhances the CNN's estimation accuracy, yielding R2 and RMSE improvements between 10 % and 30 %. At the 35 independent validation sites, the CNN still performs well, with R2 and RMSE around 0.720 and 0.510 mm/d under extreme climatic conditions, and the accuracy within 500 km is even higher. This study enhances model precision, providing a valuable tool for optimizing water management and tackling climate change. These advancements help formulate precise irrigation strategies and water policies, particularly in extreme weather-prone regions, supporting ecological stability and mitigating water scarcity.</t>
  </si>
  <si>
    <t xml:space="preserve">[Qian, Long; Yu, Xingjiao; Wu, Lifeng; Zhang, Zhitao; Fan, Shuailong; Du, Ruiqi] Northwest A&amp;F Univ, Coll Water Resources &amp; Architectural Engn, Yangling 712100, Peoples R China; [Qian, Long; Yu, Xingjiao; Zhang, Zhitao; Fan, Shuailong; Du, Ruiqi] Northwest A&amp;F Univ, Key Lab Agr Soil &amp; Water Engn Arid &amp; Semiarid Area, Minist Educ, Yangling 712100, Peoples R China; [Qian, Long; Wu, Lifeng; Huang, Guomin] Nanchang Inst Technol, Sch Hydraul &amp; Ecol Engn, Nanchang 330099, Peoples R China; [Liu, Xiaogang; Yang, Qiliang] Kunming Univ Sci &amp; Technol, Fac Modern Agr Engn, Kunming 650500, Peoples R China; [Qiu, Rangjian] Wuhan Univ, Sch Water Resources &amp; Hydropower Engn, Wuhan 430072, Peoples R China; [Cui, Yaokui] Peking Univ, Inst RS &amp; GIS, Sch Earth &amp; Space Sci, Beijing 100871, Peoples R China; [Wang, Yicheng] China Inst Water Resources &amp; Hydropower Res, State Key Lab Simulat &amp; Regulat Water Cycle River, Beijing 100038, Peoples R China</t>
  </si>
  <si>
    <t xml:space="preserve">Northwest A&amp;F University - China; Northwest A&amp;F University - China; Nanchang Institute Technology; Kunming University of Science &amp; Technology; Wuhan University; Peking University; China Institute of Water Resources &amp; Hydropower Research</t>
  </si>
  <si>
    <t xml:space="preserve">china.sw@163.com; zhitaozhang@126.com</t>
  </si>
  <si>
    <r>
      <rPr>
        <sz val="11"/>
        <color theme="1"/>
        <rFont val="Noto Sans CJK SC"/>
        <family val="2"/>
        <charset val="1"/>
      </rPr>
      <t xml:space="preserve">杜</t>
    </r>
    <r>
      <rPr>
        <sz val="11"/>
        <color theme="1"/>
        <rFont val="Aptos Narrow"/>
        <family val="2"/>
        <charset val="1"/>
      </rPr>
      <t xml:space="preserve">, </t>
    </r>
    <r>
      <rPr>
        <sz val="11"/>
        <color theme="1"/>
        <rFont val="Noto Sans CJK SC"/>
        <family val="2"/>
        <charset val="1"/>
      </rPr>
      <t xml:space="preserve">瑞麒</t>
    </r>
    <r>
      <rPr>
        <sz val="11"/>
        <color theme="1"/>
        <rFont val="Aptos Narrow"/>
        <family val="2"/>
        <charset val="1"/>
      </rPr>
      <t xml:space="preserve">/HHZ-9930-2022; Wu, Lifeng/IUQ-4000-2023; Zhang, Zhitao/AAD-7087-2019; Cui, Yaokui/ABB-2268-2021; Qiu, Rangjian/GZG-5824-2022; Qian, Long/GWR-2876-2022</t>
    </r>
  </si>
  <si>
    <t xml:space="preserve">zhang, zhitao/0000-0003-3217-5748; Qian, Long/0000-0002-0669-8089</t>
  </si>
  <si>
    <t xml:space="preserve">National Key Research and Development Program of China [2022YFD1900404-01, 2023YFD1900702]; National Natural Science Foundation of China [51979232, 52179044]; Key Research and Development Program of Jiangxi Province [20212BDH80016]</t>
  </si>
  <si>
    <t xml:space="preserve">National Key Research and Development Program of China(National Key Research &amp; Development Program of China); National Natural Science Foundation of China(National Natural Science Foundation of China (NSFC)); Key Research and Development Program of Jiangxi Province</t>
  </si>
  <si>
    <t xml:space="preserve">This research was supported by the National Key Research and Development Program of China (2022YFD1900404-01) , the National Natural Science Foundation of China (51979232,52179044) , the Key Research and Development Program of Jiangxi Province (20212BDH80016) , and the National Key Research and Development Program of China (2023YFD1900702) . This work utilized the FLUXNET community, particularly eddy covariance data obtained from the following networks: FLUXNET 2015, AmeriFlux, AsiaFlux, and China-Flux. This study used REA (The datasets are provided by National Titanium Plateau/Third Pole Environment Data Center) (http://data.tpdc.ac.cn) ERA5, GLDAS, GLEAM, and other ET product data were analyzed, and using ERA5 in meteorological data, NOAA CDR NDVI products, and so on. Thanks to the scholars and institutions mentioned above for their hard working and contributions.</t>
  </si>
  <si>
    <t xml:space="preserve">10.1016/j.jhydrol.2024.131755</t>
  </si>
  <si>
    <t xml:space="preserve">C9O4E</t>
  </si>
  <si>
    <t xml:space="preserve">WOS:001292580100001</t>
  </si>
  <si>
    <t xml:space="preserve">Al-Jaafreh, TM; Al-Odienat, A</t>
  </si>
  <si>
    <t xml:space="preserve">Quwaider, M</t>
  </si>
  <si>
    <t xml:space="preserve">Al-Jaafreh, Tamer Mushal; Al-Odienat, Abdullah</t>
  </si>
  <si>
    <t xml:space="preserve">The Application of Deep Learning Techniques for Solar Power Forecasting</t>
  </si>
  <si>
    <t xml:space="preserve">2022 13TH INTERNATIONAL CONFERENCE ON INFORMATION AND COMMUNICATION SYSTEMS (ICICS)</t>
  </si>
  <si>
    <t xml:space="preserve">13th International Conference on Information and Communication Systems (ICICS)</t>
  </si>
  <si>
    <t xml:space="preserve">JUN 21-23, 2022</t>
  </si>
  <si>
    <t xml:space="preserve">Irbid, JORDAN</t>
  </si>
  <si>
    <t xml:space="preserve">Inst Elect &amp; Elect Engineers,Jordan Univ Sci &amp; Technol,IEEE Jordan Sect,Jordan Engineers Assoc</t>
  </si>
  <si>
    <t xml:space="preserve">Machine Learning; Deep Learning; LSTM; Solar irradiation; Forecasting process; Solar energy</t>
  </si>
  <si>
    <t xml:space="preserve">The future forecasting of the solar irradiation is becoming very essential. There are other elements (features) contribute to the forecasting process of the solar irradiation. These features are closely related to the amount of solar irradiation arriving from the sun. As the weather factors are related to each other in terms of influence, a wide range of features that are necessary to enter the i process are considered in this research. This paper investigate the effect of some atmospheric factors like Evapotranspiration and soil temperature using deep learning techniques, like LSTM algorithm. The results show that higher accuracy is achieved when new features related to solar irradiation were included in the forecasting process. To the best of authors' knowledge, these new features have not previously considered in literature. The RMSE value is 0.34 obtained with 16 features used in forecasting process.</t>
  </si>
  <si>
    <t xml:space="preserve">[Al-Jaafreh, Tamer Mushal] Mutah Univ, Kark, Jordan; [Al-Odienat, Abdullah] Mutah Univ, Elect Engn Dept, Kark, Jordan</t>
  </si>
  <si>
    <t xml:space="preserve">Mutah University; Mutah University</t>
  </si>
  <si>
    <t xml:space="preserve">Al-Jaafreh, TM (corresponding author), Mutah Univ, Kark, Jordan.</t>
  </si>
  <si>
    <t xml:space="preserve">tamer.jaafreh59@gmail.com; odienat@mutah.edu.jo</t>
  </si>
  <si>
    <t xml:space="preserve">2471-125X</t>
  </si>
  <si>
    <t xml:space="preserve">978-1-6654-8097-0</t>
  </si>
  <si>
    <t xml:space="preserve">INT CONF INFORM COMM</t>
  </si>
  <si>
    <t xml:space="preserve">10.1109/ICICS55353.2022.9811182</t>
  </si>
  <si>
    <t xml:space="preserve">Computer Science, Information Systems; Computer Science, Theory &amp; Methods; Engineering, Electrical &amp; Electronic; Telecommunications</t>
  </si>
  <si>
    <t xml:space="preserve">BU7HD</t>
  </si>
  <si>
    <t xml:space="preserve">WOS:000937676000040</t>
  </si>
  <si>
    <t xml:space="preserve">Zhang, CJ; Xu, TX; Zhang, Y; Ma, DK</t>
  </si>
  <si>
    <t xml:space="preserve">Zhang, Chenjia; Xu, Tianxin; Zhang, Yan; Ma, Daokun</t>
  </si>
  <si>
    <t xml:space="preserve">Deep learning models for groundwater level prediction based on delay penalty</t>
  </si>
  <si>
    <t xml:space="preserve">WATER SUPPLY</t>
  </si>
  <si>
    <t xml:space="preserve">data fusion; deep learning; groundwater level prediction; loss function</t>
  </si>
  <si>
    <t xml:space="preserve">SMART IRRIGATION; PERFORMANCE</t>
  </si>
  <si>
    <t xml:space="preserve">In irrigation agriculture, predicting groundwater level (GWL) using deep learning models can help decision-makers coordinate surface water and groundwater usage, thus aiding in the sustainable development and utilization of groundwater. However, when making a long sequence prediction, prediction sequences often have severe delays affecting the availability of prediction results. In this paper, a new loss function is proposed to minimize the lag and oversmoothing on the prediction of GWLs. GWL, meteorology, and pumping data are collected via an irrigation Internet of Things system in Hutubi County, Xinjiang. Through Pearson's correlation analysis, historical potential evapotranspiration (ET0), groundwater extraction, and GWL were chosen to predict GWLs. Datasets were constructed through the proposed spatiotemporal data fusion method; then, the best model from the six deep learning models was selected by comparing the prediction capability of the datasets. Finally, the mean-squared error (MSE) loss function is replaced by the proposed loss function. Compared to the mean absolute error, MSE, and predicted sequence graphs, the new loss function significantly depresses the time delay with similar prediction accuracy.</t>
  </si>
  <si>
    <t xml:space="preserve">[Zhang, Chenjia; Xu, Tianxin; Ma, Daokun] China Agr Univ, Coll Informat &amp; Elect Engn, Beijing 100089, Peoples R China; [Zhang, Yan] Xichang Coll, Sch Yi Language &amp; Culture, Xichang 831000, Sichuan, Peoples R China</t>
  </si>
  <si>
    <t xml:space="preserve">China Agricultural University; Xichang College</t>
  </si>
  <si>
    <t xml:space="preserve">Zhang, CJ (corresponding author), China Agr Univ, Coll Informat &amp; Elect Engn, Beijing 100089, Peoples R China.</t>
  </si>
  <si>
    <t xml:space="preserve">zcj136578646@outlook.com</t>
  </si>
  <si>
    <r>
      <rPr>
        <sz val="11"/>
        <color theme="1"/>
        <rFont val="Noto Sans CJK SC"/>
        <family val="2"/>
        <charset val="1"/>
      </rPr>
      <t xml:space="preserve">张</t>
    </r>
    <r>
      <rPr>
        <sz val="11"/>
        <color theme="1"/>
        <rFont val="Aptos Narrow"/>
        <family val="2"/>
        <charset val="1"/>
      </rPr>
      <t xml:space="preserve">, </t>
    </r>
    <r>
      <rPr>
        <sz val="11"/>
        <color theme="1"/>
        <rFont val="Noto Sans CJK SC"/>
        <family val="2"/>
        <charset val="1"/>
      </rPr>
      <t xml:space="preserve">宸嘉</t>
    </r>
    <r>
      <rPr>
        <sz val="11"/>
        <color theme="1"/>
        <rFont val="Aptos Narrow"/>
        <family val="2"/>
        <charset val="1"/>
      </rPr>
      <t xml:space="preserve">/HHZ-6647-2022</t>
    </r>
  </si>
  <si>
    <t xml:space="preserve">IWA PUBLISHING</t>
  </si>
  <si>
    <t xml:space="preserve">REPUBLIC-EXPORT BLDG, UNITS 1 04 &amp; 1 05, 1 CLOVE CRESCENT, LONDON, ENGLAND</t>
  </si>
  <si>
    <t xml:space="preserve">1606-9749</t>
  </si>
  <si>
    <t xml:space="preserve">1607-0798</t>
  </si>
  <si>
    <t xml:space="preserve">Water Supply</t>
  </si>
  <si>
    <t xml:space="preserve">10.2166/ws.2024.009</t>
  </si>
  <si>
    <t xml:space="preserve">JAN 2024</t>
  </si>
  <si>
    <t xml:space="preserve">Engineering, Environmental; Environmental Sciences; Water Resources</t>
  </si>
  <si>
    <t xml:space="preserve">Engineering; Environmental Sciences &amp; Ecology; Water Resources</t>
  </si>
  <si>
    <t xml:space="preserve">JB0W1</t>
  </si>
  <si>
    <t xml:space="preserve">WOS:001145573900001</t>
  </si>
  <si>
    <t xml:space="preserve">Yuan, QQ; Shen, HF; Li, TW; Li, ZW; Li, SW; Jiang, Y; Xu, HZ; Tan, WW; Yang, QQ; Wang, JW; Gao, JH; Zhang, LP</t>
  </si>
  <si>
    <t xml:space="preserve">Yuan, Qiangqiang; Shen, Huanfeng; Li, Tongwen; Li, Zhiwei; Li, Shuwen; Jiang, Yun; Xu, Hongzhang; Tan, Weiwei; Yang, Qianqian; Wang, Jiwen; Gao, Jianhao; Zhang, Liangpei</t>
  </si>
  <si>
    <t xml:space="preserve">Deep learning in environmental remote sensing: Achievements and challenges</t>
  </si>
  <si>
    <t xml:space="preserve">REMOTE SENSING OF ENVIRONMENT</t>
  </si>
  <si>
    <t xml:space="preserve">Environmental remote sensing; Deep learning; Parameter retrieval; Neural network</t>
  </si>
  <si>
    <t xml:space="preserve">ARTIFICIAL NEURAL-NETWORK; LAND-SURFACE TEMPERATURE; SNOW WATER EQUIVALENT; RETRIEVING SOIL-MOISTURE; GLOBAL SOLAR-RADIATION; AEROSOL OPTICAL DEPTH; CROP YIELD PREDICTION; LEAF-AREA INDEX; PASSIVE MICROWAVE DATA; NDVI TIME-SERIES</t>
  </si>
  <si>
    <t xml:space="preserve">Various forms of machine learning (ML) methods have historically played a valuable role in environmental remote sensing research. With an increasing amount of big data from earth observation and rapid advances in ML, increasing opportunities for novel methods have emerged to aid in earth environmental monitoring. Over the last decade, a typical and state-of-the-art ML framework named deep learning (DL), which is developed from the traditional neural network (NN), has outperformed traditional models with considerable improvement in performance. Substantial progress in developing a DL methodology for a variety of earth science applications has been observed. Therefore, this review will concentrate on the use of the traditional NN and DL methods to advance the environmental remote sensing process. First, the potential of DL in environmental remote sensing, including land cover mapping, environmental parameter retrieval, data fusion and downscaling, and information reconstruction and prediction, will be analyzed. A typical network structure will then be introduced. Afterward, the applications of DL environmental monitoring in the atmosphere, vegetation, hydrology, air and land surface temperature, evapotranspiration, solar radiation, and ocean color are specifically reviewed. Finally, challenges and future perspectives will be comprehensively analyzed and discussed.</t>
  </si>
  <si>
    <t xml:space="preserve">[Yuan, Qiangqiang; Li, Shuwen; Xu, Hongzhang; Yang, Qianqian; Wang, Jiwen; Gao, Jianhao] Wuhan Univ, Sch Geodesy &amp; Geomat, Wuhan, Peoples R China; [Shen, Huanfeng; Li, Tongwen; Li, Zhiwei; Jiang, Yun] Wuhan Univ, Sch Resource &amp; Environm Sci, Wuhan, Peoples R China; [Tan, Weiwei; Zhang, Liangpei] Wuhan Univ, State Key Lab Informat Engn Surveying Mapping &amp; R, Wuhan, Peoples R China; [Yuan, Qiangqiang; Shen, Huanfeng; Zhang, Liangpei] Collaborat Innovat Ctr Geospatial Technol, Wuhan, Peoples R China; [Shen, Huanfeng] Wuhan Univ, Key Lab Geog Informat Syst, Minist Educ, Wuhan, Peoples R China; [Yuan, Qiangqiang] Wuhan Univ, Key Lab Geospace Environm &amp; Geodesy, Minist Educ, Wuhan, Peoples R China</t>
  </si>
  <si>
    <t xml:space="preserve">Wuhan University; Wuhan University; Wuhan University; Wuhan University; Wuhan University</t>
  </si>
  <si>
    <t xml:space="preserve">Shen, HF (corresponding author), Wuhan Univ, Sch Resource &amp; Environm Sci, Wuhan, Peoples R China.</t>
  </si>
  <si>
    <t xml:space="preserve">shenhf@whu.edu.cn</t>
  </si>
  <si>
    <t xml:space="preserve">LI, SHUWEN/AAN-7564-2020; Qianqian, Yang/GRR-6804-2022; Zhang, Liangpei/ADI-7616-2022; Yuan, Qiangqiang/V-4671-2019; Tan, Weiwei/HZI-1642-2023; Shen, Huanfeng/HPD-8048-2023; Li, Zhiwei/AAA-9212-2019</t>
  </si>
  <si>
    <t xml:space="preserve">Tan, Weiwei/0000-0001-9443-3613; Li, Zhiwei/0000-0001-5635-8499; Shen, Huanfeng/0000-0002-4140-1869; Yang, Qianqian/0000-0002-1378-7418; Li, Tongwen/0000-0001-7197-3713; Xu, Hongzhang/0000-0002-6407-3917</t>
  </si>
  <si>
    <t xml:space="preserve">National Key Research and Development Program of China [2019YFB2102900]; Strategic Priority Research Program of the Chinese Academy of Sciences [XDA19090104]; National Natural Science Foundation of China [41922008, 41820104006]</t>
  </si>
  <si>
    <t xml:space="preserve">National Key Research and Development Program of China(National Key Research &amp; Development Program of China); Strategic Priority Research Program of the Chinese Academy of Sciences(Chinese Academy of Sciences); National Natural Science Foundation of China(National Natural Science Foundation of China (NSFC))</t>
  </si>
  <si>
    <t xml:space="preserve">We gratefully acknowledge the support from the National Key Research and Development Program of China (Grant No. 2019YFB2102900), the Strategic Priority Research Program of the Chinese Academy of Sciences (Grant No. XDA19090104), and the National Natural Science Foundation of China (Grant Nos. 41922008 and 41820104006).</t>
  </si>
  <si>
    <t xml:space="preserve">0034-4257</t>
  </si>
  <si>
    <t xml:space="preserve">1879-0704</t>
  </si>
  <si>
    <t xml:space="preserve">REMOTE SENS ENVIRON</t>
  </si>
  <si>
    <t xml:space="preserve">Remote Sens. Environ.</t>
  </si>
  <si>
    <t xml:space="preserve">10.1016/j.rse.2020.111716</t>
  </si>
  <si>
    <t xml:space="preserve">Environmental Sciences; Remote Sensing; Imaging Science &amp; Photographic Technology</t>
  </si>
  <si>
    <t xml:space="preserve">Environmental Sciences &amp; Ecology; Remote Sensing; Imaging Science &amp; Photographic Technology</t>
  </si>
  <si>
    <t xml:space="preserve">LA5AG</t>
  </si>
  <si>
    <t xml:space="preserve">WOS:000523958600007</t>
  </si>
  <si>
    <t xml:space="preserve">Zhao, X; Zhang, L; Zhu, G; Cheng, CG; He, J; Traore, S; Singh, VP</t>
  </si>
  <si>
    <t xml:space="preserve">Zhao, Xin; Zhang, Lei; Zhu, Ge; Cheng, Chenguang; He, Jun; Traore, Seydou; Singh, Vijay P.</t>
  </si>
  <si>
    <t xml:space="preserve">Exploring interpretable and non-interpretable machine learning models for estimating winter wheat evapotranspiration using particle swarm optimization with limited climatic data</t>
  </si>
  <si>
    <t xml:space="preserve">Winter wheat; Crop evapotranspiration; Particle swarm optimization algorithm; Machine learning; Interpretability</t>
  </si>
  <si>
    <t xml:space="preserve">DEEP NEURAL-NETWORKS</t>
  </si>
  <si>
    <t xml:space="preserve">Accurate estimation of crop evapotranspiration (ETc) is crucial for improving the water use efficiency and designing and operating irrigation systems. To accurately calculate winter wheat ETc with limited meteorological data, the present study proposed two interpretable machine learning (ML) models (random forest (RF) and extreme gradient boosting (XGBoost)) as well as non-interpretable ML models (support vector machine (SVM) and deep neural network (DNN)) based on the particle swarm optimization (PSO) algorithm using observed winter wheat ETc data during the period from 2007 to 2013 at Luan Cheng Agro-ecosystem Experimental Station. Mean absolute error (MAE), root mean square error (RMSE), Nash-Sutcliffe efficiency (NSE), coefficient of determination (R-2), and global performance indicator (GPI) were used to assess the performance of models. This demonstrated that the ML models based on the crop coefficient (Kc) and solar radiation (Rn) were accurate and offered a workaround for calculating winter wheat ETc in the absence of meteorological data. In four ML models, the ninth input combination, consisting of Kc, Rn, daily air maximum temperature (Tmax), daily air minimum temperature (Tmin), sunshine hours (n), and wind speed with a height of 2 m (U2), produced the best estimate of ETc. Among them, the PSO-based SVM (PSO-SVM) model obtained the best results for estimating ETc with MAE, RMSE, NSE, R2, and GPI values of 0.389 mm center dot d(-1), 0.562 mm center dot d(-1) 0.910, 0.911, and 0.975, respectively, showing the advantages of the non-interpretable ML model in ETc forecasting. Accurate descriptions of actual hydrological and climatic processes were given by local interpretable model-agnostic explanations (LIME). The inflection points of daily climatic parameters (Tmin, Tmax, Rn, n) related to ETc were determined to be 3.80 degrees C, 5.50 degrees C, 1.62 MJ center dot m(-2)center dot d(-1), 1.37 h, respectively. This work has potential to overcome the difficulty of measuring winter wheat ETc properly due to the lack of meteorological data and accomplish appropriate water management to conserve water and increase water productivity.</t>
  </si>
  <si>
    <t xml:space="preserve">[Zhao, Xin; Zhang, Lei] North China Univ Water Resources &amp; Elect Power, Sch Water Conservat, Zhengzhou 450045, Henan, Peoples R China; [Zhu, Ge] North China Univ Water Resources &amp; Elect Power, Sch Informat Engn, Zhengzhou 450045, Henan, Peoples R China; [Cheng, Chenguang] Henan Water Conservancy Survey Design &amp; Res Co Ltd, Zhengzhou 450046, Peoples R China; [He, Jun] China Three Gorges Univ, Coll Hydraul &amp; Environm Engn, Yichang 443002, Hubei, Peoples R China; [Traore, Seydou; Singh, Vijay P.] Texas A&amp;M Univ, Dept Biol &amp; Agr Engn, Zachry Dept Civil &amp; Environm Engn, College Stn, TX 77843 USA; [Traore, Seydou] Metropolitan Solar Inc, Washington, DC 20032 USA; [Singh, Vijay P.] UAE Univ, Natl Water &amp; Energy Ctr, Al Ain 15551, U Arab Emirates</t>
  </si>
  <si>
    <t xml:space="preserve">Zhang, L (corresponding author), North China Univ Water Resources &amp; Elect Power, Sch Water Conservat, Zhengzhou 450045, Henan, Peoples R China.</t>
  </si>
  <si>
    <t xml:space="preserve">zhanglei@ncwu.edu.cn</t>
  </si>
  <si>
    <t xml:space="preserve">Singh, Vijay/AAH-9906-2020; Zhang, Lei/ACJ-3355-2022</t>
  </si>
  <si>
    <t xml:space="preserve">National Natural Science Foundation of China (NSFC) [51909092]; Key Science and Technology Program of Henan Province, China [222102110058]; Funding for the Master's Innovation Ability Enhancement Project of North China University of Water Resources and Electric Power [NCWUYC-2023009]; Open Research Fund of Key Laboratory of Sediment Science and Northern River Training; Ministry of Water Resources, China Institute of Water Resources and Hydropower Research [IWHR-SEDI- 202103]; Key Research and Development Projects in Henan Province [221111321600]; Henan Provincial Key Laboratory of Hydrosphere and Watershed Water Security; China Scholarship Council</t>
  </si>
  <si>
    <t xml:space="preserve">National Natural Science Foundation of China (NSFC)(National Natural Science Foundation of China (NSFC)); Key Science and Technology Program of Henan Province, China; Funding for the Master's Innovation Ability Enhancement Project of North China University of Water Resources and Electric Power; Open Research Fund of Key Laboratory of Sediment Science and Northern River Training; Ministry of Water Resources, China Institute of Water Resources and Hydropower Research; Key Research and Development Projects in Henan Province; Henan Provincial Key Laboratory of Hydrosphere and Watershed Water Security; China Scholarship Council(China Scholarship Council)</t>
  </si>
  <si>
    <t xml:space="preserve">This work was financially supported by the National Natural Science Foundation of China (NSFC 51909092) , Key Science and Technology Program of Henan Province, China (222102110058) , Funding for the Master's Innovation Ability Enhancement Project of North China University of Water Resources and Electric Power (NCWUYC-2023009) , Open Research Fund of Key Laboratory of Sediment Science and Northern River Training, the Ministry of Water Resources, China Institute of Water Resources and Hydropower Research (IWHR-SEDI- 202103) and Key Research and Development Projects in Henan Province (221111321600) . We thank the China Meteorological Data Sharing Service System and National Ecosystem Science Data Center, National Science &amp; Technology Infrastructure of China for providing the observed data. We thank the support from the Henan Provincial Key Laboratory of Hydrosphere and Watershed Water Security and the China Scholarship Council.</t>
  </si>
  <si>
    <t xml:space="preserve">10.1016/j.compag.2023.108140</t>
  </si>
  <si>
    <t xml:space="preserve">Q7QN4</t>
  </si>
  <si>
    <t xml:space="preserve">WOS:001059434000001</t>
  </si>
  <si>
    <t xml:space="preserve">Chakraborty, D; Basagaoglu, H; Winterle, J</t>
  </si>
  <si>
    <t xml:space="preserve">Chakraborty, Debaditya; Basagaoglu, Hakan; Winterle, James</t>
  </si>
  <si>
    <t xml:space="preserve">Interpretable vs. noninterpretable machine learning models for data-driven hydro-climatological process modeling ®</t>
  </si>
  <si>
    <t xml:space="preserve">EXPERT SYSTEMS WITH APPLICATIONS</t>
  </si>
  <si>
    <t xml:space="preserve">Deep learning; Boosting; Transfer learning; Hydroclimate; Reference crop evapotranspiration; Model explainability</t>
  </si>
  <si>
    <t xml:space="preserve">NEURAL-NETWORKS; EVAPOTRANSPIRATION ESTIMATION; EMPIRICAL EQUATIONS; RECENT DECLINE; BLACK-BOX; SYSTEM</t>
  </si>
  <si>
    <t xml:space="preserve">Due to their enhanced predictive capabilities, noninterpretable machine learning (ML) models (e.g. deep learning) have recently gained a growing interest in analyzing and modeling earth &amp; planetary science data. However, noninterpretable ML models are often treated as ?black boxes? by end-users, which could limit their applicability in critical decision making processes. In this paper, we compared the predictive capabilities of three interpretable ML models with three noninterpretable ML models to answer the overarching question: Is it essential to use noninterpretable ML models for enhanced model predictions from hydro-climatological datasets? The ML model development and comparative analysis were performed using measured climate data and synthetic reference crop evapotranspiration (ETo) data, with varying levels of missing values, from five weather stations across the karstic Edwards aquifer region in semi-arid south-central Texas. Our analysis revealed that interpretable tree based ensemble models produce comparable results to noninterpretable deep learning models on structured hydro-climatological datasets. We showed that the tree-based ensemble model is also capable of imputing varying levels of missing climate data at the weather stations, employing the newly developed sequential transfer-learning technique. We applied an explainable machine learning (eXML) framework to quantify the global order of importance of hydro-climatic (predictor) variables on ETo, while highlighting the local dependencies and interactions amongst the predictors and ETo. The eXML framework also revealed the inflection points of the climate variables at which the transition from low to high daily ETo rates occur. The ancillary explainability of ML models are expected to increase users? confidence and support any future decision-making process in water resource management.</t>
  </si>
  <si>
    <t xml:space="preserve">[Chakraborty, Debaditya] Univ Texas San Antonio, Dept Construct Sci, 501 W Cesar E Chavez Blvd, San Antonio, TX 78207 USA; [Basagaoglu, Hakan; Winterle, James] Edwards Aquifer Author, 900 E Quincy St, San Antonio, TX 78215 USA</t>
  </si>
  <si>
    <t xml:space="preserve">University of Texas System; University of Texas at San Antonio (UTSA)</t>
  </si>
  <si>
    <t xml:space="preserve">Chakraborty, D (corresponding author), Univ Texas San Antonio, Dept Construct Sci, 501 W Cesar E Chavez Blvd, San Antonio, TX 78207 USA.</t>
  </si>
  <si>
    <t xml:space="preserve">Debaditya.Chakraborty@utsa.edu; hbasagaoglu@edwardsaquifer.org; jwinterle@edwardsaquifer.org</t>
  </si>
  <si>
    <t xml:space="preserve">Chakraborty, Debaditya/KHU-9880-2024; Basagaoglu, Hakan/ABD-9156-2021</t>
  </si>
  <si>
    <t xml:space="preserve">Basagaoglu, Hakan/0000-0002-0729-0296; Chakraborty, Debaditya/0000-0002-2165-9440</t>
  </si>
  <si>
    <t xml:space="preserve">0957-4174</t>
  </si>
  <si>
    <t xml:space="preserve">1873-6793</t>
  </si>
  <si>
    <t xml:space="preserve">EXPERT SYST APPL</t>
  </si>
  <si>
    <t xml:space="preserve">Expert Syst. Appl.</t>
  </si>
  <si>
    <t xml:space="preserve">MAY 15</t>
  </si>
  <si>
    <t xml:space="preserve">10.1016/j.eswa.2020.114498</t>
  </si>
  <si>
    <t xml:space="preserve">JAN 2021</t>
  </si>
  <si>
    <t xml:space="preserve">Computer Science, Artificial Intelligence; Engineering, Electrical &amp; Electronic; Operations Research &amp; Management Science</t>
  </si>
  <si>
    <t xml:space="preserve">Computer Science; Engineering; Operations Research &amp; Management Science</t>
  </si>
  <si>
    <t xml:space="preserve">QT2IC</t>
  </si>
  <si>
    <t xml:space="preserve">WOS:000626414500001</t>
  </si>
  <si>
    <t xml:space="preserve">Prodhan, FA; Zhang, JH; Yao, FM; Shi, LM; Sharma, TPP; Zhang, D; Cao, D; Zheng, MX; Ahmed, N; Mohana, HP</t>
  </si>
  <si>
    <t xml:space="preserve">Prodhan, Foyez Ahmed; Zhang, Jiahua; Yao, Fengmei; Shi, Lamei; Pangali Sharma, Til Prasad; Zhang, Da; Cao, Dan; Zheng, Minxuan; Ahmed, Naveed; Mohana, Hasiba Pervin</t>
  </si>
  <si>
    <t xml:space="preserve">Deep Learning for Monitoring Agricultural Drought in South Asia Using Remote Sensing Data</t>
  </si>
  <si>
    <t xml:space="preserve">deep learning; agricultural drought; South Asia; remote sensing</t>
  </si>
  <si>
    <t xml:space="preserve">STANDARDIZED PRECIPITATION INDEX; ARTIFICIAL NEURAL-NETWORKS; SOIL-MOISTURE; METEOROLOGICAL DROUGHT; MODEL SIMULATIONS; INDIAN DROUGHT; TIME-SERIES; RIVER-BASIN; SATELLITE; VEGETATION</t>
  </si>
  <si>
    <t xml:space="preserve">Drought, a climate-related disaster impacting a variety of sectors, poses challenges for millions of people in South Asia. Accurate and complete drought information with a proper monitoring system is very important in revealing the complex nature of drought and its associated factors. In this regard, deep learning is a very promising approach for delineating the non-linear characteristics of drought factors. Therefore, this study aims to monitor drought by employing a deep learning approach with remote sensing data over South Asia from 2001-2016. We considered the precipitation, vegetation, and soil factors for the deep forwarded neural network (DFNN) as model input parameters. The study evaluated agricultural drought using the soil moisture deficit index (SMDI) as a response variable during three crop phenology stages. For a better comparison of deep learning model performance, we adopted two machine learning models, distributed random forest (DRF) and gradient boosting machine (GBM). Results show that the DFNN model outperformed the other two models for SMDI prediction. Furthermore, the results indicated that DFNN captured the drought pattern with high spatial variability across three penology stages. Additionally, the DFNN model showed good stability with its cross-validated data in the training phase, and the estimated SMDI had high correlation coefficient R-2 ranges from 0.57 similar to 0.90, 0.52 similar to 0.94, and 0.49 similar to 0.82 during the start of the season (SOS), length of the season (LOS), and end of the season (EOS) respectively. The comparison between inter-annual variability of estimated SMDI and in-situ SPEI (standardized precipitation evapotranspiration index) showed that the estimated SMDI was almost similar to in-situ SPEI. The DFNN model provides comprehensive drought information by producing a consistent spatial distribution of SMDI which establishes the applicability of the DFNN model for drought monitoring.</t>
  </si>
  <si>
    <t xml:space="preserve">[Prodhan, Foyez Ahmed; Zhang, Jiahua; Shi, Lamei; Pangali Sharma, Til Prasad; Zhang, Da; Cao, Dan; Zheng, Minxuan] Chinese Acad Sci, Aerosp Informat Res Inst AIR, Key Lab Digital Earth Sci, Beijing 100094, Peoples R China; [Prodhan, Foyez Ahmed; Zhang, Jiahua; Yao, Fengmei; Shi, Lamei; Pangali Sharma, Til Prasad; Zhang, Da; Cao, Dan; Zheng, Minxuan] Univ Chinese Acad Sci, Coll Earth &amp; Planetary Sci, Beijing 100049, Peoples R China; [Prodhan, Foyez Ahmed] Bangabandhu Sheikh Mujibur Rahman Agr Univ, Dept Agr Extens &amp; Rural Dev, Gazipur 1706, Bangladesh; [Ahmed, Naveed] Chinese Acad Sci, Inst Mt Hazards &amp; Environm, Key Lab Mt Surface Proc &amp; Ecol Regulat, Chengdu 610041, Peoples R China; [Mohana, Hasiba Pervin] China Agr Univ, Coll Econ &amp; Management, Beijing 100083, Peoples R China</t>
  </si>
  <si>
    <t xml:space="preserve">Chinese Academy of Sciences; Aerospace Information Research Institute, CAS; Chinese Academy of Sciences; University of Chinese Academy of Sciences, CAS; Bangabandhu Sheikh Mujibur Rahman Agricultural University (BSMRAU); Chinese Academy of Sciences; Institute of Mountain Hazards &amp; Environment, CAS; China Agricultural University</t>
  </si>
  <si>
    <t xml:space="preserve">Zhang, JH (corresponding author), Chinese Acad Sci, Aerosp Informat Res Inst AIR, Key Lab Digital Earth Sci, Beijing 100094, Peoples R China.;Zhang, JH (corresponding author), Univ Chinese Acad Sci, Coll Earth &amp; Planetary Sci, Beijing 100049, Peoples R China.</t>
  </si>
  <si>
    <t xml:space="preserve">foyez@bsmrau.edu.bd; zhangjh@radi.ac.cn; yaofm@ucas.ac.cn; shilm@radi.ac.cn; tilsharma@radi.ac.cn; zhangda@radi.ac.cn; caodan@radi.ac.cn; minxuan19@mails.ucas.ac.cn; naveedahmed@imde.ac.cn; mohana.pervin@gmail.com</t>
  </si>
  <si>
    <t xml:space="preserve">Zhang, Jiahua/KFS-4615-2024; Prodhan, Foyez/AAN-9543-2020; Sharma, Til/AAM-7180-2021; Cao, Dan/JFK-9871-2023</t>
  </si>
  <si>
    <t xml:space="preserve">Zhang, Jiahua/0000-0002-2894-9627; Ahmed, Naveed/0000-0001-5373-2377; Prodhan, Foyez/0000-0003-3109-0558; Pangali Sharma, Til Prasad/0000-0002-9211-8238</t>
  </si>
  <si>
    <t xml:space="preserve">CAS Strategic Priority Research Program [XDA19030402]; Natural Science Foundation of China [31671585, 41871253]; Key Basic Research Project of Shandong Natural Science Foundation of China [ZR2017ZB0422]; Taishan Scholar Project of Shandong Province [TSXZ201712]</t>
  </si>
  <si>
    <t xml:space="preserve">CAS Strategic Priority Research Program; Natural Science Foundation of China(National Natural Science Foundation of China (NSFC)); Key Basic Research Project of Shandong Natural Science Foundation of China; Taishan Scholar Project of Shandong Province</t>
  </si>
  <si>
    <t xml:space="preserve">This study was supported by the CAS Strategic Priority Research Program (Grant No. XDA19030402), the Natural Science Foundation of China (No. 31671585, No. 41871253), Key Basic Research Project of Shandong Natural Science Foundation of China (No. ZR2017ZB0422) and Taishan Scholar Project of Shandong Province (No. TSXZ201712).</t>
  </si>
  <si>
    <t xml:space="preserve">10.3390/rs13091715</t>
  </si>
  <si>
    <t xml:space="preserve">SC6AF</t>
  </si>
  <si>
    <t xml:space="preserve">WOS:000650750700001</t>
  </si>
  <si>
    <t xml:space="preserve">Zhang, J; Ding, YM; Zhu, L; Wan, YK; Chai, MT; Ding, PP</t>
  </si>
  <si>
    <t xml:space="preserve">Zhang, Jia; Ding, Yimin; Zhu, Lei; Wan, Yukuai; Chai, Mingtang; Ding, Pengpeng</t>
  </si>
  <si>
    <t xml:space="preserve">Estimating and forecasting daily reference crop evapotranspiration in China with temperature-driven deep learning models</t>
  </si>
  <si>
    <t xml:space="preserve">Gated Recurrent Unit (GRU); Long Short-Term Memory (LSTM); Public weather forecast; 15-day-ahead; Limited meteorological input</t>
  </si>
  <si>
    <t xml:space="preserve">HARGREAVES-SAMANI MODEL; PENMAN-MONTEITH MODEL; NEURAL-NETWORK; ETO</t>
  </si>
  <si>
    <t xml:space="preserve">Accurately estimating and forecasting short-term daily reference crop evapotranspiration (ETo) is crucial for realtime irrigation decision-making and regional agricultural water management. Although the Penman-Monteith formula shows high accuracy, the requirement for excessive meteorological factors by this formula restricts its practical application. Previous studies have developed many ETo estimation models using deep learning (DL) algorithm, which only require temperature data as input. Subsequently, temperature forecast data is used to drive these models for ETo forecasting. However, these models are often limited to the specific locations of their training sets due to significant climatic variations across regions. Besides, weather forecasts at different lead days typically exhibit different biases. It remains unclear whether train ETo forecasting models for different lead times will enhance the overall forecasting accuracy. Hence, in this study, we innovatively utilized an extensive array of weather forecast data to develop customized ETo forecasting models for each day of the next 15 days, while incorporating both location and seasonal features into the model training procedure. Five deep learning (DL) models were employed in this study, namely Long Short-Term Memory (LSTM), Bidirectional LSTM (Bi-LSTM), Gated Recurrent Unit (GRU), Convolutional Neural Networks Bi-LSTM (CNN-BiLSTM), and CNN-BiLSTMAttention. The results revealed that the differences in the performance of estimating ETo among the DL models were less pronounced compared to the variations that existed between diverse training strategies. By integrating location and seasonality information into the training set, we found a notable improvement in the accuracy of ETo estimating, with the average Root Mean Square Error (RMSE) of the five DL models decreasing from 0.55 mm d- 1 to 0.48 mm d- 1. Furthermore, when we directly employed a larger volume of weather forecast data to train the models, the forecasting accuracy of ETo was significantly improved, and among the five DL models, GRU performs the best. Specifically, the RMSE values for the ETo forecasts made by GRU model for the 1st, 4th, 7th, and 15th days in the future have decreased from 0.70, 0.87, 1.00 and 1.33 mm d- 1 to 0.51, 0.56, 0.61 and 0.67 mm d- 1, respectively. Additionally, compared to previous studies, we have successfully extended the lead time of ETo forecasts from 7 days to 15 days. These results indicate that the ETo estimating and forecasting models developed in this study demonstrate strong applicability across the entire country, which can provide effective support for irrigation water resource management.</t>
  </si>
  <si>
    <t xml:space="preserve">[Zhang, Jia; Ding, Yimin; Zhu, Lei; Wan, Yukuai; Chai, Mingtang; Ding, Pengpeng] Ningxia Univ, Sch Civil &amp; Hydraul Engn, Yinchuan 750021, Peoples R China; [Zhang, Jia; Ding, Yimin; Zhu, Lei; Wan, Yukuai; Chai, Mingtang; Ding, Pengpeng] Ningxia Univ, Key Lab Internet Water &amp; Digital Water Governance, Yinchuan 750021, Peoples R China; [Ding, Yimin; Zhu, Lei] Field Sci Observat &amp; Res Stn Agr Irrigat Ningxia Y, Yinchuan 750100, Peoples R China</t>
  </si>
  <si>
    <t xml:space="preserve">Ningxia University; Ningxia University</t>
  </si>
  <si>
    <t xml:space="preserve">Ding, YM (corresponding author), Ningxia Univ, Sch Civil &amp; Hydraul Engn, Yinchuan 750021, Peoples R China.</t>
  </si>
  <si>
    <t xml:space="preserve">haojingding@nxu.edu.cn</t>
  </si>
  <si>
    <t xml:space="preserve">National Natural Science Foundation of China [52209059]; Ningxia Natural Science Foundation [2023AAC05013]; Self-funded Project of Ningxia Institute of Water Resources Research [SKY-ZC-2024-177]; University First-class Discipline Construction Project of Ningxia, China [NXYLXK2021A03]</t>
  </si>
  <si>
    <t xml:space="preserve">National Natural Science Foundation of China(National Natural Science Foundation of China (NSFC)); Ningxia Natural Science Foundation; Self-funded Project of Ningxia Institute of Water Resources Research; University First-class Discipline Construction Project of Ningxia, China</t>
  </si>
  <si>
    <t xml:space="preserve">This study was funded by the National Natural Science Foundation of China (52209059) , Ningxia Natural Science Foundation (2023AAC05013) , and Self-funded Project of Ningxia Institute of Water Resources Research (SKY-ZC-2024-177) , and The University First-class Discipline Construction Project of Ningxia, China (No. NXYLXK2021A03) . Finally, cordial thanks should be extended to the Editor, Dr. Rodney Thompson, Associate Editor, Dr Paula Paredes, and the three anonymous referees for their valuable comments which greatly improved the quality of this paper.</t>
  </si>
  <si>
    <t xml:space="preserve">10.1016/j.agwat.2024.109268</t>
  </si>
  <si>
    <t xml:space="preserve">DEC 2024</t>
  </si>
  <si>
    <t xml:space="preserve">R9F0Z</t>
  </si>
  <si>
    <t xml:space="preserve">WOS:001394404100001</t>
  </si>
  <si>
    <t xml:space="preserve">Jiménez-Navarro, MJ; Martínez-Ballesteros, M; Brito, IS; Martínez-Alvarez, F; Asencio-Cortés, G</t>
  </si>
  <si>
    <t xml:space="preserve">Jimenez-Navarro, M. J.; Martinez-Ballesteros, M.; Sofia Brito, I.; Martinez-Alvarez, F.; Asencio-Cortes, G.</t>
  </si>
  <si>
    <t xml:space="preserve">A bioinspired ensemble approach for multi-horizon reference evapotranspiration forecasting in Portugal</t>
  </si>
  <si>
    <t xml:space="preserve">Time series; forecasting; bioinspired metaheuristic; evolutionary algorithm; agricultural; reference evapotranspiration; ensemble; deep learning</t>
  </si>
  <si>
    <t xml:space="preserve">REGULARIZATION; SELECTION; MODEL</t>
  </si>
  <si>
    <t xml:space="preserve">The year 2022 was the driest year in Portugal since 1931 with 97% of territory in severe drought. Water is especially important for the agricultural sector in Portugal, as it represents 78% total consumption according to the Water Footprint report published in 2010. Reference evapotranspiration is essential due to its importance in optimal irrigation planning that reduces water consumption. This study analyzes and proposes a framework to forecast daily reference evapotranspiration at eight stations in Portugal from 2012 to 2022 without relying on public meteorological forecasts. The data include meteorological data obtained from sensors included in the stations. The goal is to perform a multi-horizon forecasting of reference evapotranspiration using the multiple related covariates. The framework combines the data processing and the analysis of several state-of-the-art forecasting methods including classical, linear, tree-based, artificial neural network and ensembles. Then, an ensemble of all trained models is proposed using a recent bioinspired metaheuristic named Coronavirus Optimization Algorithm to weight the predictions. The results in terms of MAE and MSE are reported, indicating that our approach achieved a MAE of 0.658.</t>
  </si>
  <si>
    <t xml:space="preserve">[Jimenez-Navarro, M. J.; Martinez-Ballesteros, M.] Univ Seville, Dept Comp Sci, Seville, Spain; [Sofia Brito, I.] Polytech Inst Beja, Dept Engn, Beja, Portugal; [Sofia Brito, I.] Inst Desenvolvimiento Novas Tecnol, Ctr Technol &amp; Syst, Lisbon, Portugal; [Martinez-Alvarez, F.; Asencio-Cortes, G.] Pablo de Olavide Univ, Data Sci &amp; Big Data Lab, Seville, Spain</t>
  </si>
  <si>
    <t xml:space="preserve">University of Sevilla; Universidad Pablo de Olavide</t>
  </si>
  <si>
    <t xml:space="preserve">Jiménez-Navarro, MJ (corresponding author), Univ Seville, Dept Comp Sci, Seville, Spain.</t>
  </si>
  <si>
    <t xml:space="preserve">mjimenez3@us.es; mariamartinez@us.es; isabel.sofia@ipbeja.pt; fmaralv@upo.es; guaasecor@upo.es</t>
  </si>
  <si>
    <t xml:space="preserve">Martínez Ballesteros, María/L-4168-2014; Jiménez Navarro, Manuel Jesús/JOK-7076-2023; Martínez-Álvarez, Francisco/L-5121-2014; Brito, Isabel/M-2410-2019</t>
  </si>
  <si>
    <t xml:space="preserve">Martinez-Alvarez, Francisco/0000-0002-6309-1785; Brito, Isabel Sofia/0000-0002-7556-4367; Martinez Ballesteros, Maria/0000-0003-3160-7414; Jimenez Navarro, Manuel Jesus/0000-0001-8514-4182</t>
  </si>
  <si>
    <t xml:space="preserve">Centro Operativo e de Tecnologia de Regadio (COTR); Portuguese Agency Fundacao para a Ciencia e a Tecnologia (FCT) [UIDB/00066/2020]; Spanish Ministry of Science and Innovation [PID2020-117954RB]; European Regional Development Fund; Junta de Andalucia [PY20-00870, UPO-138516]</t>
  </si>
  <si>
    <t xml:space="preserve">Centro Operativo e de Tecnologia de Regadio (COTR); Portuguese Agency Fundacao para a Ciencia e a Tecnologia (FCT)(Fundacao para a Ciencia e a Tecnologia (FCT)); Spanish Ministry of Science and Innovation(Ministry of Science and Innovation, Spain (MICINN)Spanish Government); European Regional Development Fund(European Union (EU)); Junta de Andalucia(Junta de Andalucia)</t>
  </si>
  <si>
    <t xml:space="preserve">The authors would like to thank the Centro Operativo e de Tecnologia de Regadio (COTR), the Portuguese Agency Fundacao para a Ciencia e a Tecnologia (FCT) in the framework of the project UIDB/00066/2020, the Spanish Ministry of Science and Innovation for the support under the project PID2020-117954RB, the European Regional Development Fund and Junta de Andalucia for projects PY20-00870 and UPO-138516.</t>
  </si>
  <si>
    <t xml:space="preserve">10.1145/3555776.3578634</t>
  </si>
  <si>
    <t xml:space="preserve">Green Published</t>
  </si>
  <si>
    <t xml:space="preserve">WOS:001124308100065</t>
  </si>
  <si>
    <t xml:space="preserve">Van, SP; Le, HM; Thanh, DV; Dang, TD; Loc, HH; Anh, DT</t>
  </si>
  <si>
    <t xml:space="preserve">Song Pham Van; Hoang Minh Le; Dat Vi Thanh; Thanh Duc Dang; Ho Huu Loc; Duong Tran Anh</t>
  </si>
  <si>
    <t xml:space="preserve">Deep learning convolutional neural network in rainfall-runoff modelling</t>
  </si>
  <si>
    <t xml:space="preserve">JOURNAL OF HYDROINFORMATICS</t>
  </si>
  <si>
    <t xml:space="preserve">1D CNN; deep learning; LSTM; Mekong Delta; rainfall-runoff</t>
  </si>
  <si>
    <t xml:space="preserve">HYDROLOGICAL ALTERATIONS; PERFORMANCE; PREDICTION; IMPACT</t>
  </si>
  <si>
    <t xml:space="preserve">Rainfall-runoff modelling is complicated due to numerous complex interactions and feedback in the water cycle among precipitation and evapotranspiration processes, and also geophysical characteristics. Consequently, the lack of geophysical characteristics such as soil properties leads to difficulties in developing physical and analytical models when traditional statistical methods cannot simulate rainfall-runoff accurately. Machine learning techniques with data-driven methods, which can capture the nonlinear relationship between prediction and predictors, have been rapidly developed in the last decades and have many applications in the field of water resources. This study attempts to develop a novel 1D convolutional neural network (CNN), a deep learning technique, with a ReLU activation function for rainfall-runoff modelling. The modelling paradigm includes applying two convolutional filters in parallel to separate time series, which allows for the fast processing of data and the exploitation of the correlation structure between the multivariate time series. The developed modelling framework is evaluated with measured data at Chau Doc and Can Tho hydro-meteorological stations in the Vietnamese Mekong Delta. The proposed model results are compared with simulations of long short-term memory (LSTM) and traditional models. Both CNN and LSTM have better performance than the traditional models, and the statistical performance of the CNN model is slightly better than the LSTM results. We demonstrate that the convolutional network is suitable for regression-type problems and can effectively learn dependencies in and between the series without the need for a long historical time series, is a time-efficient and easy to implement alternative to recurrent-type networks and tends to outperform linear and recurrent models.</t>
  </si>
  <si>
    <t xml:space="preserve">[Song Pham Van] Vietnamese German Univ, Environm Water &amp; Climate Change Adaptat Res Grp, Thu Dau Mot City, Binh Duong Prov, Vietnam; [Hoang Minh Le] York Univ, Dept Elect Engn &amp; Comp Sci, Toronto, ON, Canada; [Dat Vi Thanh] Hanoi Univ Sci &amp; Technol, Dept Comp Sci, 1 Dai Co Viet St, Hanoi, Vietnam; [Thanh Duc Dang] Singapore Univ Technol &amp; Design, Pillar Engn Syst &amp; Deign, Singapore, Singapore; [Ho Huu Loc] Nanyang Technol Univ, Natl Inst Educ, Singapore, Singapore; [Ho Huu Loc] Nguyen Tat Thanh Univ, Fac Food &amp; Environm Engn, Ho Chi Minh City, Vietnam; [Duong Tran Anh] van Lang Univ, Dept Int Cooperat &amp; Res, Ho Chi Minh City, Vietnam</t>
  </si>
  <si>
    <t xml:space="preserve">Vietnamese-German University; York University - Canada; Hanoi University of Science &amp; Technology (HUST); Singapore University of Technology &amp; Design; Nanyang Technological University; National Institute of Education (NIE) Singapore; Nguyen Tat Thanh University (NTTU); Van Lang University</t>
  </si>
  <si>
    <t xml:space="preserve">Anh, DT (corresponding author), van Lang Univ, Dept Int Cooperat &amp; Res, Ho Chi Minh City, Vietnam.</t>
  </si>
  <si>
    <t xml:space="preserve">duong.ta@vlu.edu.vn</t>
  </si>
  <si>
    <t xml:space="preserve">Hộp, Thế/HNQ-4216-2023; Dang, Thanh/S-5462-2017; Tran Anh, Duong/M-6789-2019</t>
  </si>
  <si>
    <t xml:space="preserve">Dang, Thanh Duc/0000-0002-9303-9056; Tran Anh, Duong/0000-0002-6775-0055</t>
  </si>
  <si>
    <t xml:space="preserve">Vietnamese-German University</t>
  </si>
  <si>
    <t xml:space="preserve">The first author acknowledges the financial support from the Vietnamese-German University. Special thanks to Mr. Tung Kieu - Department of Computer Science, Aalborg University, Denmark in collaborating to build the LSTM model. We also especially thank Mr. Ta Huu Chinh National Meteorological Center and Dr. Nguyen Mai Dang - Thuy Loi University for providing the daily rainfall and runoff data used in this study.</t>
  </si>
  <si>
    <t xml:space="preserve">1464-7141</t>
  </si>
  <si>
    <t xml:space="preserve">1465-1734</t>
  </si>
  <si>
    <t xml:space="preserve">J HYDROINFORM</t>
  </si>
  <si>
    <t xml:space="preserve">J. Hydroinform.</t>
  </si>
  <si>
    <t xml:space="preserve">10.2166/hydro.2020.095</t>
  </si>
  <si>
    <t xml:space="preserve">Computer Science, Interdisciplinary Applications; Engineering, Civil; Environmental Sciences; Water Resources</t>
  </si>
  <si>
    <t xml:space="preserve">Computer Science; Engineering; Environmental Sciences &amp; Ecology; Water Resources</t>
  </si>
  <si>
    <t xml:space="preserve">LT5JK</t>
  </si>
  <si>
    <t xml:space="preserve">WOS:000537106700006</t>
  </si>
  <si>
    <t xml:space="preserve">Sung, JH; Ryu, Y; Seong, KW</t>
  </si>
  <si>
    <t xml:space="preserve">Sung, Jang Hyun; Ryu, Young; Seong, Kee-Won</t>
  </si>
  <si>
    <t xml:space="preserve">Deep Learning-Based Prediction of Fire Occurrence with Hydroclimatic Condition and Drought Phase over South Korea</t>
  </si>
  <si>
    <t xml:space="preserve">KSCE JOURNAL OF CIVIL ENGINEERING</t>
  </si>
  <si>
    <t xml:space="preserve">Climatic conditions; Drought; Human activity; Forest fire activities; Deep learning</t>
  </si>
  <si>
    <t xml:space="preserve">CLIMATE-CHANGE; FOREST-FIRE; SPATIAL PREDICTION</t>
  </si>
  <si>
    <t xml:space="preserve">This study evaluates the effects of climatic conditions and drought phase on occurrence frequency (OF) of forest fire in South Korea, and suggested a deep learning-based estimator for the occurrence frequency of fire. There was a high correlation between frequency and relative humidity (RH, R = -0.663) and wind speed (WS, R = 0.532). Using these correlations, we proposed a deep learning model that can estimate the OF. Among the three deep learning models (RH-WS-AMOF, RH-AMOF, and WS-AMOF) by combining RH and WS with average monthly OF (AMOF) during 1997-2019, the RH-WS-AMOF model showed the best performance. R-2 and NSE were 0.838 and 0.828, respectively. The higher temperatures and drought lead to increase the potential for forest fire. Standardized precipitation evapotranspiration index was introduced for exploring the link between meteorological drought and forest fire. We confirmed that SPEI can improve the performance of the DBN based on OF estimator in spring. The framework of this study can provide a predictive model for forest fire OF combined with a weather forecast model.</t>
  </si>
  <si>
    <t xml:space="preserve">[Sung, Jang Hyun] Minist Environm, Han River Flood Control Off, Seoul 06501, South Korea; [Ryu, Young] Natl Inst Meteorol Res, Operat Syst Dev Dept, Jeju 63568, South Korea; [Seong, Kee-Won] Konkuk Univ, Dept Civil &amp; Environm Engn, Seoul 05029, South Korea</t>
  </si>
  <si>
    <t xml:space="preserve">Konkuk University</t>
  </si>
  <si>
    <t xml:space="preserve">Seong, KW (corresponding author), Konkuk Univ, Dept Civil &amp; Environm Engn, Seoul 05029, South Korea.</t>
  </si>
  <si>
    <t xml:space="preserve">kwseong@konkuk.ac.kr</t>
  </si>
  <si>
    <t xml:space="preserve">Sung, Jang Hyun/0000-0002-9196-9540; Ryu, Young/0000-0002-6203-6258</t>
  </si>
  <si>
    <t xml:space="preserve">KOREAN SOCIETY OF CIVIL ENGINEERS-KSCE</t>
  </si>
  <si>
    <t xml:space="preserve">3-16 JUNGDAE-RO 25-GIL, SONGPA-GU, SEOUL, 05661, SOUTH KOREA</t>
  </si>
  <si>
    <t xml:space="preserve">1226-7988</t>
  </si>
  <si>
    <t xml:space="preserve">1976-3808</t>
  </si>
  <si>
    <t xml:space="preserve">KSCE J CIV ENG</t>
  </si>
  <si>
    <t xml:space="preserve">KSCE J. Civ. Eng.</t>
  </si>
  <si>
    <t xml:space="preserve">10.1007/s12205-022-1270-3</t>
  </si>
  <si>
    <t xml:space="preserve">Engineering, Civil</t>
  </si>
  <si>
    <t xml:space="preserve">ZW9AF</t>
  </si>
  <si>
    <t xml:space="preserve">WOS:000752755700001</t>
  </si>
  <si>
    <t xml:space="preserve">Shen, RP; Huang, AQ; Li, BL; Guo, J</t>
  </si>
  <si>
    <t xml:space="preserve">Shen, Runping; Huang, Anqi; Li, Bolun; Guo, Jia</t>
  </si>
  <si>
    <t xml:space="preserve">Construction of a drought monitoring model using deep learning based on multi-source remote sensing data</t>
  </si>
  <si>
    <t xml:space="preserve">INTERNATIONAL JOURNAL OF APPLIED EARTH OBSERVATION AND GEOINFORMATION</t>
  </si>
  <si>
    <t xml:space="preserve">Drought; Remote sensing; Deep learning</t>
  </si>
  <si>
    <t xml:space="preserve">VEGETATION INDEX; SOIL-MOISTURE; TEMPERATURE; PRODUCTS; MODIS</t>
  </si>
  <si>
    <t xml:space="preserve">Drought is a popular scientific issue in global climate change research. Accurate monitoring of drought has important implications for the sustainable development of regional agriculture in the context of increasingly complex global climate change. Deep learning is a widely used technique in the field of artificial intelligence. However, ongoing on drought monitoring using deep learning is relatively scarce. In this paper, the various hazard factors in drought development were comprehensively considered based on satellite data including Moderate Resolution Imaging Spectroradiometer (MODIS) and tropical rainfall measuring mission (TRMM) as multi-source remote sensing data. By using the deep learning technique, a comprehensive drought monitoring model was constructed and tested in Henan Province of China as an example. The results showed that the comprehensive drought model has good applicability in the monitoring of meteorological drought and agricultural drought. There was a significant positive correlation between the drought indicators of the model output and the comprehensive meteorological drought index (CI) measured at the site scale. The consistency rate of the drought grade of the two models was 85.6% and 79.8% for the training set and the test set, respectively. The correlation coefficient between the drought index of the model and the standard precipitation evapotranspiration index (SPED was between 0.772 and 0.910 (P &lt; 0.01), which indicated a strong level of significance. The correlation coefficient between the drought index of the model and the soil relative moisture at a 10 cm depth was greater than 0.550 (P &lt; 0.01), and there was a good correlation between them. This study provides a new method for the comprehensive assessment of regional drought.</t>
  </si>
  <si>
    <t xml:space="preserve">[Shen, Runping; Huang, Anqi; Li, Bolun] Nanjing Univ Informat Sci &amp; Technol, Sch Geog Sci, 219 Ningliu Rd, Nanjing 210044, Jiangsu, Peoples R China; [Guo, Jia] Inner Mongolia Autonomous Reg Wuhai Meteorol Bur, Wuhai 016000, Peoples R China</t>
  </si>
  <si>
    <t xml:space="preserve">Nanjing University of Information Science &amp; Technology</t>
  </si>
  <si>
    <t xml:space="preserve">Shen, RP (corresponding author), Nanjing Univ Informat Sci &amp; Technol, Sch Geog Sci, 219 Ningliu Rd, Nanjing 210044, Jiangsu, Peoples R China.</t>
  </si>
  <si>
    <t xml:space="preserve">rpshen@nuist.edu.cn</t>
  </si>
  <si>
    <t xml:space="preserve">Shen, Runping/AGH-7650-2022; Huang, Anqi/ABF-1903-2021</t>
  </si>
  <si>
    <t xml:space="preserve">Shen, Runping/0000-0003-2496-0295; Huang, Anqi/0000-0001-9261-5966</t>
  </si>
  <si>
    <t xml:space="preserve">Key Project of the National Natural Science Foundation of China [91437220]; National Key R&amp;D Program of China [2018YFC1506602]</t>
  </si>
  <si>
    <t xml:space="preserve">Key Project of the National Natural Science Foundation of China(National Natural Science Foundation of China (NSFC)); National Key R&amp;D Program of China</t>
  </si>
  <si>
    <t xml:space="preserve">This research was supported by the Key Project of the National Natural Science Foundation of China (Grant No.91437220) and the National Key R&amp;D Program of China (2018YFC1506602).</t>
  </si>
  <si>
    <t xml:space="preserve">1569-8432</t>
  </si>
  <si>
    <t xml:space="preserve">1872-826X</t>
  </si>
  <si>
    <t xml:space="preserve">INT J APPL EARTH OBS</t>
  </si>
  <si>
    <t xml:space="preserve">Int. J. Appl. Earth Obs. Geoinf.</t>
  </si>
  <si>
    <t xml:space="preserve">JUL</t>
  </si>
  <si>
    <t xml:space="preserve">10.1016/j.jag.2019.03.006</t>
  </si>
  <si>
    <t xml:space="preserve">HW6SL</t>
  </si>
  <si>
    <t xml:space="preserve">WOS:000466820700005</t>
  </si>
  <si>
    <t xml:space="preserve">Zuo, ZY; Mu, JD; Li, WJ; Bu, Q; Mao, HP; Zhang, XD; Han, L; Ni, JH</t>
  </si>
  <si>
    <t xml:space="preserve">Zuo, Zhiyu; Mu, Jindong; Li, Wenjie; Bu, Quan; Mao, Hanping; Zhang, Xiaodong; Han, Lvhua; Ni, Jiheng</t>
  </si>
  <si>
    <t xml:space="preserve">Study on the detection of water status of tomato (Solanum lycopersicum L.) by multimodal deep learning</t>
  </si>
  <si>
    <t xml:space="preserve">FRONTIERS IN PLANT SCIENCE</t>
  </si>
  <si>
    <t xml:space="preserve">multimodal deep learning; water status; tomato; depth images; nondestructive detection</t>
  </si>
  <si>
    <t xml:space="preserve">Water plays a very important role in the growth of tomato (Solanum lycopersicum L.), and how to detect the water status of tomato is the key to precise irrigation. The objective of this study is to detect the water status of tomato by fusing RGB, NIR and depth image information through deep learning. Five irrigation levels were set to cultivate tomatoes in different water states, with irrigation amounts of 150%, 125%, 100%, 75%, and 50% of reference evapotranspiration calculated by a modified Penman-Monteith equation, respectively. The water status of tomatoes was divided into five categories: severely irrigated deficit, slightly irrigated deficit, moderately irrigated, slightly over-irrigated, and severely over-irrigated. RGB images, depth images and NIR images of the upper part of the tomato plant were taken as data sets. The data sets were used to train and test the tomato water status detection models built with single-mode and multimodal deep learning networks, respectively. In the single-mode deep learning network, two CNNs, VGG-16 and Resnet-50, were trained on a single RGB image, a depth image, or a NIR image for a total of six cases. In the multimodal deep learning network, two or more of the RGB images, depth images and NIR images were trained with VGG-16 or Resnet-50, respectively, for a total of 20 combinations. Results showed that the accuracy of tomato water status detection based on single-mode deep learning ranged from 88.97% to 93.09%, while the accuracy of tomato water status detection based on multimodal deep learning ranged from 93.09% to 99.18%. The multimodal deep learning significantly outperformed the single-modal deep learning. The tomato water status detection model built using a multimodal deep learning network with ResNet-50 for RGB images and VGG-16 for depth and NIR images was optimal. This study provides a novel method for non-destructive detection of water status of tomato and gives a reference for precise irrigation management.</t>
  </si>
  <si>
    <t xml:space="preserve">[Zuo, Zhiyu; Mu, Jindong; Li, Wenjie; Bu, Quan; Mao, Hanping; Zhang, Xiaodong; Han, Lvhua] Jiangsu Univ, Sch Agr Engn, Zhenjiang, Peoples R China; [Zuo, Zhiyu; Mao, Hanping; Ni, Jiheng] Jiangsu Univ, Minist Educ, Key Lab Modern Agr Equipment &amp; Technol, High Tech Key Lab Agr Equipment &amp; Intelligence Jia, Zhenjiang, Peoples R China</t>
  </si>
  <si>
    <t xml:space="preserve">Jiangsu University; Jiangsu University</t>
  </si>
  <si>
    <t xml:space="preserve">Zuo, ZY; Mao, HP (corresponding author), Jiangsu Univ, Sch Agr Engn, Zhenjiang, Peoples R China.;Zuo, ZY; Mao, HP (corresponding author), Jiangsu Univ, Minist Educ, Key Lab Modern Agr Equipment &amp; Technol, High Tech Key Lab Agr Equipment &amp; Intelligence Jia, Zhenjiang, Peoples R China.</t>
  </si>
  <si>
    <t xml:space="preserve">zuozy@ujs.edu.cn; maohp@ujs.edu.cn</t>
  </si>
  <si>
    <t xml:space="preserve">Zuo, Zhiyu/A-8218-2012; ZHANG, XIAODONG/CAG-4454-2022</t>
  </si>
  <si>
    <t xml:space="preserve">FRONTIERS MEDIA SA</t>
  </si>
  <si>
    <t xml:space="preserve">LAUSANNE</t>
  </si>
  <si>
    <t xml:space="preserve">AVENUE DU TRIBUNAL FEDERAL 34, LAUSANNE, CH-1015, SWITZERLAND</t>
  </si>
  <si>
    <t xml:space="preserve">1664-462X</t>
  </si>
  <si>
    <t xml:space="preserve">FRONT PLANT SCI</t>
  </si>
  <si>
    <t xml:space="preserve">Front. Plant Sci.</t>
  </si>
  <si>
    <t xml:space="preserve">MAY 31</t>
  </si>
  <si>
    <t xml:space="preserve">10.3389/fpls.2023.1094142</t>
  </si>
  <si>
    <t xml:space="preserve">I6ZK4</t>
  </si>
  <si>
    <t xml:space="preserve">WOS:001004245800001</t>
  </si>
  <si>
    <t xml:space="preserve">Talib, A; Desai, AR; Huang, JY; Griffis, TJ; Reed, DE; Chen, JQ</t>
  </si>
  <si>
    <t xml:space="preserve">Talib, Ammara; Desai, Ankur R.; Huang, Jingyi; Griffis, Tim J.; Reed, David E.; Chen, Jiquan</t>
  </si>
  <si>
    <t xml:space="preserve">Evaluation of prediction and forecasting models for evapotranspiration of agricultural lands in the Midwest U.S</t>
  </si>
  <si>
    <t xml:space="preserve">Evapotranspiration; Machine learning; Agriculture; Drought; Irrigation; Forecasting</t>
  </si>
  <si>
    <t xml:space="preserve">EXTREME LEARNING-MACHINE; NEURAL-NETWORKS; CLIMATE-CHANGE; POTENTIAL EVAPOTRANSPIRATION; SOIL-MOISTURE; RANDOM FOREST; FLUX TOWERS; PERFORMANCE; EVAPORATION; ENSEMBLE</t>
  </si>
  <si>
    <t xml:space="preserve">Evapotranspiration (ET) prediction and forecasting play a vital role in improving water use in agriculturally intensive areas. Metrological and biophysical predictors that drive ET in managed landscapes have complex nonlinear relationships. Deep learning and data-driven methods have shown promising performance for identifying the dependencies among variables. Here, we evaluated the potentials of random forest (RF) and long short-term memory (LSTM) neural networks to estimate and forecast daily ET for corn, soybeans, and potatoes in diverse agricultural farms during 2003-2019. The modeling framework was applied for nineteen fields where eddy covariance ET and meteorological observations in the Midwest USA for growing season (April-October) is available. In this study, we applied data-driven models (RF and LSTM) with 3 sets of predictors (5, 11, and 16 predictors). Results show that a 16 predictor RF model (RF_16 R-2 = 0.7, Willmott's skill score = 0.90) outperformed a process-based land surface model (LSM_R-2 = 0.57, Willmott's skill score = 0.86) for predicting daily ET, while LSTM performance was lower (LSTM_16 R-2 = 0.65, Willmott's skill score = 0.89 and LSTM_11 R-2 = 0.62, Willmott's skill score = 0.86) than RF using the same sets of predictors. Vapor pressure and crop coefficients were identified as the most important predictors for irrigated crops, while short wave radiation and enhanced vegetation index were key predictors for non-irrigated crops. For certain crop types, such as corn and soybeans on fine-grained soils (silt loam), a simpler version RF, using only 11 drivers, can provide comparable results (R-2 = 0.70 vs 0.69 and Willmott's skill score = 0.90 vs 0.88). For short-term 3-day ET forecasting, LSTM is more sensitive to uncertainty in ensemble forecast meteorology than RF. ET forecasts were strongly sensitive to forecast uncertainty of vapor pressure. The proposed modeling architecture provides a field-scale, locally calibrated tool for accurate prediction and short-term forecasting of daily ET in areas where in situ ET, metrological, and biophysical data are lacking.</t>
  </si>
  <si>
    <t xml:space="preserve">[Talib, Ammara] Univ Wisconsin, Dept Civil &amp; Environm Engn, Madison, WI 53706 USA; [Desai, Ankur R.] Univ Wisconsin, Dept Atmospher &amp; Ocean Sci, Madison, WI 53706 USA; [Huang, Jingyi] Univ Wisconsin, Dept Soil Sci, Madison, WI 53706 USA; [Griffis, Tim J.] Univ Minnesota, Dept Soil Water &amp; Climate, St Paul, MN 55108 USA; [Reed, David E.] Univ Sci &amp; Arts Oklahoma, Environm Sci, Chickasha, OK 73018 USA; [Chen, Jiquan] Michigan State Univ, Dept Geog Environm &amp; Spatial Sci, E Lansing, MI 48823 USA; [Chen, Jiquan] Michigan State Univ, Ctr Global Change &amp; Earth Observat, E Lansing, MI 48823 USA</t>
  </si>
  <si>
    <t xml:space="preserve">University of Wisconsin System; University of Wisconsin Madison; University of Wisconsin System; University of Wisconsin Madison; University of Wisconsin System; University of Wisconsin Madison; University of Minnesota System; University of Minnesota Twin Cities; University of Science &amp; Arts of Oklahoma; Michigan State University; Michigan State University</t>
  </si>
  <si>
    <t xml:space="preserve">Talib, A (corresponding author), Univ Wisconsin, Dept Civil &amp; Environm Engn, Madison, WI 53706 USA.</t>
  </si>
  <si>
    <t xml:space="preserve">talib@wisc.edu</t>
  </si>
  <si>
    <t xml:space="preserve">Desai, Ankur/A-5899-2008; Chen, Jiquan/D-1955-2009; Gutmann, Ethan/I-5728-2012; Griffis, Timothy/A-5707-2011; Huang, Jingyi/B-5541-2015</t>
  </si>
  <si>
    <t xml:space="preserve">talib, ammara/0000-0003-3259-0220; Huang, Jingyi/0000-0002-1209-9699; Griffis, Timothy/0000-0002-2111-5144</t>
  </si>
  <si>
    <t xml:space="preserve">Wisconsin Vegetable and Potato Growers Association; Wisconsin Department of Natural Resources; UW Center for Climatic Research Climate, People, and Environment Program; NASA Carbon Cycle &amp; Ecosystems program [NNX17AE16G]; NASA [NNX17AE16G, 1002815] Funding Source: Federal RePORTER</t>
  </si>
  <si>
    <t xml:space="preserve">Wisconsin Vegetable and Potato Growers Association; Wisconsin Department of Natural Resources; UW Center for Climatic Research Climate, People, and Environment Program; NASA Carbon Cycle &amp; Ecosystems program; NASA(National Aeronautics &amp; Space Administration (NASA))</t>
  </si>
  <si>
    <t xml:space="preserve">ARD and AT acknowledge support from the Wisconsin Vegetable and Potato Growers Association award to UW-Madison, the Wisconsin Department of Natural Resources, and the UW Center for Climatic Research Climate, People, and Environment Program, and thank J Thom, T Houlihan, J Pavelski for site support at US-CS1 and US-CS3. DR and JC are supported by the NASA Carbon Cycle &amp; Ecosystems program (NNX17AE16G).</t>
  </si>
  <si>
    <t xml:space="preserve">10.1016/j.jhydrol.2021.126579</t>
  </si>
  <si>
    <t xml:space="preserve">UA6CD</t>
  </si>
  <si>
    <t xml:space="preserve">WOS:000685246900066</t>
  </si>
  <si>
    <t xml:space="preserve">Qiu, RB; Dai, W; Wang, GJ; Luo, ZC; Li, MQ</t>
  </si>
  <si>
    <t xml:space="preserve">Qiu, Ruibo; Dai, Wen; Wang, Guojie; Luo, Zicong; Li, Mengqi</t>
  </si>
  <si>
    <t xml:space="preserve">Evaluation of Different Deep Learning Methods for Meteorological Element Forecasting</t>
  </si>
  <si>
    <t xml:space="preserve">Meteorological elements forecasting; deep learning; RNN; GNN; transformer</t>
  </si>
  <si>
    <t xml:space="preserve">CLIMATE-CHANGE; NETWORKS; RECOGNITION; TRANSFORMER; TEMPERATURE; PREDICTION; MODEL; LSTM; RNN</t>
  </si>
  <si>
    <t xml:space="preserve">Deep Learning (DL) models can make short- and long-term predictions in just a few seconds, beyond the capabilities of traditional physical models. However, the capabilities of different DL models for meteorological element forecasting, are still yet to be comprehensively evaluated. Here, DL models were used to forecast multiple meteorological elements, including temperature (T), surface net solar radiation (SSR), soil moisture (SM), and evapotranspiration (ET). We compared the seven models in term of training performance, prediction accuracy, and the effects of parameters. We found that the training of RNN-based models (LSTM, GRU, and Bi-LSTM) was faster than others. However, with sufficient training epochs, Transformer-based models consistently achieve the lowest loss function. Among the Transformers, the Informer demonstrates the best prediction accuracy in most scenarios. Beyond the choice of DL model, the prediction performance is also influenced by the meteorological element itself. The MTGNN is comparable to Transformer-based models for T and SSR forecasting, but it does not perform as well as the Informer for SM and ET. The sliding window size and prediction time step have a slight impact on the performance differences between the models. The results can offer insights into applying DL models in meteorological element forecasting.</t>
  </si>
  <si>
    <t xml:space="preserve">[Qiu, Ruibo; Dai, Wen; Wang, Guojie; Luo, Zicong] Nanjing Univ Informat Sci &amp; Technol, Sch Geog Sci, Nanjing 210044, Peoples R China; [Dai, Wen; Wang, Guojie] Nanjing Univ Informat Sci &amp; Technol, Key Lab Meteorol Disaster, Minist Educ KLME, Nanjing 210044, Peoples R China; [Dai, Wen; Wang, Guojie] Nanjing Univ Informat Sci &amp; Technol, Joint Int Res Lab Climate &amp; Environm Change ILCEC, Nanjing 210044, Peoples R China; [Dai, Wen; Wang, Guojie] Nanjing Univ Informat Sci &amp; Technol, Collaborat Innovat Ctr Forecast &amp; Evaluat Meteorol, Nanjing 210044, Peoples R China; [Li, Mengqi] Univ Zurich, Dept Geog, CH-8057 Zurich, Switzerland</t>
  </si>
  <si>
    <t xml:space="preserve">Nanjing University of Information Science &amp; Technology; Nanjing University of Information Science &amp; Technology; Nanjing University of Information Science &amp; Technology; Nanjing University of Information Science &amp; Technology; University of Zurich</t>
  </si>
  <si>
    <t xml:space="preserve">Dai, W (corresponding author), Nanjing Univ Informat Sci &amp; Technol, Sch Geog Sci, Nanjing 210044, Peoples R China.;Dai, W (corresponding author), Nanjing Univ Informat Sci &amp; Technol, Key Lab Meteorol Disaster, Minist Educ KLME, Nanjing 210044, Peoples R China.;Dai, W (corresponding author), Nanjing Univ Informat Sci &amp; Technol, Joint Int Res Lab Climate &amp; Environm Change ILCEC, Nanjing 210044, Peoples R China.;Dai, W (corresponding author), Nanjing Univ Informat Sci &amp; Technol, Collaborat Innovat Ctr Forecast &amp; Evaluat Meteorol, Nanjing 210044, Peoples R China.</t>
  </si>
  <si>
    <t xml:space="preserve">wen.dai@nuist.edu.cn</t>
  </si>
  <si>
    <t xml:space="preserve">Dai, Wen/ABA-4889-2021</t>
  </si>
  <si>
    <t xml:space="preserve">No Statement Available</t>
  </si>
  <si>
    <t xml:space="preserve">10.1109/ACCESS.2024.3411109</t>
  </si>
  <si>
    <t xml:space="preserve">UL1G1</t>
  </si>
  <si>
    <t xml:space="preserve">WOS:001248116800001</t>
  </si>
  <si>
    <t xml:space="preserve">Jia, WB; Wei, ZY</t>
  </si>
  <si>
    <t xml:space="preserve">Jia, Weibing; Wei, Zhengying</t>
  </si>
  <si>
    <t xml:space="preserve">Short Term Prediction Model of Environmental Parameters in Typical Solar Greenhouse Based on Deep Learning Neural Network</t>
  </si>
  <si>
    <t xml:space="preserve">solar greenhouse; environmental parameters; deep learning; reference evapotranspiration; irrigation water allocation</t>
  </si>
  <si>
    <t xml:space="preserve">SYSTEM; ALGORITHM; CHINA</t>
  </si>
  <si>
    <t xml:space="preserve">The type of single-slope solar greenhouse is mainly used for vegetable production in China. The coupling of heat storage and release courses and the dynamic change in the outdoor weather parameters momentarily affect the indoor environment. Due to the high cost of small weather stations, the environmental parameters monitored by the nearest meteorological stations are usually used as outdoor environmental parameters in China. In order to accurately predict the solar greenhouse and crop water demand, this paper proposes three deep learning models, including neural network regression (DNNR), long short-term memory (LSTM), and convolutional neural network-long- short-term memory (CNN-LSTM), and the hyperparameters of three models were determined by orthogonal experimental design (OD). The temperature and relative humidity monitored by the indoor sensors and outdoor weather station were taken as the inputs of models, the temperature and relative humidity 3, 6, 12 and 24 h in advance were taken as the output, 16 combinations of input and output data of two typical solar greenhouses were trained separately by three deep learning models, those models were trained 144, 144 and 288 times, respectively. The best model of three type models at four prediction time points were selected, respectively. For the forecast time point of 12 h in advance, the errors of the best LSTM and CNN-LSTM models in two greenhouses were all smaller than the DNNR models. For the three other time points, the results show that the DNNR models have excellent prediction accuracy among the three models. The maximum and minimum temperature, relative humidity, and ETo were also accurately predicted using the corresponding optimized models. In sum, this study provided an optimized deep learning prediction model for environmental parameters of greenhouse and provides technical support for irrigation decision-making and water allocation.</t>
  </si>
  <si>
    <t xml:space="preserve">[Jia, Weibing; Wei, Zhengying] Xi An Jiao Tong Univ, State Key Lab Mfg Syst Engn, Xian 710049, Peoples R China; [Jia, Weibing] Shaanxi Pengyun Machinery Automat Technol Co Lt, Xian 710038, Peoples R China</t>
  </si>
  <si>
    <t xml:space="preserve">Xi'an Jiaotong University</t>
  </si>
  <si>
    <t xml:space="preserve">Wei, ZY (corresponding author), Xi An Jiao Tong Univ, State Key Lab Mfg Syst Engn, Xian 710049, Peoples R China.</t>
  </si>
  <si>
    <t xml:space="preserve">zywei@mail.xjtu.edu.cn</t>
  </si>
  <si>
    <t xml:space="preserve">Wei, Zhengying/0000-0001-5820-8734; jia, weibing/0000-0001-9676-5152</t>
  </si>
  <si>
    <t xml:space="preserve">Shaanxi Province Key Research and Development Project; [2022ZDLNY03-032]</t>
  </si>
  <si>
    <t xml:space="preserve">Shaanxi Province Key Research and Development Project;</t>
  </si>
  <si>
    <t xml:space="preserve">The work was partially supported by the Shaanxi Province Key Research and Development Project [2022ZDLNY03-032].</t>
  </si>
  <si>
    <t xml:space="preserve">10.3390/app122412529</t>
  </si>
  <si>
    <t xml:space="preserve">7D4KD</t>
  </si>
  <si>
    <t xml:space="preserve">WOS:000900460300001</t>
  </si>
  <si>
    <t xml:space="preserve">Xie, ZJ; Yao, YJ; Zhang, XT; Liang, SL; Fisher, JB; Chen, JQ; Jia, K; Shang, K; Yang, JM; Yu, RY; Guo, XZ; Liu, L; Ning, J; Zhang, LL</t>
  </si>
  <si>
    <t xml:space="preserve">Xie, Zijing; Yao, Yunjun; Zhang, Xiaotong; Liang, Shunlin; Fisher, Joshua B.; Chen, Jiquan; Jia, Kun; Shang, Ke; Yang, Junming; Yu, Ruiyang; Guo, Xiaozheng; Liu, Lu; Ning, Jing; Zhang, Lilin</t>
  </si>
  <si>
    <t xml:space="preserve">The Global LAnd Surface Satellite (GLASS) evapotranspiration product Version 5.0: Algorithm development and preliminary validation</t>
  </si>
  <si>
    <t xml:space="preserve">GLASS; Evapotranspiration; Deep neural networks; Machine learning; Bayesian model averaging</t>
  </si>
  <si>
    <t xml:space="preserve">LATENT-HEAT FLUX; EDDY COVARIANCE MEASUREMENTS; ENERGY-BALANCE CLOSURE; LEAF-AREA INDEX; TERRESTRIAL EVAPOTRANSPIRATION; NEURAL-NETWORKS; CARBON-DIOXIDE; NET-RADIATION; RIVER-BASIN; EVAPORATION</t>
  </si>
  <si>
    <t xml:space="preserve">An accurate estimation of spatially and temporally continuous global terrestrial evapotranspiration (ET) is essential in the assessment of surface energy, water and carbon cycles. The Global LAnd Surface Satellite (GLASS) ET product Version 4.0 (v4.0) based on the Bayesian model averaging (BMA) method was generated to estimate global terrestrial ET. However, certain uncertainty for the GLASS ET product v4.0 limits its application. In this study, we introduced the deep neural networks (DNN) merging framework to improve terrestrial ET estimation for GLASS ET product Version 5.0 (v5.0) generation by integrating five satellite-derived ET products [Moderate Resolution Imaging Spectroradiometer (MODIS) ET product (MOD16), Shuttleworth-Wallace dual-source ET product (SW), Priestley-Taylor-based ET product (PT-JPL), modified satellite-based Priestley-Taylor ET product (MS-PT) and simple hybrid ET product (SIM)]. We compared the performance of DNN method against other merging methods, including GLASS ET algorithm v4.0 (BMA), the gradient boosting regression tree (GBRT) method and the random forest (RF) method, based on 195 global eddy covariance (EC) flux towers covering observations from 2000 through 2015. Validations indicated that the DNN had the highest accuracy among four merging methods across different land cover types, yielding the highest average determination coefficients (R2, 0.62), root-mean-squared-error (RMSE, 24.1 W/m(2)) and Kling-Gupta efficiency (KGE, 0.77) with a of 99% confidence interval. Compared with GLASS ET algorithm v4.0, the DNN improved on the R-2 by approximately 7% (p &lt; 0.01) and the KGE by 10%. Based on the DNN, we then generated 8-day GLASS ET product v5.0 globally with a 1 km spatial resolution from 2001 to 2015 driven by GLASS vegetation and surface net radiation (Rn) datasets and Modern-Era Retrospective Analysis for Research and Applications, Version 2 (MERRA2) datasets. This global terrestrial ET product provides a valuable dataset for monitoring regional and global water resources and environmental changes.</t>
  </si>
  <si>
    <t xml:space="preserve">[Xie, Zijing; Yao, Yunjun; Zhang, Xiaotong; Jia, Kun; Shang, Ke; Yang, Junming; Yu, Ruiyang; Guo, Xiaozheng; Liu, Lu; Ning, Jing] Beijing Normal Univ, Fac Geog Sci, State Key Lab Remote Sensing Sci, Beijing 100875, Peoples R China; [Liang, Shunlin] Univ Maryland, Dept Geog Sci, College Pk, MD 20742 USA; [Fisher, Joshua B.] Chapman Univ, Schmid Coll Sci &amp; Technol, 1 Univ Dr, Orange, CA 92866 USA; [Chen, Jiquan] Michigan State Univ, Dept Geog Environm &amp; Spatial Sci, E Lansing, MI 48823 USA; [Zhang, Lilin] Univ Twente, Fac Geoinformat &amp; Earth Observat ITC, NL-7500 AE Enschede, Netherlands</t>
  </si>
  <si>
    <t xml:space="preserve">Beijing Normal University; University System of Maryland; University of Maryland College Park; Chapman University System; Chapman University; Michigan State University; University of Twente</t>
  </si>
  <si>
    <t xml:space="preserve">Yao, YJ; Zhang, XT (corresponding author), Beijing Normal Univ, Fac Geog Sci, State Key Lab Remote Sensing Sci, Beijing 100875, Peoples R China.</t>
  </si>
  <si>
    <t xml:space="preserve">boyyunjun@163.com; xtngzhang@bnu.edu.cn</t>
  </si>
  <si>
    <t xml:space="preserve">Chen, Jiquan/D-1955-2009; Fisher, Joshua/AFM-8914-2022; liang, shunlin/C-2809-2015; Ning, Jing/JVY-8297-2024; Jia, Kun/Q-6539-2016; Zhang, Lilin/AAZ-9009-2021</t>
  </si>
  <si>
    <t xml:space="preserve">Zhang, Lilin/0000-0003-3350-4566</t>
  </si>
  <si>
    <t xml:space="preserve">Natural Science Fund of China [42171310, 42192581]; U.S. Department of Energy, Biological and Environmental Research, Terrestrial Carbon Program [DE-FG02-04ER63917, DE-FG02-04ER63911]; CFCAS; NSERC; BIO-CAP; Environment Canada; NRCan; CarboEuropeIP; FAO-GTOS-TCO; iLEAPS; Max Planck Institute for Biogeo-chemistry; National Science Foundation; University of Tuscia; Universite Laval; US Department of Energy</t>
  </si>
  <si>
    <t xml:space="preserve">Natural Science Fund of China(National Natural Science Foundation of China (NSFC)); U.S. Department of Energy, Biological and Environmental Research, Terrestrial Carbon Program(United States Department of Energy (DOE)); CFCAS; NSERC(Natural Sciences and Engineering Research Council of Canada (NSERC)); BIO-CAP; Environment Canada(CGIAR); NRCan(Natural Resources Canada); CarboEuropeIP(European Union (EU)); FAO-GTOS-TCO; iLEAPS; Max Planck Institute for Biogeo-chemistry(Max Planck Society); National Science Foundation(National Science Foundation (NSF)); University of Tuscia; Universite Laval; US Department of Energy(United States Department of Energy (DOE))</t>
  </si>
  <si>
    <t xml:space="preserve">This work was supported by the Natural Science Fund of China (No. 42171310 and No. 42192581) . Acknowledgement for the data support from National Earth System Science Data Center, National Science &amp; Technology Infrastructure of China. (http:// www.geodata.cn) . This work used eddy covariance data acquired by the FLUXNET community and in particular by the following networks: AmeriFlux ( U.S. Department of Energy, Biological and Environmental Research, Terrestrial Carbon Program (DE-FG02-04ER63917 and DE-FG02-04ER63911) ) , AfriFlux, AsiaFlux, CarboAfrica, CarboEuropeIP, CarboItaly, Carbo-Mont,ChinaFlux, Fluxnet-Canada (supported by CFCAS, NSERC, BIO-CAP, Environment Canada, and NRCan) , GreenGrass, KoFlux, LBA, NECC, OzFlux, TCOS-Siberia, USCCC. We acknowledge the financial support to the eddy covariance data harmonization provided by CarboEuropeIP, FAO-GTOS-TCO, iLEAPS, Max Planck Institute for Biogeo-chemistry, National Science Foundation, University of Tuscia, Universite Laval, Environment Canada and US Department of Energy and the database development and technical support from Berkeley Water Center, Lawrence Berkeley National Laboratory, Microsoft Research eScience, Oak Ridge National Laboratory, University of California - Berkeley and the University of Virginia. Other ground-measured data were obtained from the GAME AAN (http://aan.suiri.tsukuba.ac. jp/) , the Coordinated Enhanced Observation Project (CEOP) in arid and semi-arid regions of northern China (http://observation.tea.ac.cn/) , and the water experiments of Environmental and Ecological Science Data Center for West China (http://westdc.westgis.ac.cn/water) .</t>
  </si>
  <si>
    <t xml:space="preserve">10.1016/j.jhydrol.2022.127990</t>
  </si>
  <si>
    <t xml:space="preserve">MAY 2022</t>
  </si>
  <si>
    <t xml:space="preserve">2D9QB</t>
  </si>
  <si>
    <t xml:space="preserve">Bronze, Green Submitted, Green Published</t>
  </si>
  <si>
    <t xml:space="preserve">WOS:000811871200001</t>
  </si>
  <si>
    <t xml:space="preserve">Malik, A; Saggi, MK; Rehman, S; Sajjad, H; Inyurt, S; Bhatia, AS; Farooque, AA; Oudah, AY; Yaseen, ZM</t>
  </si>
  <si>
    <t xml:space="preserve">Malik, Anurag; Saggi, Mandeep Kaur; Rehman, Sufia; Sajjad, Haroon; Inyurt, Samed; Bhatia, Amandeep Singh; Farooque, Aitazaz Ahsan; Oudah, Atheer Y.; Yaseen, Zaher Mundher</t>
  </si>
  <si>
    <t xml:space="preserve">Deep learning versus gradient boosting machine for pan evaporation prediction</t>
  </si>
  <si>
    <t xml:space="preserve">ENGINEERING APPLICATIONS OF COMPUTATIONAL FLUID MECHANICS</t>
  </si>
  <si>
    <t xml:space="preserve">Evaporation; deep learning; gradient boosting machine; prediction; Kiashahr; Ranichauri</t>
  </si>
  <si>
    <t xml:space="preserve">REFERENCE EVAPOTRANSPIRATION; MODEL; COEFFICIENT; TEMPERATURE; VARIABILITY; PERFORMANCE; ALGORITHM; NORTHEAST; TRENDS; WATER</t>
  </si>
  <si>
    <t xml:space="preserve">In the present study, two innovative techniques namely, Deep Learning (DL) and Gradient boosting Machine (GBM) models are developed based on a maximum air temperature 'univariate modeling scheme' for modeling the monthly pan evaporation (E (pan)) process. Monthly air temperature and pan evaporation are used to build the predictive models. These models are used for evaluating the evaporation prediction for the Kiashahr meteorological station located in the north of Iran and Ranichauri station positioned in Uttarakhand State of India. Findings indicated that the deep learning model was found best at Kiashahr station for testing datasets MAE (0.5691, mm/month), RMSE (0.7111, mm/month), NSE (0.7496), and IOA (0.9413). It can be concluded that in the semi-arid climate of Iran both of the used methods had the good capability in modeling of monthly E (pan). However, DL predicted monthly E (pan) better than GBM. Moreover, the highest accuracy of the deep learning model was also observed for the Ranichauri station in terms of MAE = 0.3693 mm/month, RMSE = 0.4357 mm/month, NSE = 0.8344, &amp; IOA = 0.9507 in testing stage. Overall, results expose the superior performance of DL-based models for both study stations and can also be utilized for various other environmental modeling.</t>
  </si>
  <si>
    <t xml:space="preserve">[Malik, Anurag] Punjab Agr Univ, Reg Res Stn, Bathinda, Punjab, India; [Saggi, Mandeep Kaur] Thapar Inst Engn &amp; Technol, Dept Comp Sci, Patiala, Punjab, India; [Rehman, Sufia; Sajjad, Haroon] Jamia Millia Islamia, Dept Geog, Fac Nat Sci, New Delhi, India; [Inyurt, Samed] Tokat Gaziosmanpasa Univ, Fac Engn &amp; Architecture, Dept Geomat Engn, Tokat, Turkey; [Bhatia, Amandeep Singh] Chitkara Univ, Inst Engn &amp; Technol, Rajpura, Punjab, India; [Farooque, Aitazaz Ahsan] Univ Prince Edward Isl, Fac Sustainable Design Engn, Charlottetown, PE, Canada; [Farooque, Aitazaz Ahsan] Univ Prince Edward Isl, Sch Climate Change &amp; Adaptat, Charlottetown, PE, Canada; [Oudah, Atheer Y.] Univ Thi Qar, Coll Educ Pure Sci, Dept Comp Sci, Nasiriyah, Iraq; [Oudah, Atheer Y.] Al Ayen Univ, Sci Res Ctr, Thi Qar, Iraq; [Yaseen, Zaher Mundher] South Ural State Univ, Inst Architecture &amp; Construct, Dept Urban Planning Engn Networks &amp; Syst, Chelyabinsk, Russia; [Yaseen, Zaher Mundher] Al Ayen Univ, Sci Res Ctr, New Era &amp; Dev Civil Engn Res Grp, Thi Qar, Iraq; [Yaseen, Zaher Mundher] Asia Univ, Coll Creat Design, Taichung, Taiwan</t>
  </si>
  <si>
    <t xml:space="preserve">Punjab Agricultural University; Thapar Institute of Engineering &amp; Technology; Jamia Millia Islamia; Gaziosmanpasa University; Chitkara University, Punjab; University of Prince Edward Island; University of Prince Edward Island; University of Thi-Qar; Al-Ayen University; South Ural State University; Al-Ayen University; Asia University Taiwan</t>
  </si>
  <si>
    <t xml:space="preserve">Yaseen, ZM (corresponding author), South Ural State Univ, Inst Architecture &amp; Construct, Dept Urban Planning Engn Networks &amp; Syst, Chelyabinsk, Russia.;Yaseen, ZM (corresponding author), Al Ayen Univ, Sci Res Ctr, New Era &amp; Dev Civil Engn Res Grp, Thi Qar, Iraq.;Yaseen, ZM (corresponding author), Asia Univ, Coll Creat Design, Taichung, Taiwan.</t>
  </si>
  <si>
    <t xml:space="preserve">zaheryaseen88@gmail.com</t>
  </si>
  <si>
    <t xml:space="preserve">Bhatia, Amandeep/AAR-9980-2020; INYURT, SAMED/AAD-8128-2021; Saggi, Mandeep/ABI-4341-2020; Yaseen, Zaher/G-7029-2018; Malik, Anurag/AAF-5402-2020</t>
  </si>
  <si>
    <t xml:space="preserve">Inyurt, Samed/0000-0001-9339-7569; Yaseen, Zaher/0000-0003-3647-7137; Kaur, Mandeep/0000-0003-1428-6073; Malik, Anurag/0000-0002-0298-5777</t>
  </si>
  <si>
    <t xml:space="preserve">1994-2060</t>
  </si>
  <si>
    <t xml:space="preserve">1997-003X</t>
  </si>
  <si>
    <t xml:space="preserve">ENG APPL COMP FLUID</t>
  </si>
  <si>
    <t xml:space="preserve">Eng. Appl. Comp. Fluid Mech.</t>
  </si>
  <si>
    <t xml:space="preserve">DEC 31</t>
  </si>
  <si>
    <t xml:space="preserve">10.1080/19942060.2022.2027273</t>
  </si>
  <si>
    <t xml:space="preserve">Engineering, Multidisciplinary; Engineering, Mechanical; Mechanics</t>
  </si>
  <si>
    <t xml:space="preserve">Engineering; Mechanics</t>
  </si>
  <si>
    <t xml:space="preserve">YU5JL</t>
  </si>
  <si>
    <t xml:space="preserve">WOS:000752079100001</t>
  </si>
  <si>
    <t xml:space="preserve">Chakraborty, SK; Chandel, NS; Jat, D; Tiwari, MK; Rajwade, YA; Subeesh, A</t>
  </si>
  <si>
    <t xml:space="preserve">Chakraborty, Subir Kumar; Chandel, Narendra Singh; Jat, Dilip; Tiwari, Mukesh Kumar; Rajwade, Yogesh A.; Subeesh, A.</t>
  </si>
  <si>
    <t xml:space="preserve">Deep learning approaches and interventions for futuristic engineering in agriculture</t>
  </si>
  <si>
    <t xml:space="preserve">NEURAL COMPUTING &amp; APPLICATIONS</t>
  </si>
  <si>
    <t xml:space="preserve">Deep learning modelling; Precision agriculture; Farm mechanization; Soil moisture; Postharvest quality</t>
  </si>
  <si>
    <t xml:space="preserve">CONVOLUTIONAL NEURAL-NETWORK; SUPPORT-VECTOR-MACHINE; LIMITED CLIMATIC DATA; SOIL-WATER CONTENT; WEED DETECTION; REFERENCE EVAPOTRANSPIRATION; DISEASE CLASSIFICATION; ORGANIC-MATTER; PEST DETECTION; PLANT-DISEASE</t>
  </si>
  <si>
    <t xml:space="preserve">With shrinking natural resources and the climate challenges, it is foreseen that there will be an imminent stress in agricultural outputs. Deep learning provides immense possibilities in allowing computational models to learn representation of data generated for precise application of agricultural inputs and the smart management of outputs. This will go a long way in addressing the global food security concerns. Present study demonstrates the discriminative and predictive power of state-of-the-art deep learning approaches that have been successfully applied to the various facets of engineering in agriculture; ranging from estimation of soil moisture, water stress determination, disease detection, weed identification, agro-produce quality evaluation and more. Realization of these approaches will preclude human judgment by the underlying iterations of deep learning framework resulting in an increased precision and universality. Broader acceptance and applicability of deep learning would require inclusion of ground-truth datasets and should feature integration of mechanisms for fusion of data from multiple provenances; thus making the models robust and field worthy.</t>
  </si>
  <si>
    <t xml:space="preserve">[Tiwari, Mukesh Kumar] Anand Agr Engn, Coll Agr Engn &amp; Technol, Godhara, Gujarat, India; [Rajwade, Yogesh A.; Subeesh, A.] ICAR Cent Inst Agr Engn, Bhopal, Madhya Pradesh, India; [Chakraborty, Subir Kumar] ICAR Cent Inst Agr Engn, Agro Produce Proc Div, Bhopal, India; [Chandel, Narendra Singh; Jat, Dilip] ICAR Cent Inst Agr Engn, Agr Mechanizat Div, Bhopal, India</t>
  </si>
  <si>
    <t xml:space="preserve">Indian Council of Agricultural Research (ICAR); ICAR - Central Institute of Agricultural Engineering; Indian Council of Agricultural Research (ICAR); ICAR - Central Institute of Agricultural Engineering; Indian Council of Agricultural Research (ICAR); ICAR - Central Institute of Agricultural Engineering</t>
  </si>
  <si>
    <t xml:space="preserve">Chakraborty, SK (corresponding author), ICAR Cent Inst Agr Engn, Agro Produce Proc Div, Bhopal, India.;Chandel, NS; Jat, D (corresponding author), ICAR Cent Inst Agr Engn, Agr Mechanizat Div, Bhopal, India.</t>
  </si>
  <si>
    <t xml:space="preserve">subir.kumar@icar.gov.in; Narendra.Chandel@icar.gov.in; dilip.jat@icar.gov.in</t>
  </si>
  <si>
    <t xml:space="preserve">A, Subeesh/AFS-6384-2022; Chakraborty, Subir/ABV-2604-2022; Rajwade, Yogesh/HHZ-2768-2022; Bhopal, ICAR-CIAE/AAY-4942-2020; Tiwari, Mukesh/ABC-6603-2021</t>
  </si>
  <si>
    <t xml:space="preserve">Chandel, Narendra/0000-0003-4850-4702; Tiwari, Mukesh/0000-0003-0385-4426; A, Subeesh/0000-0001-6128-3292; Rajwade, Yogesh/0000-0002-1331-9622; Jat, Dilip/0000-0003-1267-6043</t>
  </si>
  <si>
    <t xml:space="preserve">SPRINGER LONDON LTD</t>
  </si>
  <si>
    <t xml:space="preserve">236 GRAYS INN RD, 6TH FLOOR, LONDON WC1X 8HL, ENGLAND</t>
  </si>
  <si>
    <t xml:space="preserve">0941-0643</t>
  </si>
  <si>
    <t xml:space="preserve">1433-3058</t>
  </si>
  <si>
    <t xml:space="preserve">NEURAL COMPUT APPL</t>
  </si>
  <si>
    <t xml:space="preserve">Neural Comput. Appl.</t>
  </si>
  <si>
    <t xml:space="preserve">10.1007/s00521-022-07744-x</t>
  </si>
  <si>
    <t xml:space="preserve">5Z3BD</t>
  </si>
  <si>
    <t xml:space="preserve">WOS:000854734900003</t>
  </si>
  <si>
    <t xml:space="preserve">Wang, C; Jiang, SJ; Zheng, Y; Han, F; Kumar, R; Rakovec, O; Li, SQ</t>
  </si>
  <si>
    <t xml:space="preserve">Wang, Chao; Jiang, Shijie; Zheng, Yi; Han, Feng; Kumar, Rohini; Rakovec, Oldrich; Li, Siqi</t>
  </si>
  <si>
    <t xml:space="preserve">Distributed Hydrological Modeling With Physics-Encoded Deep Learning: A General Framework and Its Application in the Amazon</t>
  </si>
  <si>
    <t xml:space="preserve">deep learning; distributed hydrological model; artificial intelligence; Amazon; GRACE; machine learning</t>
  </si>
  <si>
    <t xml:space="preserve">EVAPOTRANSPIRATION; EVAPORATION; TRENDS; SEASONALITY; REANALYSIS; CHALLENGES; ERROR; FLUX</t>
  </si>
  <si>
    <t xml:space="preserve">While deep learning (DL) models exhibit superior simulation accuracy over traditional distributed hydrological models (DHMs), their main limitations lie in opacity and the absence of underlying physical mechanisms. The pursuit of synergies between DL and DHMs is an engaging research domain, yet a definitive roadmap remains elusive. In this study, a novel framework that seamlessly integrates a process-based hydrological model encoded as a neural network (NN), an additional NN for mapping spatially distributed and physically meaningful parameters from watershed attributes, and NN-based replacement models representing inadequately understood processes is developed. Multi-source observations are used as training data, and the framework is fully differentiable, enabling fast parameter tuning by backpropagation. A hybrid DL model of the Amazon Basin (similar to 6 x 106 km2) was established based on the framework, and HydroPy, a global-scale DHM, was encoded as its physical backbone. Trained simultaneously with streamflow observations and Gravity Recovery and Climate Experiment satellite data, the hybrid model yielded median Nash-Sutcliffe efficiencies of 0.83 and 0.77 for dynamic and distributed simulations of streamflow and total water storage, respectively, 41% and 35% higher than those of the original HydroPy model. Replacing the original Penman-Monteith formulation in HydroPy with a replacement NN produces more plausible potential evapotranspiration (PET) estimates, and unravels the spatial pattern of PET in this giant basin. The NN used for parameterization was interpreted to identify the factors controlling the spatial variability in key parameters. Overall, this study lays out a feasible technical roadmap for distributed hydrological modeling in the big data era. A fully differentiable framework that seamlessly integrates physics and deep learning was developed for distributed hydrological modeling The framework flexibly fuses multi-source observations and improves the efficiency and accuracy of large-scale hydrological modeling The hybrid model for the Amazon Basin exhibits excellent fidelity and physical plausibility and provides insights into the ET process</t>
  </si>
  <si>
    <t xml:space="preserve">[Wang, Chao; Zheng, Yi; Han, Feng; Li, Siqi] Southern Univ Sci &amp; Technol, Sch Environm Sci &amp; Engn, Shenzhen, Peoples R China; [Jiang, Shijie] Max Planck Inst Biogeochem, Dept Biogeochem Integrat, Jena, Germany; [Jiang, Shijie] ELLIS Unit Jena, Jena, Germany; [Jiang, Shijie; Kumar, Rohini; Rakovec, Oldrich] UFZ Helmholtz Ctr Environm Res, Dept Computat Hydrosyst, Leipzig, Germany; [Zheng, Yi; Han, Feng] Southern Univ Sci &amp; Technol, Shenzhen Municipal Engn Lab Environm IoT Technol, Shenzhen, Peoples R China; [Zheng, Yi] Southern Univ Sci &amp; Technol, State Environm Protect Key Lab Integrated Surface, Shenzhen, Peoples R China</t>
  </si>
  <si>
    <t xml:space="preserve">Southern University of Science &amp; Technology; Max Planck Society; Helmholtz Association; Helmholtz Center for Environmental Research (UFZ); Southern University of Science &amp; Technology; Southern University of Science &amp; Technology</t>
  </si>
  <si>
    <t xml:space="preserve">Zheng, Y (corresponding author), Southern Univ Sci &amp; Technol, Sch Environm Sci &amp; Engn, Shenzhen, Peoples R China.;Zheng, Y (corresponding author), Southern Univ Sci &amp; Technol, Shenzhen Municipal Engn Lab Environm IoT Technol, Shenzhen, Peoples R China.;Zheng, Y (corresponding author), Southern Univ Sci &amp; Technol, State Environm Protect Key Lab Integrated Surface, Shenzhen, Peoples R China.</t>
  </si>
  <si>
    <t xml:space="preserve">zhengy@sustech.edu.cn</t>
  </si>
  <si>
    <t xml:space="preserve">Han, Feng/AAX-3761-2021; Li, Siqi/JWQ-0742-2024; Zheng, Yi/B-1333-2012; Kumar, Rohini/B-2299-2013; Jiang, Shijie/AAP-9862-2020; Rakovec, Oldrich/N-5512-2015</t>
  </si>
  <si>
    <t xml:space="preserve">Rakovec, Oldrich/0000-0003-2451-3305; Jiang, Shijie/0000-0002-2808-9559; Zheng, Yi/0000-0001-8442-182X</t>
  </si>
  <si>
    <t xml:space="preserve">National Natural Science Foundation of China; Center for Computational Science and Engineering at Southern University of Science and Technology; Carl Zeiss Foundation; [42325702]; [92047302]</t>
  </si>
  <si>
    <t xml:space="preserve">National Natural Science Foundation of China(National Natural Science Foundation of China (NSFC)); Center for Computational Science and Engineering at Southern University of Science and Technology; Carl Zeiss Foundation; ;</t>
  </si>
  <si>
    <t xml:space="preserve">This work was financially supported by the National Natural Science Foundation of China (42325702 and 92047302). This work was technically supported by the Center for Computational Science and Engineering at Southern University of Science and Technology. Additional support was provided by the Carl Zeiss Foundation (Junior Research Group Knowledge integration for spatio-temporal environmental modeling).</t>
  </si>
  <si>
    <t xml:space="preserve">e2023WR036170</t>
  </si>
  <si>
    <t xml:space="preserve">10.1029/2023WR036170</t>
  </si>
  <si>
    <t xml:space="preserve">NK9K8</t>
  </si>
  <si>
    <t xml:space="preserve">WOS:001200464900001</t>
  </si>
  <si>
    <t xml:space="preserve">Zhou, ZG; Zhao, L; Lin, AW; Qin, WM; Lu, YB; Li, JY; Zhong, Y; He, LJ</t>
  </si>
  <si>
    <t xml:space="preserve">Zhou, Zhigao; Zhao, Lin; Lin, Aiwen; Qin, Wenmin; Lu, Yunbo; Li, Jingyi; Zhong, Yang; He, Lijie</t>
  </si>
  <si>
    <t xml:space="preserve">Exploring the potential of deep factorization machine and various gradient boosting models in modeling daily reference evapotranspiration in China</t>
  </si>
  <si>
    <t xml:space="preserve">ARABIAN JOURNAL OF GEOSCIENCES</t>
  </si>
  <si>
    <t xml:space="preserve">Reference evapotranspiration; Deep factorization machine; Gradient boosting models; Prediction accuracy; Model stability</t>
  </si>
  <si>
    <t xml:space="preserve">SUPPORT-VECTOR-MACHINE; EXTREME LEARNING-MACHINE; GLOBAL SOLAR-RADIATION; LIMITED CLIMATIC DATA; NEURAL-NETWORKS; EMPIRICAL EQUATIONS; PREDICTION; EVAPORATION; TREE; TRENDS</t>
  </si>
  <si>
    <t xml:space="preserve">Reference evapotranspiration (ETo) data are the great important information for the irrigation scheduling design and regional water resources planning. This study evaluated the potential of a newly proposed artificial intelligence (i.e., DeepFM) and three newly developed gradient boosting models (i.e., CatBoost, LightGBM, and XGBoost) for estimating daily ETo using limited meteorological parameters in contrasting climates of China. The three commonly used tree-based models (i.e., GBDT, RF, and ET) and one kernel-based model (i.e., SVM-RBF) were also assessed for comparison. Eight various input combinations of meteorological parameters (temperature, humidity, wind speed, and sunshine duration) from twelve stations during 1961-2016 in contrasting climates of China were employed for model training and testing. The results showed that all models (except ET) could obtain satisfactory prediction accuracy (R2 &gt;= 0.9906, RMSE &lt;= 0.1773 mm d-1, and MAE &lt;= 0.1226 mm d-1) for ETo estimation in contrasting climates of China when complete meteorological parameters were input. Moreover, all models can be sorted from the best to the poorest as follows based on the model accuracy: CatBoost &gt; LightGBM &gt; XGboost &gt; GBDT &gt; SVM-RBF &gt; DeepFM &gt; RF &gt; ET; regarding their stability, the eight algorithms can be ranked from the best to the poorest as follows: ET &gt; SVM-RBF &gt; DeepFM &gt; CatBoost &gt; XGboost &gt; GBDT &gt; LightGBM &gt; RF. Therefore, considering the prediction accuracy and model stability comprehensively, the CatBoost and LightGBM models were highly recommended for predicting daily ETo in this study. The XGBoost and GBDT models were promising alternative models for estimating daily ETo. The DeepFM model also had the potential to estimating daily ETo under single variable combinations. The sunshine duration played a more important role than temperature, humidity, and wind speed in estimating ETo, and it was a promising alternative parameter under the circumstances of lacking global radiation observation.</t>
  </si>
  <si>
    <t xml:space="preserve">[Zhou, Zhigao; Zhao, Lin; Lin, Aiwen; Zhong, Yang] Wuhan Univ, Sch Resource &amp; Environm Sci, Wuhan 430079, Peoples R China; [Qin, Wenmin; Lu, Yunbo] China Univ Geosci, Sch Earth Sci, Lab Crit Zone Evolut, Wuhan 430074, Peoples R China; [Li, Jingyi] Capital Univ Econ &amp; Business, Sch Stat, Beijing 100026, Peoples R China; [He, Lijie] Chinese Univ Hong Kong, Dept Geog &amp; Resource Management, Shatin, Hong Kong 999077, Peoples R China</t>
  </si>
  <si>
    <t xml:space="preserve">Wuhan University; China University of Geosciences; Capital University of Economics &amp; Business; Chinese University of Hong Kong</t>
  </si>
  <si>
    <t xml:space="preserve">Zhou, ZG (corresponding author), Wuhan Univ, Sch Resource &amp; Environm Sci, Wuhan 430079, Peoples R China.</t>
  </si>
  <si>
    <t xml:space="preserve">leehong@whu.edu.cn</t>
  </si>
  <si>
    <t xml:space="preserve">Lin, Zhao/IZP-8706-2023; Li, Jingyi/AAK-4339-2020</t>
  </si>
  <si>
    <t xml:space="preserve">Zhou, Zhigao/0000-0001-5143-101X</t>
  </si>
  <si>
    <t xml:space="preserve">National Social Science Foundation of China [18ZDA040]</t>
  </si>
  <si>
    <t xml:space="preserve">National Social Science Foundation of China(National Office of Philosophy and Social Sciences)</t>
  </si>
  <si>
    <t xml:space="preserve">This work was financially supported by the National Social Science Foundation of China (No. 18ZDA040).</t>
  </si>
  <si>
    <t xml:space="preserve">1866-7511</t>
  </si>
  <si>
    <t xml:space="preserve">1866-7538</t>
  </si>
  <si>
    <t xml:space="preserve">ARAB J GEOSCI</t>
  </si>
  <si>
    <t xml:space="preserve">Arab. J. Geosci.</t>
  </si>
  <si>
    <t xml:space="preserve">10.1007/s12517-020-06293-8</t>
  </si>
  <si>
    <t xml:space="preserve">Geosciences, Multidisciplinary</t>
  </si>
  <si>
    <t xml:space="preserve">Geology</t>
  </si>
  <si>
    <t xml:space="preserve">PQ4DT</t>
  </si>
  <si>
    <t xml:space="preserve">WOS:000606496500009</t>
  </si>
  <si>
    <t xml:space="preserve">Li, L; Dai, YJ; Wei, ZW; Shangguan, W; Zhang, YG; Wei, N; Li, QL</t>
  </si>
  <si>
    <t xml:space="preserve">Li, Lu; Dai, Yongjiu; Wei, Zhongwang; Shangguan, Wei; Zhang, Yonggen; Wei, Nan; Li, Qingliang</t>
  </si>
  <si>
    <t xml:space="preserve">Enforcing Water Balance in Multitask Deep Learning Models for Hydrological Forecasting</t>
  </si>
  <si>
    <t xml:space="preserve">JOURNAL OF HYDROMETEOROLOGY</t>
  </si>
  <si>
    <t xml:space="preserve">Forecasting techniques; Artificial intelligence; Deep learning; Neural networks; Regression</t>
  </si>
  <si>
    <t xml:space="preserve">Accurate prediction of hydrological variables (HVs) is critical for understanding hydrological processes. Deep learning (DL) models have shown excellent forecasting abilities for different HVs. However, most DL models typically predicted HVs independently, without satisfying the principle of water balance. This missed the interactions between different HVs in the hydrological system and the underlying physical rules. In this study, we developed a DL model based on multitask learning and hybrid physically constrained schemes to simultaneously forecast soil moisture, evapotranspiration, and runoff. The models were trained using ERA5-Land data, which have water budget closure. We thoroughly assessed the advantages of the multitask framework and the proposed constrained schemes. Results showed that multitask models with different loss-weighted strategies produced comparable or better performance compared to the single-task model. The multitask model with a scaling factor of 5 achieved the best among all multitask models and performed better than the single-task model over 70.5% of grids. In addition, the hybrid constrained scheme took advantage of both soft and hard constrained models, providing physically consistent predictions with better model performance. The hybrid con-strained models performed the best among different constrained models in terms of both general and extreme performance. Moreover, the hybrid model was affected the least as the training data were artificially reduced, and provided better spatiotemporal extrapolation ability under different artificial prediction challenges. These findings suggest that the hybrid model provides better performance compared to previously reported constrained models when facing limited training data and extrapolation challenges.</t>
  </si>
  <si>
    <t xml:space="preserve">[Li, Lu; Dai, Yongjiu; Wei, Zhongwang; Shangguan, Wei; Wei, Nan] Sun Yat Sen Univ, Sch Atmospher Sci, Guangzhou, Guangdong, Peoples R China; [Li, Lu; Dai, Yongjiu; Wei, Zhongwang; Shangguan, Wei; Wei, Nan] Southern Marine Sci &amp; Engn Guangdong Lab Zhuhai, Zhuhai, Peoples R China; [Li, Lu; Dai, Yongjiu; Wei, Zhongwang; Shangguan, Wei; Wei, Nan] Guangdong Prov Key Lab Climate Change &amp; Nat Disast, Zhuhai, Guangdong, Peoples R China; [Zhang, Yonggen] Tianjin Univ, Inst Surface Earth Syst Sci, Sch Earth Syst Sci, Tianjin, Peoples R China; [Li, Qingliang] Changchun Normal Univ, Coll Comp Sci &amp; Technol, Changchun, Peoples R China</t>
  </si>
  <si>
    <t xml:space="preserve">Sun Yat Sen University; Southern Marine Science &amp; Engineering Guangdong Laboratory; Southern Marine Science &amp; Engineering Guangdong Laboratory (Zhuhai); Tianjin University; Changchun Normal University</t>
  </si>
  <si>
    <t xml:space="preserve">Dai, YJ (corresponding author), Sun Yat Sen Univ, Sch Atmospher Sci, Guangzhou, Guangdong, Peoples R China.;Dai, YJ (corresponding author), Southern Marine Sci &amp; Engn Guangdong Lab Zhuhai, Zhuhai, Peoples R China.;Dai, YJ (corresponding author), Guangdong Prov Key Lab Climate Change &amp; Nat Disast, Zhuhai, Guangdong, Peoples R China.</t>
  </si>
  <si>
    <t xml:space="preserve">daiyj6@mail.sysu.edu.cn</t>
  </si>
  <si>
    <t xml:space="preserve">Qingiang, Li/KCM-1112-2024; Wei, Zhongwang/K-2719-2016; Zhang, Yonggen/X-7537-2019</t>
  </si>
  <si>
    <t xml:space="preserve">Natural Science Foundation of China [41975122, 42205149, 42075158]; National Natural Science Foundation of Tianjin [42088101]; [20JCQNJC01660]</t>
  </si>
  <si>
    <t xml:space="preserve">Natural Science Foundation of China(National Natural Science Foundation of China (NSFC)); National Natural Science Foundation of Tianjin;</t>
  </si>
  <si>
    <t xml:space="preserve">L. Li was supported by the Natural Science Foundation of China under Grants 42088101 and 42205149. Z. Wei was supported by the Natural Science Foundation of China under Grant 42075158. W. Shangguan was supported by the Natural Science Foundation of China under Grant 41975122. Y. Zhang was supported by the National Natural Science Foundation of Tianjin (Grant 20JCQNJC01660) . Codes, training data, and trained models used to reproduce the results are available at https://github.com /leelew/PHydro and https://zenodo.org/record/7297538#.ZBAXOS-KFUc.</t>
  </si>
  <si>
    <t xml:space="preserve">AMER METEOROLOGICAL SOC</t>
  </si>
  <si>
    <t xml:space="preserve">BOSTON</t>
  </si>
  <si>
    <t xml:space="preserve">45 BEACON ST, BOSTON, MA 02108-3693, UNITED STATES</t>
  </si>
  <si>
    <t xml:space="preserve">1525-755X</t>
  </si>
  <si>
    <t xml:space="preserve">1525-7541</t>
  </si>
  <si>
    <t xml:space="preserve">J HYDROMETEOROL</t>
  </si>
  <si>
    <t xml:space="preserve">J. Hydrometeorol.</t>
  </si>
  <si>
    <t xml:space="preserve">10.1175/JHM-D-23-0073.1</t>
  </si>
  <si>
    <t xml:space="preserve">DG6D5</t>
  </si>
  <si>
    <t xml:space="preserve">WOS:001130905500001</t>
  </si>
  <si>
    <t xml:space="preserve">Zou, H; Marshall, L; Sharma, A; Jian, J; Stephens, C; Higgins, P</t>
  </si>
  <si>
    <t xml:space="preserve">Zou, Hui; Marshall, Lucy; Sharma, Ashish; Jian, Jie; Stephens, Clare; Higgins, Philippa</t>
  </si>
  <si>
    <t xml:space="preserve">Modelling vegetation dynamics for future climates in Australian catchments: Comparison of a conceptual eco-hydrological modelling approach with a deep learning alternative</t>
  </si>
  <si>
    <t xml:space="preserve">ENVIRONMENTAL MODELLING &amp; SOFTWARE</t>
  </si>
  <si>
    <t xml:space="preserve">Leaf area index; Modelling; Deep learning; Climate change; Australia</t>
  </si>
  <si>
    <t xml:space="preserve">LEAF-AREA INDEX; MULTIOBJECTIVE ASSESSMENT; CARBON; LAI; PRODUCTS; RAINFALL; FOREST; WATER</t>
  </si>
  <si>
    <t xml:space="preserve">Dynamically simulating leaf area index assists in modelling the feedbacks between eco-hydrologic and climatic processes. The particular challenge for Australia is the prevalence of arid and semi-arid ecosystems where water availability plays a crucial role in vegetation productivity. To understand whether existing LAI models can capture plant dynamics under changing climates, we tested two competing models across Australia's different climate zones: a conceptual eco-hydrologic model that applies water use efficiency term to relate LAI to water uptake, and a deep learning approach. An initial virtual catchment experiment with deep learning showed that it only uses information from potential evapotranspiration. For future climates, the conceptual model captured a negative trend and increasing variance in LAI, which is plausible given projected rainfall changes, while deep learning did not. Our study demonstrated an example of 'right answer for the wrong reasons', and the importance of incorporating knowledge of water-carbon coupling for appropriate scenarios.</t>
  </si>
  <si>
    <t xml:space="preserve">[Zou, Hui; Marshall, Lucy; Sharma, Ashish; Jian, Jie; Higgins, Philippa] UNSW Sydney, Water Res Ctr, Sch Civil &amp; Environm Engn, Sydney, NSW, Australia; [Marshall, Lucy] Macquarie Univ, Fac Sci &amp; Engn, Sydney, NSW, Australia; [Stephens, Clare] Western Sydney Univ, Hawkesbury Inst Environm, Richmond, NSW, Australia</t>
  </si>
  <si>
    <t xml:space="preserve">University of New South Wales Sydney; Macquarie University; Western Sydney University</t>
  </si>
  <si>
    <t xml:space="preserve">Zou, H (corresponding author), UNSW Sydney, Water Res Ctr, Sch Civil &amp; Environm Engn, Sydney, NSW, Australia.</t>
  </si>
  <si>
    <t xml:space="preserve">Hui.zou@unsw.edu.au</t>
  </si>
  <si>
    <t xml:space="preserve">sharma, ashish/KQV-0194-2024; Higgins, Paul/G-8079-2011</t>
  </si>
  <si>
    <t xml:space="preserve">ZOU, HUI/0000-0002-3126-0150; Marshall, Lucy/0000-0003-0450-4292</t>
  </si>
  <si>
    <t xml:space="preserve">UNSW Australian Government Research Training Program Scholarship (RTP)</t>
  </si>
  <si>
    <t xml:space="preserve">This research was supported by UNSW Australian Government Research Training Program Scholarship (RTP) .</t>
  </si>
  <si>
    <t xml:space="preserve">1364-8152</t>
  </si>
  <si>
    <t xml:space="preserve">1873-6726</t>
  </si>
  <si>
    <t xml:space="preserve">ENVIRON MODELL SOFTW</t>
  </si>
  <si>
    <t xml:space="preserve">Environ. Modell. Softw.</t>
  </si>
  <si>
    <t xml:space="preserve">10.1016/j.envsoft.2024.106179</t>
  </si>
  <si>
    <t xml:space="preserve">Computer Science, Interdisciplinary Applications; Engineering, Environmental; Environmental Sciences; Water Resources</t>
  </si>
  <si>
    <t xml:space="preserve">E2U9B</t>
  </si>
  <si>
    <t xml:space="preserve">WOS:001301612900001</t>
  </si>
  <si>
    <t xml:space="preserve">Bennett, A; Nijssen, B</t>
  </si>
  <si>
    <t xml:space="preserve">Bennett, Andrew; Nijssen, Bart</t>
  </si>
  <si>
    <t xml:space="preserve">Deep Learned Process Parameterizations Provide Better Representations of Turbulent Heat Fluxes in Hydrologic Models</t>
  </si>
  <si>
    <t xml:space="preserve">deep learning; evapotranspiration; FluxNet; hydrologic modeling; neural networks; turbulent heat</t>
  </si>
  <si>
    <t xml:space="preserve">ENERGY-BALANCE CLOSURE; DIURNAL CYCLE</t>
  </si>
  <si>
    <t xml:space="preserve">Deep learning (DL) methods have shown great promise for accurately predicting hydrologic processes but have not yet reached the complexity of traditional process-based hydrologic models (PBHM) in terms of representing the entire hydrologic cycle. The ability of PBHMs to simulate the hydrologic cycle makes them useful for a wide range of modeling and simulation tasks, for which DL methods have not yet been adapted. We argue that we can take advantage of each of these approaches by embedding DL methods into PBHMs to represent individual processes. We demonstrate that this is viable by developing DL-based representations of turbulent heat fluxes and coupling them into the Structure for Unifying Multiple Modeling Alternatives (SUMMA), a modular PBHM modeling framework. We developed two DL parameterizations and integrated them into SUMMA, resulting in a one-way coupled implementation which relies only on model inputs and a two-way coupled implementation, which also incorporates SUMMA-derived model states. Our results demonstrate that the DL parameterizations are able to outperform calibrated standalone SUMMA benchmark simulations. Further we demonstrate that the two-way coupling can simulate the long-term latent heat flux better than the standalone benchmark and one-way coupled configuration. This shows that DL methods can benefit from PBHM information, and the synergy between these modeling approaches is superior to either approach individually.</t>
  </si>
  <si>
    <t xml:space="preserve">[Bennett, Andrew; Nijssen, Bart] Univ Washington, Dept Civil &amp; Environm Engn, Seattle, WA 98195 USA</t>
  </si>
  <si>
    <t xml:space="preserve">University of Washington; University of Washington Seattle</t>
  </si>
  <si>
    <t xml:space="preserve">Bennett, A (corresponding author), Univ Washington, Dept Civil &amp; Environm Engn, Seattle, WA 98195 USA.</t>
  </si>
  <si>
    <t xml:space="preserve">andrbenn@uw.edu</t>
  </si>
  <si>
    <t xml:space="preserve">Bennett, Andrew/AAV-3448-2020; Nijssen, Bart/B-1013-2012</t>
  </si>
  <si>
    <t xml:space="preserve">Bennett, Andrew/0000-0002-7742-3138; Nijssen, Bart/0000-0002-4062-0322</t>
  </si>
  <si>
    <t xml:space="preserve">National Science Foundation</t>
  </si>
  <si>
    <t xml:space="preserve">National Science Foundation(National Science Foundation (NSF))</t>
  </si>
  <si>
    <t xml:space="preserve">The authors would like to thank Yifan Cheng and Yixin Mao for reading and commenting on an early version of this manuscript. Additionally, the authors would like to thank Marvin Hoge and two anonymous reviewers for their constructive feedback. Their comments improved the clarity and framing of our work. The authors would like to acknowledge high-performance computing support from Cheyenne (https://doi.org/10.5065/D6RX99HX) provided by NCAR's Computational and Information Systems Laboratory, sponsored by the National Science Foundation.</t>
  </si>
  <si>
    <t xml:space="preserve">e2020WR029328</t>
  </si>
  <si>
    <t xml:space="preserve">10.1029/2020WR029328</t>
  </si>
  <si>
    <t xml:space="preserve">SH9QG</t>
  </si>
  <si>
    <t xml:space="preserve">Green Submitted</t>
  </si>
  <si>
    <t xml:space="preserve">WOS:000654464300053</t>
  </si>
  <si>
    <t xml:space="preserve">Chen, H; Zhou, ZQ; Li, H; Wei, YZ; Huang, JH; Liang, H; Wang, WM</t>
  </si>
  <si>
    <t xml:space="preserve">Chen, Han; Zhou, Ziqi; Li, Han; Wei, Yizhao; Huang, Jinhui (Jeanne); Liang, Hong; Wang, Weimin</t>
  </si>
  <si>
    <t xml:space="preserve">Evaluation the Performance of Three Types of Two-Source Evapotranspiration Models in Urban Woodland Areas</t>
  </si>
  <si>
    <t xml:space="preserve">urban evapotranspiration; Shuttleworth-Wallace; FAO dual-K-c; deep neural network; urban woodland; two-source evapotranspiration model</t>
  </si>
  <si>
    <t xml:space="preserve">EXTREME LEARNING-MACHINE; NEURAL-NETWORK; TRANSPIRATION; HEAT; SOIL; EVAPORATION; YIELD; MODIS</t>
  </si>
  <si>
    <t xml:space="preserve">The determination of the evapotranspiration (ET) and its components in urban woodlands is crucial to mitigate the urban heat island effect and improve sustainable urban development. However, accurately estimating ET in urban areas is more difficult and challenging due to the heterogeneity of the underlying surface and the impact of human activities. In this study, we compared the performance of three types of classic two-source ET models on urban woodlands in Shenzhen, China. The three ET models include a pure physical and process-based ET model (Shuttleworth-Wallace model), a semi-empirical and physical process-based ET model (FAO dual-K-c model), and a purely statistical and process-based ET model (deep neural network). The performance of the three models was validated using an eddy correlation and stable hydrogen and oxygen isotope observations. The verification results suggested that the Shuttleworth-Wallace model achieved the best performance in the ET simulation at main urban area site (coefficient of determination (R-2) of 0.75). The FAO-56 dual K-c model performed best in the ET simulation at the suburb area site (R-2 of 0.77). The deep neural network could better capture the nonlinear relationship between ET and various environmental variables and achieved the best simulation performance in both of the main urban and suburb sites (R-2 of 0.73 for the main urban and suburb sites, respectively). A correlation analysis showed that the simulation of urban ET is most sensitive to temperature and least sensitive to wind speed. This study further analyzed the causes for the varying performance of the three classic ET models from the model mechanism. The results of the study are of great significance for urban temperature cooling and sustainable urban development.</t>
  </si>
  <si>
    <t xml:space="preserve">[Chen, Han; Zhou, Ziqi; Li, Han; Wei, Yizhao; Huang, Jinhui (Jeanne)] Nankai Univ, Coll Environm Sci &amp; Engn, Sino Canada Joint R&amp;D Ctr Water &amp; Environm Safety, Tianjin 300071, Peoples R China; [Liang, Hong; Wang, Weimin] Natl Observat &amp; Res Stn, Guangdong Change &amp; Comprehens Treatment Reg Ecol &amp;, Shenzhen 518049, Guangdong, Peoples R China; [Liang, Hong; Wang, Weimin] State Environm Protect Sci Observat &amp; Res Stn Ecol, Shenzhen 518049, Peoples R China; [Liang, Hong; Wang, Weimin] Shenzhen Ecol &amp; Environm Monitoring Ctr Guangdong, Shenzhen 518049, Peoples R China</t>
  </si>
  <si>
    <t xml:space="preserve">Nankai University</t>
  </si>
  <si>
    <t xml:space="preserve">Huang, JH (corresponding author), Nankai Univ, Coll Environm Sci &amp; Engn, Sino Canada Joint R&amp;D Ctr Water &amp; Environm Safety, Tianjin 300071, Peoples R China.</t>
  </si>
  <si>
    <t xml:space="preserve">9820210005@nankai.edu.cn; 2120210775@mail.nankai.edu.cn; lihan0220@mail.nankai.edu.cn; weiyizhao@mail.nankai.edu.cn; huangj@nankai.edu.cn; 13600192670@139.com; towmwang@163.com</t>
  </si>
  <si>
    <t xml:space="preserve">Huang, Jinhui Jeanne/0000-0002-5268-1747</t>
  </si>
  <si>
    <t xml:space="preserve">National Key Research and Development Program; Shenzhen Ecological and Environmental Monitoring Center Station Program [JCYJ20210324120807021]; Guangdong Province Shenzhen Science and Technology Innovation Project [42101033]; National Natural Science Foundation of China [2021YFC3200400]; National Key Ramp;D Program of China [2021M691672]; China Postdoctoral Science Foundation [2022YFF1301101]; [20230601]</t>
  </si>
  <si>
    <t xml:space="preserve">National Key Research and Development Program(National Key Research &amp; Development Program of China); Shenzhen Ecological and Environmental Monitoring Center Station Program; Guangdong Province Shenzhen Science and Technology Innovation Project; National Natural Science Foundation of China(National Natural Science Foundation of China (NSFC)); National Key Ramp;D Program of China; China Postdoctoral Science Foundation(China Postdoctoral Science Foundation);</t>
  </si>
  <si>
    <t xml:space="preserve">The authors acknowledge the financial support from the National Key Research and Development Program under the grant number No.-2022YFF1301101, Shenzhen Ecological and Environmental Monitoring Center Station Program under the grant number 20230601, Guangdong Province Shenzhen Science and Technology Innovation Project under the grant number JCYJ20210324120807021, National Natural Science Foundation of China under the grant number 42101033, National Key R &amp; D Program of China under the grant number 2021YFC3200400 and China Postdoctoral Science Foundation under the grant number 2021M691672.</t>
  </si>
  <si>
    <t xml:space="preserve">10.3390/su15129826</t>
  </si>
  <si>
    <t xml:space="preserve">K6TQ4</t>
  </si>
  <si>
    <t xml:space="preserve">WOS:001017748900001</t>
  </si>
  <si>
    <t xml:space="preserve">Yalçin, S; Esit, M; Çoban, Ö</t>
  </si>
  <si>
    <t xml:space="preserve">Yalcin, Sercan; Esit, Musa; Coban, Onder</t>
  </si>
  <si>
    <t xml:space="preserve">A new deep learning method for meteorological drought estimation based-on standard precipitation evapotranspiration index</t>
  </si>
  <si>
    <t xml:space="preserve">Artificial intelligence; Long term short memory; Convolutional neural network; Drought parameter estimation</t>
  </si>
  <si>
    <t xml:space="preserve">RIVER-BASIN; TIME-SERIES; PREDICTION; REGRESSION; MODEL; SPEI; TRENDS; TESTS</t>
  </si>
  <si>
    <t xml:space="preserve">In this study, we studied drought parameter estimation based on the standard precipitation evapotranspiration index (SPEI), for four stations located at different places in Turkiye. We proposed a new hybrid deep structure of convolutional neural network (CNN) and long short-term memory (LSTM) methods and compared it with several other existing methods. Our extensive experimental results obtained in different cases of the station, time scale, and estimator show that better estimation results are often obtained with 12-month time scale for all methods. For instance using SPEI-9 values for Sanliurfa station, the CNN method achieves 0.57 RMSE, 0.24 MADE, 0.11 MAE, and 99.38% R2, whereas the proposed adaptive CNN-LSTM obtains values of 0.42, 0.18, 0.04, and 99.69% for the same metrics, respectively. Also, using SPEI-6 values for Mardin station, the bidirectional-LSTM method achieves 0.72 RMSE, 0.35 MADE, 0.22 MAE, and 98.94% R2, while the proposed adaptive CNN-LSTM obtains values of 0.32, 0.12, 0.02, and 99.53%, respectively In this means, the proposed method is superior to existing methods in all cases in terms of almost all performance metrics. It is also robust to changes in given input time series data coming from different stations. We also investigated the percentage occurrence of drought categories at different time scales. The results of this analysis also show that the highest percentages are seen in the wet category for all stations. The percentages occurrence of drought wet category are 48.3, 50.07, 50.14, and 50.79 at SPEI-3, SPEI-6, SPEI-9, and SPEI-12 time scales, respectively.</t>
  </si>
  <si>
    <t xml:space="preserve">[Yalcin, Sercan] Adiyaman Univ, Dept Comp Engn, Adiyaman, Turkiye; [Esit, Musa] Adiyaman Univ, Dept Civil Engn, Adiyaman, Turkiye; [Coban, Onder] Ataturk Univ, Dept Comp Engn, Erzurum, Turkiye</t>
  </si>
  <si>
    <t xml:space="preserve">Adiyaman University; Adiyaman University; Ataturk University</t>
  </si>
  <si>
    <t xml:space="preserve">Yalçin, S (corresponding author), Adiyaman Univ, Dept Comp Engn, TR-02040 Adiyaman, Turkiye.</t>
  </si>
  <si>
    <t xml:space="preserve">svancin@adiyaman.edu.tr</t>
  </si>
  <si>
    <t xml:space="preserve">YALÇIN, Sercan/ABY-1527-2022; Coban, Onder/AAY-9700-2021; Eşit, Musa/AEX-9189-2022</t>
  </si>
  <si>
    <t xml:space="preserve">10.1016/j.engappai.2023.106550</t>
  </si>
  <si>
    <t xml:space="preserve">L7OP2</t>
  </si>
  <si>
    <t xml:space="preserve">WOS:001025119300001</t>
  </si>
  <si>
    <t xml:space="preserve">Kim, C; Kim, CS</t>
  </si>
  <si>
    <t xml:space="preserve">Kim, Chorong; Kim, Chung-Soo</t>
  </si>
  <si>
    <t xml:space="preserve">Comparison of the performance of a hydrologic model and a deep learning technique for rainfall- runoff analysis</t>
  </si>
  <si>
    <t xml:space="preserve">TROPICAL CYCLONE RESEARCH AND REVIEW</t>
  </si>
  <si>
    <t xml:space="preserve">Rainfall-runoff analysis; LSTM; SWAT; Deep learning</t>
  </si>
  <si>
    <t xml:space="preserve">BASIN; STREAMFLOW</t>
  </si>
  <si>
    <t xml:space="preserve">Rainfall-runoff analysis is the most important and basic analysis in water resources management and planning. Conventional rainfall-runoff analysis methods generally have used hydrologic models. Rainfall-runoff analysis should consider complex interactions in the water cycle process, including precipitation and evapotranspiration. In this study, rainfall-runoff analysis was performed using a deep learning technique that can capture the relationship between a hydrological model used in the existing methodology and the data itself. The study was conducted in the Yeongsan River basin, which forms a large-scale agricultural area even after industrialization, as the study area. As the hydrology model, SWAT (Soil and Water Assessment Tool) was used, and for the deep learning method, a Long Short-Term Memory (LSTM) network was used among RNNs (Recurrent Neural Networks) mainly used in time series analysis. As a result of the analysis, the correlation coefficient and NSE (NashSutcliffe Efficiency), which are performance indicators of the hydrological model, showed higher performance in the LSTM network. In general, the LSTM network performs better with a longer calibration period. In other words, it is worth considering that a data-based model such as an LSTM network will be more useful than a hydrological model that requires a variety of topographical and meteorological data in a watershed with sufficient historical hydrological data. (c) 2022 The Shanghai Typhoon Institute of China Meteorological Administration. Publishing services by Elsevier B.V. on behalf of KeAi Communication Co. Ltd.</t>
  </si>
  <si>
    <t xml:space="preserve">[Kim, Chorong; Kim, Chung-Soo] Korea Inst Civil Engn &amp; Bldg Technol, Dept Hydro Sci &amp; Engn Res, Goyang Si, Gyeonggi Do, South Korea</t>
  </si>
  <si>
    <t xml:space="preserve">Korea Institute of Civil Engineering &amp; Building Technology (KICT)</t>
  </si>
  <si>
    <t xml:space="preserve">Kim, CS (corresponding author), Korea Inst Civil Engn &amp; Bldg Technol, Dept Hydro Sci &amp; Engn Res, Goyang Si, Gyeonggi Do, South Korea.</t>
  </si>
  <si>
    <t xml:space="preserve">alska710@kict.re.kr</t>
  </si>
  <si>
    <t xml:space="preserve">16 DONGHUANGCHENGGEN NORTH ST, BEIJING, DONGCHENG DISTRICT 100717, PEOPLES R CHINA</t>
  </si>
  <si>
    <t xml:space="preserve">2225-6032</t>
  </si>
  <si>
    <t xml:space="preserve">TROP CYCLONE RES REV</t>
  </si>
  <si>
    <t xml:space="preserve">Trop. Cyclone Res. Rev.</t>
  </si>
  <si>
    <t xml:space="preserve">10.1016/j.tcrr.2021.12.001</t>
  </si>
  <si>
    <t xml:space="preserve">YX9DG</t>
  </si>
  <si>
    <t xml:space="preserve">WOS:000754394500003</t>
  </si>
  <si>
    <t xml:space="preserve">Li, Y; Liu, XN; Zhang, XG; Gu, XB; Yu, LY; Cai, HJ; Peng, XB</t>
  </si>
  <si>
    <t xml:space="preserve">Li, Yao; Liu, Xuanang; Zhang, Xuegui; Gu, Xiaobo; Yu, Lianyu; Cai, Huanjie; Peng, Xiongbiao</t>
  </si>
  <si>
    <t xml:space="preserve">Using solar-induced chlorophyll fluorescence to predict winter wheat actual evapotranspiration through machine learning and deep learning methods</t>
  </si>
  <si>
    <t xml:space="preserve">Remote Sensing; Crop Water Use Efficiency; Data-Driven Models; Statistical Learning Techniques; Agricultural Irrigation Management; Temporal Data Analysis</t>
  </si>
  <si>
    <t xml:space="preserve">LIMITED CLIMATIC DATA; PENMAN-MONTEITH; MODELS; WATER; SVM; ETO</t>
  </si>
  <si>
    <t xml:space="preserve">As the world's largest wheat producer, accurately and timely predicting the actual evapotranspiration (ET (c_act)) during the growth period of winter wheat is crucial for improving farmland water use efficiency and yield in China. Solar-Induced Chlorophyll Fluorescence (SIF) is a radiative signal emitted during plant photosynthesis, and ET (c_act) is largely influenced by photosynthetic efficiency. Therefore, SIF demonstrates significant potential for predicting ET (c_act) over large spatial scales and long temporal sequences. This study combined meteorological data with two remote sensing variables, Leaf Area Index (LAI) and SIF, to construct four models: Random Forest (RF), Gradient Boosting (GB), Support Vector Regression (SVR) Machine, and Long Short-Term Memory (LSTM) neural networks. These models were applied to predict ET c_act at seven sites across the North China Plain and Guanzhong Plain. The results showed that in the feature importance ranking based on the Maximal Information Coefficient (MIC) method, air temperature (T), LAI, and SIF all had high importance scores (&gt;0.3), making them important features for predicting ET (c_act) . The simulation accuracy and stability of the RF and LSTM models were higher than those of the SVR and GB models. The LSTM model maintained stable simulation accuracy across both strategies and all sites, with an average R-2 of 0.754 and RMSE of 0.831 mm across all simulation scenarios. Incorporating SIF with LAI and meteorological data significantly enhanced the prediction accuracy. Under identical feature counts, feature sets including SIF improved the estimation performance of all models. Compared to the traditional Penman-Monteith equation, the LSTM model demonstrated higher accuracy in simulating ET (c_act)values of winter wheat, reducing the daily average ET (c_act) difference across all sites by 0.141 and increasing R-2 by 0.082. The results can provide important references for accurate prediction of ET (c_act) and the development of reasonable irrigation schemes in major winter wheat production areas.</t>
  </si>
  <si>
    <t xml:space="preserve">[Li, Yao; Liu, Xuanang; Zhang, Xuegui; Gu, Xiaobo; Yu, Lianyu; Cai, Huanjie] Northwest AF Univ, Key Lab Agr Soil &amp; Water Engn Arid Semiarid Areas, Minist Educ, Yangling 712100, Shaanxi, Peoples R China; [Li, Yao; Liu, Xuanang; Zhang, Xuegui; Gu, Xiaobo; Yu, Lianyu; Cai, Huanjie] Northwest AF Univ, Coll Water Resources &amp; Architectural Engn, Yangling 712100, Shaanxi, Peoples R China; [Cai, Huanjie] Northwest AF Univ, Inst Water Saving Agr Arid Areas China, Yangling 712100, Shaanxi, Peoples R China; [Peng, Xiongbiao] Shihezi Univ, Coll Water Architectural Engn, Shihezi 832000, Xinjiang, Peoples R China</t>
  </si>
  <si>
    <t xml:space="preserve">Northwest A&amp;F University - China; Northwest A&amp;F University - China; Northwest A&amp;F University - China; Shihezi University</t>
  </si>
  <si>
    <t xml:space="preserve">Peng, XB (corresponding author), Shihezi Univ, Coll Water Architectural Engn, Shihezi 832000, Xinjiang, Peoples R China.;Cai, HJ (corresponding author), 23 Weihui Rd, Yangling 712100, Shaanxi, Peoples R China.</t>
  </si>
  <si>
    <t xml:space="preserve">huanjie@tom.com; xiongbiaopeng@163.com</t>
  </si>
  <si>
    <t xml:space="preserve">National Natural Science Foundation of China [52179046]</t>
  </si>
  <si>
    <t xml:space="preserve">We appreciate the National Natural Science Foundation of China (Grant No. 52179046) for providing a grant for this study.</t>
  </si>
  <si>
    <t xml:space="preserve">MAR 31</t>
  </si>
  <si>
    <t xml:space="preserve">10.1016/j.agwat.2025.109322</t>
  </si>
  <si>
    <t xml:space="preserve">JAN 2025</t>
  </si>
  <si>
    <t xml:space="preserve">U5Y8D</t>
  </si>
  <si>
    <t xml:space="preserve">WOS:001412554000001</t>
  </si>
  <si>
    <t xml:space="preserve">Kamarudin, MH; Ismail, ZH; Saidi, NB</t>
  </si>
  <si>
    <t xml:space="preserve">Kamarudin, Mohd Hider; Ismail, Zool Hilmi; Saidi, Noor Baity</t>
  </si>
  <si>
    <t xml:space="preserve">Deep Learning Sensor Fusion in Plant Water Stress Assessment: A Comprehensive Review</t>
  </si>
  <si>
    <t xml:space="preserve">artificial intelligence; agriculture monitoring system; modelling; plant-based water stress; smart sensor</t>
  </si>
  <si>
    <t xml:space="preserve">CONVOLUTIONAL NEURAL-NETWORKS; REGULATED DEFICIT IRRIGATION; SOIL-MOISTURE; ARTIFICIAL-INTELLIGENCE; IMAGE-ANALYSIS; CROP; EVAPOTRANSPIRATION; DROUGHT; CLASSIFICATION; SYSTEM</t>
  </si>
  <si>
    <t xml:space="preserve">Featured Application In this paper, an all-inclusive review of deep learning sensor fusion with its challenges and future perspectives in plant water stress assessment has been carried out. Water stress is one of the major challenges to food security, causing a significant economic loss for the nation as well for growers. Accurate assessment of water stress will enhance agricultural productivity through optimization of plant water usage, maximizing plant breeding strategies, and preventing forest wildfire for better ecosystem management. Recent advancements in sensor technologies have enabled high-throughput, non-contact, and cost-efficient plant water stress assessment through intelligence system modeling. The advanced deep learning sensor fusion technique has been reported to improve the performance of the machine learning application for processing the collected sensory data. This paper extensively reviews the state-of-the-art methods for plant water stress assessment that utilized the deep learning sensor fusion approach in their application, together with future prospects and challenges of the application domain. Notably, 37 deep learning solutions fell under six main areas, namely soil moisture estimation, soil water modelling, evapotranspiration estimation, evapotranspiration forecasting, plant water status estimation and plant water stress identification. Basically, there are eight deep learning solutions compiled for the 3D-dimensional data and plant varieties challenge, including unbalanced data that occurred due to isohydric plants, and the effect of variations that occur within the same species but cultivated from different locations.</t>
  </si>
  <si>
    <t xml:space="preserve">[Kamarudin, Mohd Hider; Ismail, Zool Hilmi] Univ Teknol Malaysia, Malaysia Japan Int Inst Technol, Jalan Sultan Yahya Petra, Kuala Lumpur 54100, Malaysia; [Ismail, Zool Hilmi] Univ Teknol Malaysia, Ctr Artificial Intelligence &amp; Robot, Jalan Sultan Yahya Petra, Kuala Lumpur 54100, Malaysia; [Saidi, Noor Baity] Univ Putra Malaysia, Fac Biotechnol &amp; Biomol Sci, Dept Cell &amp; Mol Biol, Serdang 43400, Selangor, Malaysia</t>
  </si>
  <si>
    <t xml:space="preserve">Universiti Teknologi Malaysia; Universiti Teknologi Malaysia; Universiti Putra Malaysia</t>
  </si>
  <si>
    <t xml:space="preserve">Ismail, ZH (corresponding author), Univ Teknol Malaysia, Malaysia Japan Int Inst Technol, Jalan Sultan Yahya Petra, Kuala Lumpur 54100, Malaysia.;Ismail, ZH (corresponding author), Univ Teknol Malaysia, Ctr Artificial Intelligence &amp; Robot, Jalan Sultan Yahya Petra, Kuala Lumpur 54100, Malaysia.</t>
  </si>
  <si>
    <t xml:space="preserve">mohd.hider11@yahoo.com; zool@utm.my; norbaity@upm.edu.my</t>
  </si>
  <si>
    <t xml:space="preserve">Saidi, Noor/A-8423-2017; Ismail, Zool Hilmi/A-8481-2011</t>
  </si>
  <si>
    <t xml:space="preserve">Ismail, Zool Hilmi/0000-0002-5918-636X; Saidi, Noor Baity/0000-0002-0715-2133</t>
  </si>
  <si>
    <t xml:space="preserve">Universiti Teknologi Malaysia [R.K130000.7843.5F348, Q.K130000.2543.19H97]; Ministry of Higher Education [R.K130000.7843.5F348, Q.K130000.2543.19H97]</t>
  </si>
  <si>
    <t xml:space="preserve">Universiti Teknologi Malaysia; Ministry of Higher Education(Science and Technology Development Fund (STDF)Ministry of Higher Education &amp; Scientific Research (MHESR)Ministry of Higher Education, Research &amp; Innovation, Oman)</t>
  </si>
  <si>
    <t xml:space="preserve">This work was supported by Ministry of Higher Education and Universiti Teknologi Malaysia under Grant no. R.K130000.7843.5F348 and Q.K130000.2543.19H97.</t>
  </si>
  <si>
    <t xml:space="preserve">10.3390/app11041403</t>
  </si>
  <si>
    <t xml:space="preserve">RB4LW</t>
  </si>
  <si>
    <t xml:space="preserve">gold, Green Accepted</t>
  </si>
  <si>
    <t xml:space="preserve">WOS:000632085100001</t>
  </si>
  <si>
    <t xml:space="preserve">Ghobadipour, B; Khaki, AM; Mojaradi, B</t>
  </si>
  <si>
    <t xml:space="preserve">Ghobadipour, Behrooz; Khaki, Ali Mansour; Mojaradi, Barat</t>
  </si>
  <si>
    <t xml:space="preserve">Deep learning modelling of long-term satellite remotely sensed data for low-temperature asphalt binder selection</t>
  </si>
  <si>
    <t xml:space="preserve">INNOVATIVE INFRASTRUCTURE SOLUTIONS</t>
  </si>
  <si>
    <t xml:space="preserve">Performance grade; Asphalt binder; Remote sensing; MODIS; Deep learning</t>
  </si>
  <si>
    <t xml:space="preserve">LAND-SURFACE TEMPERATURE; DAILY MAXIMUM; VALIDATION; RETRIEVAL</t>
  </si>
  <si>
    <t xml:space="preserve">This study has focused on selecting the asphalt binder performance grade (PG) using remotely sensed (RS) data including MODIS (Aqua and Terra), ASTER and FLDAS products. Three models have been created based on multiple linear regression and deep learning and used to estimate the annual minimum air temperature on the surface of the road pavement, considering the Superpave specifications. Parameters of the models include land surface temperature, latitude, vegetation index, elevation, snow cover fraction, soil moisture, evapotranspiration, wind speed, and climate type. The PG selection has been performed according to the proposed and three identified conventional approaches and comparative analyses have clarified that the proposed method yields reliable results in estimating the asphalt binder performance temperature and is more accurate than conventional approaches in determining the PG. According to the results, the proposed RS-based approach has the potential to determine the PG accurately in 1 km resolution.</t>
  </si>
  <si>
    <t xml:space="preserve">[Ghobadipour, Behrooz; Khaki, Ali Mansour; Mojaradi, Barat] IUST Iran Univ Sci &amp; Technol, Tehran, Iran</t>
  </si>
  <si>
    <t xml:space="preserve">Mojaradi, B (corresponding author), IUST Iran Univ Sci &amp; Technol, Tehran, Iran.</t>
  </si>
  <si>
    <t xml:space="preserve">ghobadipour@ymail.com; mkhaki@iust.ac.ir; Mojaradi@iust.ac.ir</t>
  </si>
  <si>
    <t xml:space="preserve">mojaradi, barat/P-4983-2018</t>
  </si>
  <si>
    <t xml:space="preserve">mojaradi, barat/0000-0002-5894-5969</t>
  </si>
  <si>
    <t xml:space="preserve">2364-4176</t>
  </si>
  <si>
    <t xml:space="preserve">2364-4184</t>
  </si>
  <si>
    <t xml:space="preserve">INNOV INFRASTRUCT SO</t>
  </si>
  <si>
    <t xml:space="preserve">Innov. Infrastruct. Solut.</t>
  </si>
  <si>
    <t xml:space="preserve">10.1007/s41062-022-00981-y</t>
  </si>
  <si>
    <t xml:space="preserve">6A0ID</t>
  </si>
  <si>
    <t xml:space="preserve">WOS:000880345800001</t>
  </si>
  <si>
    <t xml:space="preserve">Basakin, EE; Ekmekcioglu, Ö; Özger, M</t>
  </si>
  <si>
    <t xml:space="preserve">Basakin, Eyyup Ensar; Ekmekcioglu, Omer; Ozger, Mehmet</t>
  </si>
  <si>
    <t xml:space="preserve">Providing a comprehensive understanding of missing data imputation processes in evapotranspiration-related research: a systematic literature review</t>
  </si>
  <si>
    <t xml:space="preserve">missing data imputation; gap filling; eddy covariance; evapotranspiration; multiple imputation</t>
  </si>
  <si>
    <t xml:space="preserve">EDDY-COVARIANCE MEASUREMENTS; SOLAR-RADIATION DATA; MULTIPLE IMPUTATION; METEOROLOGICAL DATA; NEURAL-NETWORK; TIME-SERIES; TEMPERATURE; INTERPOLATION; REGRESSION; FLUXES</t>
  </si>
  <si>
    <t xml:space="preserve">This study aimed to review the existing research focalizing on the missing data imputation techniques for the systems enabling actual evapotranspiration calculation (such as eddy covariance, Bowen ratio, and lysimeters) and divergent evapotranspiration related variables, i.e. temperature, wind speed, humidity, and solar radiation. Thus, the Scopus engine was utilized to scan the entire literature and 62 articles were diligently investigated. Results show classical approaches have been widely used by researchers due to their ease of implementation. However, the applicability and validity of these methods heavily rely on assumptions made about the distribution and characteristics of missing data. Hence, advanced imputation techniques produce more accurate outcomes as they handle complex and non-linear problems. Also, current trends embraced by the research community revealed that employing deep learning techniques and incorporating explainable artificial intelligence into imputations have significant potential to make insightful contributions to the body of knowledge.</t>
  </si>
  <si>
    <t xml:space="preserve">[Basakin, Eyyup Ensar; Ozger, Mehmet] Istanbul Tech Univ, Civil Engn Dept, Hydraul Div, TR-34469 Maslak, Istanbul, Turkiye; [Ekmekcioglu, Omer] Istanbul Tech Univ, Disaster Management Inst, Disaster &amp; Emergency Management Dept, Maslak, Turkiye</t>
  </si>
  <si>
    <t xml:space="preserve">Istanbul Technical University; Istanbul Technical University</t>
  </si>
  <si>
    <t xml:space="preserve">Basakin, EE (corresponding author), Istanbul Tech Univ, Civil Engn Dept, Hydraul Div, TR-34469 Maslak, Istanbul, Turkiye.</t>
  </si>
  <si>
    <t xml:space="preserve">basakin@itu.edu.tr</t>
  </si>
  <si>
    <t xml:space="preserve">Ozger, Mehmet/F-2935-2011; Basakin, Eyyup Ensar/Y-9718-2018</t>
  </si>
  <si>
    <t xml:space="preserve">Basakin, Eyyup Ensar/0000-0002-9045-5302</t>
  </si>
  <si>
    <t xml:space="preserve">OCT 26</t>
  </si>
  <si>
    <t xml:space="preserve">10.1080/02626667.2023.2249456</t>
  </si>
  <si>
    <t xml:space="preserve">W3TK9</t>
  </si>
  <si>
    <t xml:space="preserve">WOS:001065871500001</t>
  </si>
  <si>
    <t xml:space="preserve">Beiranvand, JP; Ghamghami, M</t>
  </si>
  <si>
    <t xml:space="preserve">Beiranvand, Javad Pirvali; Ghamghami, Mahdi</t>
  </si>
  <si>
    <t xml:space="preserve">Machine-Learning Models to Improve Accuracy of Real-Time Reference Evapotranspiration Estimates in an Arid Environment</t>
  </si>
  <si>
    <t xml:space="preserve">JOURNAL OF IRRIGATION AND DRAINAGE ENGINEERING</t>
  </si>
  <si>
    <t xml:space="preserve">Day-to-day variation; Deep learning (DL); Extremes; Irrigation scheduling; Minimal weather data</t>
  </si>
  <si>
    <t xml:space="preserve">LIMITED METEOROLOGICAL DATA; ARTIFICIAL NEURAL-NETWORK; CLIMATIC DATA; REGRESSION; SVM; PRECIPITATION; TEMPERATURE; PREDICTION; REGIONS; ELM</t>
  </si>
  <si>
    <t xml:space="preserve">Studies of the estimation of reference evapotranspiration (ET0) in Iran are mostly related to areas with humid and semiarid climates and less related to arid areas. On the other hand, few studies in arid regions have reported high root-mean square error (RMSE) values. However, these regions make an important contribution to agricultural production, and thus, water management of these regions is crucial. It motivated the implementation of such a study in an arid environment of Karaj, Iran, as a case study, in order to estimate daily ET0 with as much accuracy as possible. To achieve this purpose, the performance of 21 known models estimating ET0, including 9 empirical models and 12 machine learning (ML) models, were evaluated. The method provided by the food and agriculture organization (FAO) known as FAO-56 Penman-Monteith (FPM) was regarded as the main reference method for measuring ET0. A new climate data set related to the period of 2005-2020 (April-September) was used to calibrate and cross-validate models. In fact, this study intended to develop an approach for simulating day-to-day variations in ET0 in arid environments by benefitting minimal weather data (i.e., temperature, humidity, and wind speed) for practical purposes because most regions suffer from a lack of weather data, especially radiation data. Therefore, the performance of the best models calibrated in Karaj station was also validated based on data recorded in a research field with a similar climate during 2020-2021. The cross-validated results showed that the deep-learning (DL) model had the lowest RMSE as well as the highest R-2 compared with other models. As averaged over all months in Karaj, the DL model exhibited a RMSE 64% less than the best-calibrated empirical model (i.e., Valiantzas-VTS), which is a solar radiation-based model. Furthermore, the improvements arising from using the DL model were more considerable in the extremes than in the middle values. The findings of the field research also demonstrated that the approach developed in the current study would be beneficial at locations other than the calibration station. This approach requires few inputs, is independent of solar radiation data, and also has the lowest RMSE compared with that of other studies. For future studies, the combination of the daily ET0 estimator developed in this study with a recently developed empirical approach to estimate crop coefficients is suggested to manage irrigation on croplands if arid regions. (C) 2022 American Society of Civil Engineers.</t>
  </si>
  <si>
    <t xml:space="preserve">[Beiranvand, Javad Pirvali; Ghamghami, Mahdi] Nucl Sci &amp; Technol Res Inst, Nucl Agr Res Sch, Dept Water &amp; Soil Sci &amp; Engn, Karaj 00982, Iran</t>
  </si>
  <si>
    <t xml:space="preserve">Beiranvand, JP (corresponding author), Nucl Sci &amp; Technol Res Inst, Nucl Agr Res Sch, Dept Water &amp; Soil Sci &amp; Engn, Karaj 00982, Iran.</t>
  </si>
  <si>
    <t xml:space="preserve">jpirvali@aeoi.org.ir</t>
  </si>
  <si>
    <t xml:space="preserve">ASCE-AMER SOC CIVIL ENGINEERS</t>
  </si>
  <si>
    <t xml:space="preserve">RESTON</t>
  </si>
  <si>
    <t xml:space="preserve">1801 ALEXANDER BELL DR, RESTON, VA 20191-4400 USA</t>
  </si>
  <si>
    <t xml:space="preserve">0733-9437</t>
  </si>
  <si>
    <t xml:space="preserve">1943-4774</t>
  </si>
  <si>
    <t xml:space="preserve">J IRRIG DRAIN ENG</t>
  </si>
  <si>
    <t xml:space="preserve">J. Irrig. Drainage Eng-ASCE</t>
  </si>
  <si>
    <t xml:space="preserve">10.1061/(ASCE)IR.1943-4774.0001714</t>
  </si>
  <si>
    <t xml:space="preserve">Agricultural Engineering; Engineering, Civil; Water Resources</t>
  </si>
  <si>
    <t xml:space="preserve">Agriculture; Engineering; Water Resources</t>
  </si>
  <si>
    <t xml:space="preserve">4N3OZ</t>
  </si>
  <si>
    <t xml:space="preserve">WOS:000853929600006</t>
  </si>
  <si>
    <t xml:space="preserve">Kalu, I; Ndehedehe, CE; Okwuashi, O; Eyoh, AE; Ferreira, VG</t>
  </si>
  <si>
    <t xml:space="preserve">Kalu, Ikechukwu; Ndehedehe, Christopher E.; Okwuashi, Onuwa; Eyoh, Aniekan E.; Ferreira, Vagner G.</t>
  </si>
  <si>
    <t xml:space="preserve">An assimilated deep learning approach to identify the influence of global climate on hydrological fluxes</t>
  </si>
  <si>
    <t xml:space="preserve">Deep learning; Neural Network; Nino 3; 4; Terrestrial water storage; BPNN</t>
  </si>
  <si>
    <t xml:space="preserve">TERRESTRIAL WATER STORAGE; INDEPENDENT COMPONENT ANALYSIS; NEURAL-NETWORK; WEST-AFRICA; EL-NINO; VARIABILITY; PREDICTION; DROUGHT; LEVEL; MODEL</t>
  </si>
  <si>
    <t xml:space="preserve">The rapid acceleration of the global water cycle caused by changes in global climate trigger complex processes that make conventional machine learning techniques limited in assessing impacts of such changes on terrestrial water storage (TWS). This study introduces an assimilated deep learning neural network to improve the modeling of TWS dynamics. Key predictors and inputs to this deep learning framework include runoff, rainfall, soil moisture, evapotranspiration, global teleconnection patterns and sea surface temperatures (SSTs). The proposed back propagation model in this study capitalizes on the availability of remotely sensed observations and model datasets to predict monthly TWS, a quantity that is difficult to observe in the field, but important for the esti-mation of regional water budget balance, and water resource management for agricultural purposes. By inte-grating pre-processed outputs from the Principal Component Analysis (PCA) and Independent Component Analysis (ICA) into our network using a deep neural pattern, we synthesized TWS from 2002 to 2017, and also made future predictions using our trained models. Results from these analyses showed that the ICA-BPNN model has a higher predictive accuracy compared to the PCA-BPNN. These models (ICA-BPNN and PCA-BPNN) were used to fit the three dominant temporal patterns of Gravity Recovery and Climate Experiment (GRACE) - observed TWS over Africa. Our simulation results from the testing phase indicate that the fits for the prediction of the first three leading modes of TWS for both models when compared to the observed GRACE-TWS were PCA-BPNN1 (89%), PCA-BPNN2 (82%), PCA-BPNN3 (84%) and ICA-BPNN1 (93%), ICA-BPNN2 (88%), ICA-BPNN3 (82%). The simulation fit of the BPNN corresponding to multi-annual time series, which are captured in the second and third orthogonal modes and localized patterns of TWS were lower than those of annual signals in both the PCA-and ICA-BPNN models. This was attributed to the fact that the multi-annual time series in GRACE -hydrological signals of our test-bed are complex compared to the annual patterns of TWS. On the one hand, this exemplifies the superior performance of our predictive framework in modeling naturalized system (annual changes in TWS driven by only climatic factors). On the other hand, the complexity in modelling multi-annual variations in TWS suggests heavily disturbed naturalized systems evidenced in the presence of human water management operations among other anthropogenic activities.</t>
  </si>
  <si>
    <t xml:space="preserve">[Kalu, Ikechukwu; Okwuashi, Onuwa; Eyoh, Aniekan E.] Univ Uyo, Dept Geoinformat &amp; Surveying, PMB 1017, Uyo, Nigeria; [Ndehedehe, Christopher E.] Griffith Univ, Sch Environm &amp; Sci, Nathan, Qld 4111, Australia; [Ndehedehe, Christopher E.] Griffith Univ, Australian Rivers Inst, Nathan, Qld 4111, Australia; [Ferreira, Vagner G.] Hohai Univ, Sch Earth Sci &amp; Engn, Nanjing, Peoples R China</t>
  </si>
  <si>
    <t xml:space="preserve">University of Uyo; Griffith University; Griffith University; Hohai University</t>
  </si>
  <si>
    <t xml:space="preserve">Ndehedehe, CE (corresponding author), Griffith Univ, Sch Environm &amp; Sci, Nathan, Qld 4111, Australia.</t>
  </si>
  <si>
    <t xml:space="preserve">c.ndehedehe@griffith.edu.au</t>
  </si>
  <si>
    <t xml:space="preserve">Ferreira, Vagner/G-7486-2012; EYOH, ANIEKAN/CAF-8913-2022; Ndehedehe, Christopher/L-2227-2019</t>
  </si>
  <si>
    <t xml:space="preserve">Kalu, Ikechukwu/0000-0003-1708-4354; Ndehedehe, Christopher E./0000-0003-1906-9764</t>
  </si>
  <si>
    <t xml:space="preserve">ARC DECRA [DE230101327]; Australian Research Council [DE230101327] Funding Source: Australian Research Council</t>
  </si>
  <si>
    <t xml:space="preserve">ARC DECRA(Australian Research Council); Australian Research Council</t>
  </si>
  <si>
    <t xml:space="preserve">This study was part of a series of preliminary machine learning experiment that was conceptualized and initiated by Dr Christopher E. Ndehedehe based on his Australian Research Council (ARC) project for the 2023 Discovery Early Career Researcher Award (DECRA) . Christopher is grateful for the ARC DECRA (DE230101327) funding and also thankful to Griffith University's Australian Rivers Institute for the conducive research environment supporting his strategic research in remote sensing hydrology and where the ARC DECRA is hosted.</t>
  </si>
  <si>
    <t xml:space="preserve">10.1016/j.jhydrol.2022.128498</t>
  </si>
  <si>
    <t xml:space="preserve">OCT 2022</t>
  </si>
  <si>
    <t xml:space="preserve">5O3RP</t>
  </si>
  <si>
    <t xml:space="preserve">WOS:000872395100001</t>
  </si>
  <si>
    <t xml:space="preserve">Moudgil, PS; Rao, GS</t>
  </si>
  <si>
    <t xml:space="preserve">Moudgil, Pragay Shourya; Rao, G. Srinivasa</t>
  </si>
  <si>
    <t xml:space="preserve">Groundwater levels estimation from GRACE/GRACE-FO and hydro-meteorological data using deep learning in Ganga River basin, India</t>
  </si>
  <si>
    <t xml:space="preserve">ENVIRONMENTAL EARTH SCIENCES</t>
  </si>
  <si>
    <t xml:space="preserve">GRACE/GRACE-FO; Deep learning; Groundwater; Ganga River basin</t>
  </si>
  <si>
    <t xml:space="preserve">SINGULAR SPECTRUM ANALYSIS; WATER STORAGE CHANGES; GRACE; DEPLETION; PRECIPITATION; TRENDS</t>
  </si>
  <si>
    <t xml:space="preserve">Accurate prediction and continuous monitoring of spatiotemporal variations in groundwater levels (GWL) are essential for sustainable groundwater resource management as it is a critical natural resource for human survival and ecosystem health. In this study, deep learning-based models, convolutional neural network (CNN), long short-term memory (LSTM), and CNN-LSTM were developed to predict GWL changes from 2003 to 2020 by integrating the gravity recovery and climate experiment (GRACE) and GRACE Follow-On (GRACE-FO) data with hydro-meteorological data sets (evapotranspiration, precipitation, and temperature). To assess the effectiveness of the developed models, similar to 1115 in-situ wells located in various parts of the Ganga River basin were chosen due to their importance in India and their reported decline in groundwater levels. Comparison of predicted GWL from deep-learning models with the in-situ data reveals that the LSTM model shows a relatively higher Pearson's correlation coefficient (PR) (0.681 on testing) and lower normalized root mean squared error (NRMSE) (0.292 on testing) values compared to the CNN-LSTM and CNN models. Further trend and seasonal characteristics of GWL predicted by the LSTM model also match well with the in-situ groundwater wells, except few parts of the Ganges basin. The negative GWL trend in the Ganga River basin suggests that the basin has been experiencing a continuous decline in the GWL due to anthropogenic groundwater withdrawal for irrigation. Sensitivity analysis of the deep-learning models suggests that GRACE played a significant role in estimating GWL prediction compared to precipitation and temperature.</t>
  </si>
  <si>
    <t xml:space="preserve">[Moudgil, Pragay Shourya; Rao, G. Srinivasa] IIT ISM Dhanbad, Dept Appl Geophys, Dhanbad 826004, Jharkhand, India; [Rao, G. Srinivasa] Indian Inst Technol, Dept Earth Sci, Mumbai 400076, India</t>
  </si>
  <si>
    <t xml:space="preserve">Indian Institute of Technology System (IIT System); Indian Institute of Technology (Indian School of Mines) Dhanbad; Indian Institute of Technology System (IIT System); Indian Institute of Technology (IIT) - Bombay</t>
  </si>
  <si>
    <t xml:space="preserve">Rao, GS (corresponding author), IIT ISM Dhanbad, Dept Appl Geophys, Dhanbad 826004, Jharkhand, India.;Rao, GS (corresponding author), Indian Inst Technol, Dept Earth Sci, Mumbai 400076, India.</t>
  </si>
  <si>
    <t xml:space="preserve">gsrao@iitism.ac.in</t>
  </si>
  <si>
    <t xml:space="preserve">Gangumalla, Srinivasa Rao/D-7078-2015</t>
  </si>
  <si>
    <t xml:space="preserve">GSR acknowledges the Department of Science amp; Technology for the FIST grant (DST-FIST/197/2018-19/580). [DST-FIST/197/2018-19/580]; Department of Science amp; Technology for the FIST</t>
  </si>
  <si>
    <t xml:space="preserve">GSR acknowledges the Department of Science amp; Technology for the FIST grant (DST-FIST/197/2018-19/580).; Department of Science amp; Technology for the FIST</t>
  </si>
  <si>
    <t xml:space="preserve">GSR acknowledges the Department of Science &amp; Technology for the FIST grant (DST-FIST/197/2018-19/580).</t>
  </si>
  <si>
    <t xml:space="preserve">1866-6280</t>
  </si>
  <si>
    <t xml:space="preserve">1866-6299</t>
  </si>
  <si>
    <t xml:space="preserve">ENVIRON EARTH SCI</t>
  </si>
  <si>
    <t xml:space="preserve">Environ. Earth Sci.</t>
  </si>
  <si>
    <t xml:space="preserve">10.1007/s12665-023-11137-1</t>
  </si>
  <si>
    <t xml:space="preserve">Environmental Sciences; Geosciences, Multidisciplinary; Water Resources</t>
  </si>
  <si>
    <t xml:space="preserve">Environmental Sciences &amp; Ecology; Geology; Water Resources</t>
  </si>
  <si>
    <t xml:space="preserve">AC7J3</t>
  </si>
  <si>
    <t xml:space="preserve">WOS:001116324100002</t>
  </si>
  <si>
    <t xml:space="preserve">Keabetswe, L; He, YY; Li, C; Zhou, ZJ</t>
  </si>
  <si>
    <t xml:space="preserve">Keabetswe, Larona; He, Yiyin; Li, Chao; Zhou, Zhenjiang</t>
  </si>
  <si>
    <t xml:space="preserve">Estimating actual crop evapotranspiration by using satellite images coupled with hybrid deep learning-based models in potato fields</t>
  </si>
  <si>
    <t xml:space="preserve">Remote sensing; Crop water use; Random Forests; Limited inputs; AmeriFlux</t>
  </si>
  <si>
    <t xml:space="preserve">LAND-SURFACE TEMPERATURE; NEURAL-NETWORKS; AIR-TEMPERATURE; FLUXES; ENERGY</t>
  </si>
  <si>
    <t xml:space="preserve">Estimating actual crop evapotranspiration (ETc act) is a fundamental requirement for effective crop water management, aiming to achieve precision irrigation amidst changing environmental conditions. Despite the introduction of various methods for estimating ETc act values, these methods are still associated with several challenges and limitations. Motivated by the robustness of deep learning models, this study employed two hybrid models that integrate Convolution Neural Network with either Random Forests (CNN-RF) or Support Vector Machine (CNN-SVR) to estimate potato ETc act using a limited set of input features. Three models were configured and compared for each CNN-RF (CNN-RF1, CNNRF2, CNNRF3) and CNN-SVM (CNN-SVM1, CNN-SVM2, CNNSVM3), by using different combinations of variable input features derived from meteorological data (air temperature (Ta), vapour pressure deficit (VPD), net radiation (Rn)) and MODIS satellite data (land surface temperature (LST), fraction of photosynthetically active radiation (Fpar), leaf area index (LAI)). The results demonstrated the outstanding performance of the CNN-RF models, showcasing their superiority over the CNNSVM models. Notably CNN-RF1 model yielded the best results, achieving a normalized root mean squared error (nRMSE) of 11.7 and 31.5 %; Nash-Sutcliffe Efficiency (NSE) of 0.97 and 0.80; Correlation coefficient (CC) of 0.99 and 0.91 at training and testing phases respectively. While, both models exhibited lower performance when using remote sensing satellite-based inputs, CNN-RF2, managed to produce satisfactory estimates of nRMSE = 16.7, 40.9 %; NSE = 0.95, 0.66; CC = 0.98, 0.813; Bias =-0.41,-4.377 W/m2 during training and testing respectively. The ETc act of potato showed to have high correlation with LST (0.74-0.84) and using LST as proxy for Ta, resulted in improved model estimates compared to using satellite data exclusively. These findings suggest that, in situations where climatic data is limited, remote sensing can serve as a viable alternative for modelling potato ETc act when coupled with CNN-RF, and further improvement can be achieved by incorporating meteorological data fusion.</t>
  </si>
  <si>
    <t xml:space="preserve">[Keabetswe, Larona; He, Yiyin; Li, Chao; Zhou, Zhenjiang] Zhejiang Univ, Coll Biosyst Engn &amp; Food Sci, Hangzhou 310058, Peoples R China</t>
  </si>
  <si>
    <t xml:space="preserve">Zhejiang University</t>
  </si>
  <si>
    <t xml:space="preserve">Zhou, ZJ (corresponding author), Zhejiang Univ, Coll Biosyst Engn &amp; Food Sci, Hangzhou 310058, Peoples R China.</t>
  </si>
  <si>
    <t xml:space="preserve">zhenjiangz@zju.edu.cn</t>
  </si>
  <si>
    <t xml:space="preserve">Zhang, Zhang/JAX-2097-2023</t>
  </si>
  <si>
    <t xml:space="preserve">Science and Technology Department of Ningxia-The Key Research and Development Program [2023BCF01017]</t>
  </si>
  <si>
    <t xml:space="preserve">Science and Technology Department of Ningxia-The Key Research and Development Program</t>
  </si>
  <si>
    <t xml:space="preserve">This study was supported by the Science and Technology Department of Ningxia-The Key Research and Development Program (2023BCF01017) .</t>
  </si>
  <si>
    <t xml:space="preserve">DEC 20</t>
  </si>
  <si>
    <t xml:space="preserve">10.1016/j.agwat.2024.109191</t>
  </si>
  <si>
    <t xml:space="preserve">O8A7Q</t>
  </si>
  <si>
    <t xml:space="preserve">WOS:001373295000001</t>
  </si>
  <si>
    <t xml:space="preserve">Sattari, MT; Apaydin, H; Band, SS; Mosavi, A; Prasad, R</t>
  </si>
  <si>
    <t xml:space="preserve">Sattari, Mohammad Taghi; Apaydin, Halit; Band, Shahab S.; Mosavi, Amir; Prasad, Ramendra</t>
  </si>
  <si>
    <t xml:space="preserve">Comparative analysis of kernel-based versus ANN and deep learning methods in monthly reference evapotranspiration estimation</t>
  </si>
  <si>
    <t xml:space="preserve">NEURAL-NETWORKS; MODEL TREES; RESOURCES; OPTIMIZATION; PREDICTION; REGION; PERFORMANCE; VARIABLES; SELECTION; MACHINES</t>
  </si>
  <si>
    <t xml:space="preserve">Timely and accurate estimation of reference evapotranspiration (ET0) is indispensable for agricultural water management for efficient water use. This study aims to estimate the amount of ET0 with machine learning approaches by using minimum meteorological parameters in the Corum region, which has an arid and semi-arid climate and is regarded as an important agricultural centre of Turkey. In this context, monthly averages of meteorological variables, i.e. maximum and minimum temperature; sunshine duration; wind speed; and average, maximum, and minimum relative humidity, are used as inputs. Two different kemel-based methods, i.e. Gaussian process regression (GPR) and support vector regression (SVR), together with a Broyden- Fletcher-Goldfarb-Shanno artificial neural network (BFGSANN) and long short-term memory (LSTM) models were used to estimate ET0 amounts in 10 different combinations. The results showed that all four methods predicted ET0 amounts with acceptable accuracy and error levels. The BFGS-ANN model showed higher success (R-2 = 0.9781) than the others. In kernel-based GPR and SVR methods, the Pearson VII function-based universal kernel was the most successful (R-2 = 0.9771). Scenario 5, with temperatures including average temperature, maximum and minimum temperature, and sunshine duration as inputs, gave the best results. The second best scenario had only the sunshine duration as the input to the BFGS-ANN, which estimated ET0 having a correlation coefficient of 0.971 (Scenario 8). Conclusively, this study shows the better efficacy of the BFGS in ANNs for enhanced performance of the ANN model in ET0 estimation for drought-prone arid and semi-arid regions.</t>
  </si>
  <si>
    <t xml:space="preserve">[Sattari, Mohammad Taghi] Univ Tabriz, Fac Agr, Dept Water Engn, Tabriz 51666, Iran; [Sattari, Mohammad Taghi] Duy Tan Univ, Inst Res &amp; Dev, Danang 550000, Vietnam; [Sattari, Mohammad Taghi; Apaydin, Halit] Ankara Univ, Fac Agr, Dept Agr Engn, TR-06110 Ankara, Turkey; [Band, Shahab S.] Natl Yunlin Univ Sci &amp; Technol, Future Technol Res Ctr, Touliu 64002, Yunlin, Taiwan; [Mosavi, Amir] Tech Univ Dresden, Fac Civil Engn, D-01069 Dresden, Germany; [Mosavi, Amir] Obuda Univ, John von Neumann Fac Informat, H-1034 Budapest, Hungary; [Mosavi, Amir] Norwegian Univ Life Sci, Sch Econ &amp; Business, N-1430 As, Norway; [Prasad, Ramendra] Univ Fiji, Sch Sci &amp; Technol, Dept Sci, Lautoka, Fiji</t>
  </si>
  <si>
    <t xml:space="preserve">University of Tabriz; Duy Tan University; Ankara University; National Yunlin University Science &amp; Technology; Technische Universitat Dresden; Obuda University; Norwegian University of Life Sciences</t>
  </si>
  <si>
    <t xml:space="preserve">Sattari, MT (corresponding author), Univ Tabriz, Fac Agr, Dept Water Engn, Tabriz 51666, Iran.;Sattari, MT (corresponding author), Duy Tan Univ, Inst Res &amp; Dev, Danang 550000, Vietnam.;Sattari, MT (corresponding author), Ankara Univ, Fac Agr, Dept Agr Engn, TR-06110 Ankara, Turkey.;Band, SS (corresponding author), Natl Yunlin Univ Sci &amp; Technol, Future Technol Res Ctr, Touliu 64002, Yunlin, Taiwan.</t>
  </si>
  <si>
    <t xml:space="preserve">mtsattar@tabrizu.ac.ir; shamshirbands@yuntech.edu.tw</t>
  </si>
  <si>
    <t xml:space="preserve">S. Band, Shahab/K-2544-2013; Mosavi, Amir/I-7440-2018; Prasad, Ramendra/AAT-2908-2021; Sattari, Mohammad Taghi/AAI-3212-2020; APAYDIN, Halit/A-3134-2016; S. Band, Shahab/ABB-2469-2020</t>
  </si>
  <si>
    <t xml:space="preserve">Prasad, Ramendra/0000-0003-3941-5839; /0000-0003-4842-0613; APAYDIN, Halit/0000-0002-9875-7321; Sattari, Mohammad Taghi/0000-0002-5139-2118; S. Band, Shahab/0000-0001-6109-1311</t>
  </si>
  <si>
    <t xml:space="preserve">Scientific and Technological Research Council of Turkey [1059B211900014]; TU Dresden</t>
  </si>
  <si>
    <t xml:space="preserve">Scientific and Technological Research Council of Turkey(Turkiye Bilimsel ve Teknolojik Arastirma Kurumu (TUBITAK)); TU Dresden</t>
  </si>
  <si>
    <t xml:space="preserve">This research has been supported by the The Scientific and Technological Research Council of Turkey (grant no. 1059B211900014) and the Open Access Funding by the Publication Fund of the TU Dresden.</t>
  </si>
  <si>
    <t xml:space="preserve">FEB 10</t>
  </si>
  <si>
    <t xml:space="preserve">10.5194/hess-25-603-2021</t>
  </si>
  <si>
    <t xml:space="preserve">QI4WD</t>
  </si>
  <si>
    <t xml:space="preserve">WOS:000618978900002</t>
  </si>
  <si>
    <t xml:space="preserve">Zhang, Q; Tian, XX; Zhang, P; Hou, L; Peng, ZG; Wang, G</t>
  </si>
  <si>
    <t xml:space="preserve">Zhang, Qian; Tian, Xiaoxu; Zhang, Peng; Hou, Lei; Peng, Zhigong; Wang, Gang</t>
  </si>
  <si>
    <t xml:space="preserve">Solar Radiation Prediction Model for the Yellow River Basin with Deep Learning</t>
  </si>
  <si>
    <t xml:space="preserve">deep learning; Angstrom-Prescott equation; the Yellow River Basin</t>
  </si>
  <si>
    <t xml:space="preserve">ARTIFICIAL NEURAL-NETWORKS; GLOBAL RADIATION; EVAPOTRANSPIRATION; IRRADIANCE; PARAMETERS; SUNSHINE; FORMULA; DESIGN</t>
  </si>
  <si>
    <t xml:space="preserve">Solar radiation is the main source of energy on the Earth's surface. It is very important for the environment and ecology, water cycle and crop growth. Therefore, it is very important to obtain accurate solar radiation data. In this study, we use the highest temperature T-max, lowest temperature T-min, average temperature T-avg, wind speed U, relative humidity RH, sunshine duration H and maximum sunshine duration H-max as input variables to construct a deep learning prediction model of solar radiation in the Yellow River Basin. It is compared with the recommended and corrected values of the widely used angstrom-P method. The results show that: (1) The correction results of the angstrom-P equation are better in the upstream and downstream of the Yellow River Basin but worse in the midstream. (2) The prediction result of the deep learning model in the Yellow River Basin is far better than that of the angstrom-P equation using the FAO-56 recommended value. It is the best in the downstream of the Yellow River Basin: R-2 increases from 0.894 to 0.934; MSE, RMSE and MAE decrease by 43.12%, 27.73% and 25.80%, respectively. The upstream prediction result comes in second: R-2 increases from 0.888 to 0.921; MSE, RMSE and MAE decrease by 33.27%, 20.02% and 19.04%, respectively. The midstream result is the worst: R 2 increases from 0.869 to 0.874; MSE, RMSE and MAE decrease by -0.50%, 0.07% and 3.82%, respectively. (3) The prediction results of the deep learning model in the upstream and downstream of the Yellow River Basin are far better than those of the angstrom-P equation using correction. The R-2 in the upstream of the Yellow River Basin increases from 0.889 to 0.921. MSE, RMSE and MAE decrease by 22.11%, 11.84% and 8.94%, respectively. R-2 in the downstream of the Yellow River Basin increases from 0.900 to 0.934, and MSE, RMSE and MAE decrease by 13.21%, 11.40% and 5.55%, respectively. In the midstream of the Yellow River Basin, the prediction results of the deep learning model are worse than those of the angstrom-P equation using correction: R-2 increases from 0.870 to 0.874, but MSE, RMSE and MAE decrease by -24.93%, -10.83% and -11.56%, respectively.</t>
  </si>
  <si>
    <t xml:space="preserve">[Zhang, Qian; Tian, Xiaoxu; Zhang, Peng; Hou, Lei; Wang, Gang] Shandong Agr Univ, Coll Water Conservancy &amp; Civil Engn, Tai An 271018, Shandong, Peoples R China; [Peng, Zhigong] China Inst Water Resources &amp; Hydropower Res, State Key Lab Simulat Water Cycle River Basin, Beijing 100038, Peoples R China</t>
  </si>
  <si>
    <t xml:space="preserve">Shandong Agricultural University; China Institute of Water Resources &amp; Hydropower Research</t>
  </si>
  <si>
    <t xml:space="preserve">Wang, G (corresponding author), Shandong Agr Univ, Coll Water Conservancy &amp; Civil Engn, Tai An 271018, Shandong, Peoples R China.</t>
  </si>
  <si>
    <t xml:space="preserve">zhangqian864@sdau.edu.cn; tianxiaoxu2021@163.com; tazhangpeng@163.com; houl@sdau.edu.cn; pengzhg@iwhr.com; gwang@sdau.edu.cn</t>
  </si>
  <si>
    <t xml:space="preserve">Peng Zhang, Dr./A-6423-2008</t>
  </si>
  <si>
    <t xml:space="preserve">Zhang, Qian/0000-0002-4044-201X</t>
  </si>
  <si>
    <t xml:space="preserve">Major Science and Technology Innovation Major Project of Shandong Province [2019JZZY010727, 2019JZZY010710]; National Natural Science Foundation of China [51909151]; National Key R&amp;D Program of China [2018YFC0407703]; Natural Science Foundation of Shandong Province [ZR202102220203]</t>
  </si>
  <si>
    <t xml:space="preserve">Major Science and Technology Innovation Major Project of Shandong Province; National Natural Science Foundation of China(National Natural Science Foundation of China (NSFC)); National Key R&amp;D Program of China; Natural Science Foundation of Shandong Province(Natural Science Foundation of Shandong Province)</t>
  </si>
  <si>
    <t xml:space="preserve">This research was funded by the Major Science and Technology Innovation Major Project of Shandong Province (2019JZZY010727; 2019JZZY010710); National Natural Science Foundation of China (51909151); National Key R&amp;D Program of China, grant numbers 2018YFC0407703; Natural Science Foundation of Shandong Province, grant numbers ZR202102220203.</t>
  </si>
  <si>
    <t xml:space="preserve">10.3390/agronomy12051081</t>
  </si>
  <si>
    <t xml:space="preserve">1R2VQ</t>
  </si>
  <si>
    <t xml:space="preserve">WOS:000803233200001</t>
  </si>
  <si>
    <t xml:space="preserve">Banerjee, S; Pratiher, S; Chattoraj, S; Gupta, R; Patra, P; Saikia, B; Thakur, S; Mondal, S; Mukherjee, A</t>
  </si>
  <si>
    <t xml:space="preserve">DeGroot, PJ; Leach, RK; Picart, P</t>
  </si>
  <si>
    <t xml:space="preserve">Banerjee, Saon; Pratiher, Sawon; Chattoraj, Subhankar; Gupta, Rishabh; Patra, Parthasarathi; Saikia, Barnali; Thakur, Sudipta; Mondal, Soumen; Mukherjee, Asis</t>
  </si>
  <si>
    <t xml:space="preserve">Deep Reinforcement Learning for Variability Prediction in Latent Heat Flux from Low-Cost Meteorological Parameters</t>
  </si>
  <si>
    <t xml:space="preserve">OPTICS AND PHOTONICS FOR ADVANCED DIMENSIONAL METROLOGY</t>
  </si>
  <si>
    <t xml:space="preserve">Conference on Optics and Photonics for Advanced Dimensional Metrology</t>
  </si>
  <si>
    <t xml:space="preserve">APR 06-10, 2020</t>
  </si>
  <si>
    <t xml:space="preserve">SPIE,Eurometropole,CNRS,ICube,Univ Strasbourg</t>
  </si>
  <si>
    <t xml:space="preserve">Latent heat flux; Meteorological parameters; Evapotranspiration; Potato; net solar radiation; vapor pressure deficit; wind speed; canopy temperature; Deep reinforcement learning; Q-learning</t>
  </si>
  <si>
    <t xml:space="preserve">ENERGY-BALANCE; TEMPERATURE; CANOPY; WHEAT</t>
  </si>
  <si>
    <t xml:space="preserve">Predicting cropland latent heat flux (LHF) from commonly measured low-cost meteorological parameters (MPs) like net solar radiation, soil &amp; air temperature, vapor pressure deficit, wind speed, and canopy temperature of the crops is essential for modeling crop production and managing water resources economically. In this treatise, we explore the deep reinforcement learning framework for short-term LHF trend estimation from the above MPs. The problem is reformulated as a classification problem, where each MP is acquired for a cost, and the objective is to optimize the trade-off between the predicted trend error and the relative MP acquisition cost. A sequential trend forecasting problem is evaluated via Q-learning with a linear guesstimate and a deep Q-learning scheme via neural network, where the distinct actions are the individual request for the MP values, and each episode is terminated by anticipating a trend. The proposed methodology is validated on the acquired farm-data, collected from the field experiments conducted on the cropland monitoring sites at Bidhan Chandra Krishi Viswavidyalaya State Agricultural University, Kalyani, West Bengal, India. The three non-rice crops, namely the yellow Sarson (mustard), potato, and green-gram, are studied owing to their similar energy balance partitioning patterns.</t>
  </si>
  <si>
    <t xml:space="preserve">[Banerjee, Saon; Mondal, Soumen; Mukherjee, Asis] BCKV, AICRP Agrometeorol, Nadia, W Bengal, India; [Pratiher, Sawon; Gupta, Rishabh] IIT Kharagpur, Kharagpur, W Bengal, India; [Chattoraj, Subhankar] Univ Jean Monnet, St Etienne, France; [Chattoraj, Subhankar] Univ Lyon, Lyon, France; [Patra, Parthasarathi] Heritage Inst Technol, Chowbaga Rd, Kolkata 700107, W Bengal, India; [Saikia, Barnali] SCS Coll Agr, Bahalpur, Assam, India; [Thakur, Sudipta] Krishi Vigyan Kendra, Kalyani, W Bengal, India</t>
  </si>
  <si>
    <t xml:space="preserve">Bidhan Chandra Agricultural University; Indian Institute of Technology System (IIT System); Indian Institute of Technology (IIT) - Kharagpur; Heritage Institute of Technology (HITK); Assam Agricultural University</t>
  </si>
  <si>
    <t xml:space="preserve">Banerjee, S (corresponding author), BCKV, AICRP Agrometeorol, Nadia, W Bengal, India.</t>
  </si>
  <si>
    <t xml:space="preserve">sbaner2000@yahoo.com</t>
  </si>
  <si>
    <t xml:space="preserve">Chattoraj, Subhankar/AAN-6606-2020</t>
  </si>
  <si>
    <t xml:space="preserve">Chattoraj, Subhankar/0000-0003-1218-0769</t>
  </si>
  <si>
    <t xml:space="preserve">978-1-5106-3477-0</t>
  </si>
  <si>
    <t xml:space="preserve">113521G</t>
  </si>
  <si>
    <t xml:space="preserve">10.1117/12.2556682</t>
  </si>
  <si>
    <t xml:space="preserve">Instruments &amp; Instrumentation; Optics; Physics, Applied</t>
  </si>
  <si>
    <t xml:space="preserve">Instruments &amp; Instrumentation; Optics; Physics</t>
  </si>
  <si>
    <t xml:space="preserve">BR8GJ</t>
  </si>
  <si>
    <t xml:space="preserve">WOS:000671885800040</t>
  </si>
  <si>
    <t xml:space="preserve">Alibabaei, K; Gaspar, PD; Lima, TM; Campos, RM; Girao, I; Monteiro, J; Lopes, CM</t>
  </si>
  <si>
    <t xml:space="preserve">Alibabaei, Khadijeh; Gaspar, Pedro D.; Lima, Tania M.; Campos, Rebeca M.; Girao, Ines; Monteiro, Jorge; Lopes, Carlos M.</t>
  </si>
  <si>
    <t xml:space="preserve">A Review of the Challenges of Using Deep Learning Algorithms to Support Decision-Making in Agricultural Activities</t>
  </si>
  <si>
    <t xml:space="preserve">agriculture; deep learning; smart farm; support decision-making algorithms</t>
  </si>
  <si>
    <t xml:space="preserve">YIELD ESTIMATION; REFERENCE EVAPOTRANSPIRATION; WEED DETECTION; WATER; IDENTIFICATION; NETWORKS; DATASET; DEPTH; FOOD; CROP</t>
  </si>
  <si>
    <t xml:space="preserve">Deep Learning has been successfully applied to image recognition, speech recognition, and natural language processing in recent years. Therefore, there has been an incentive to apply it in other fields as well. The field of agriculture is one of the most important fields in which the application of deep learning still needs to be explored, as it has a direct impact on human well-being. In particular, there is a need to explore how deep learning models can be used as a tool for optimal planting, land use, yield improvement, production/disease/pest control, and other activities. The vast amount of data received from sensors in smart farms makes it possible to use deep learning as a model for decision-making in this field. In agriculture, no two environments are exactly alike, which makes testing, validating, and successfully implementing such technologies much more complex than in most other industries. This paper reviews some recent scientific developments in the field of deep learning that have been applied to agriculture, and highlights some challenges and potential solutions using deep learning algorithms in agriculture. The results in this paper indicate that by employing new methods from deep learning, higher performance in terms of accuracy and lower inference time can be achieved, and the models can be made useful in real-world applications. Finally, some opportunities for future research in this area are suggested.</t>
  </si>
  <si>
    <t xml:space="preserve">[Alibabaei, Khadijeh; Gaspar, Pedro D.; Lima, Tania M.; Monteiro, Jorge] Univ Beira Interior, Dept Elect Engn, Rua Marques Avila Bolama, P-6201001 Covilha, Portugal; [Alibabaei, Khadijeh; Gaspar, Pedro D.; Lima, Tania M.; Monteiro, Jorge] Univ Beira Interior, C MAST Ctr Mech &amp; Aerosp Sci &amp; Technol, P-6201001 Covilha, Portugal; [Campos, Rebeca M.; Lopes, Carlos M.] Univ Lisbon, Linking Landscape Environm Agr &amp; Food LEAF, Inst Super Agron, P-1349017 Lisbon, Portugal; [Girao, Ines] Univ Lisbon, Inst Geog &amp; Spatial Planning, Ctr Geog Studies, P-1600276 Lisbon, Portugal; [Monteiro, Jorge] SpaceWay,R Pedro Nunes, P-3030199 Coimbra, Portugal</t>
  </si>
  <si>
    <t xml:space="preserve">Universidade da Beira Interior; Universidade da Beira Interior; Universidade de Lisboa; Universidade de Lisboa</t>
  </si>
  <si>
    <t xml:space="preserve">Gaspar, PD (corresponding author), Univ Beira Interior, Dept Elect Engn, Rua Marques Avila Bolama, P-6201001 Covilha, Portugal.;Gaspar, PD (corresponding author), Univ Beira Interior, C MAST Ctr Mech &amp; Aerosp Sci &amp; Technol, P-6201001 Covilha, Portugal.</t>
  </si>
  <si>
    <t xml:space="preserve">k.alibabaei@ubi.pt; dinis@ubi.pt; tmlima@ubi.pt; rmcampos@isa.ulisboa.pt; inesgirao@campus.ul.pt; jorge@spaceway.pt; carlosmlopes@isa.ulisboa.pt</t>
  </si>
  <si>
    <t xml:space="preserve">Alibabaei, Fahimeh/AEC-7264-2022; Lopes, Carlos/AAP-6146-2021; Gaspar, Pedro Dinis/N-3016-2013; Lima, Tania/V-5052-2017</t>
  </si>
  <si>
    <t xml:space="preserve">Gaspar, Pedro Dinis/0000-0003-1691-1709; Lima, Tania/0000-0002-7540-3854; Girao, Ines/0000-0001-7201-0548; Lopes, Carlos/0000-0003-2456-1200; Alibabaei, Khadijeh/0000-0002-2319-8211; Mateus Ramos de Campos, Rebeca/0000-0003-0672-4408; Bordalo Monteiro, Jorge/0000-0003-0392-1246</t>
  </si>
  <si>
    <t xml:space="preserve">R&amp;D Project BioDAgro--Sistema operacional inteligente de informacao e suporte a decisao em AgroBiodiversidade [PD20-00011]</t>
  </si>
  <si>
    <t xml:space="preserve">R&amp;D Project BioDAgro--Sistema operacional inteligente de informacao e suporte a decisao em AgroBiodiversidade</t>
  </si>
  <si>
    <t xml:space="preserve">This work is supported by the R&amp;D Project BioDAgro--Sistema operacional inteligente de informacao e suporte a decisao em AgroBiodiversidade, project PD20-00011, promoted by Fundacao La Caixa and Fundacao para a Ciencia e a Tecnologia, taking place at the C-MAST-Centre for Mechanical and Aerospace Sciences and Technology, Department of Electromechanical Engineering of the University of Beira Interior, Covilha, Portugal.</t>
  </si>
  <si>
    <t xml:space="preserve">MDPI AG, Grosspeteranlage 5, CH-4052 BASEL, SWITZERLAND</t>
  </si>
  <si>
    <t xml:space="preserve">10.3390/rs14030638</t>
  </si>
  <si>
    <t xml:space="preserve">YY1OV</t>
  </si>
  <si>
    <t xml:space="preserve">WOS:000754564200001</t>
  </si>
  <si>
    <t xml:space="preserve">Chen, H; Jiang, AZ; Huang, JJ; Li, H; McBean, E; Singh, VP; Zhang, JW; Lan, ZQ; Gao, JJ; Zhou, ZQ</t>
  </si>
  <si>
    <t xml:space="preserve">Chen, Han; Jiang, Albert Z.; Huang, Jinhui Jeanne; Li, Han; McBean, Edward; Singh, Vijay P.; Zhang, Jiawei; Lan, Zhiqing; Gao, Junjie; Zhou, Ziqi</t>
  </si>
  <si>
    <t xml:space="preserve">An enhanced shuttleworth-wallace model for simulation of evapotranspiration and its components</t>
  </si>
  <si>
    <t xml:space="preserve">AGRICULTURAL AND FOREST METEOROLOGY</t>
  </si>
  <si>
    <t xml:space="preserve">Evapotranspiration (et); Et partition; Shuttleworth-wallace model; Vegetation canopy impedance (r(sc)); Bayesian framework</t>
  </si>
  <si>
    <t xml:space="preserve">2-SOURCE MODEL; STOMATAL CONDUCTANCE; SOIL-MOISTURE; WATER-STRESS; WINTER-WHEAT; PARTITIONING EVAPOTRANSPIRATION; STABLE-ISOTOPES; CARBON-DIOXIDE; TRANSPIRATION; EVAPORATION</t>
  </si>
  <si>
    <t xml:space="preserve">The Shuttleworth-Wallace two-source (S-W) model has been widely applied to estimate evapotranspiration (ET) and its components in a variety of vegetation-covered surface conditions. However, significant uncertainties occur in calculation of vegetation canopy resistance (r(sc)) and soil surface resistance (r(ss)). In this study, an enhanced version of the S-W model is proposed to simulate and partition ET. The deep learning (DL) approach which combined soil, vegetation, and meteorological observation data, is employed to simulate r(sc). A twoobjective Monte Carlo-based Bayesian parameter optimization (TOMCBP) is developed to determine the empirical parameters for the rss calculation. The enhanced S-W model was verified based on the three years of eddy correlation (EC) and stable water isotope observations in an urban forest land located in Tianjin, China. Results suggest the machine learning-based rsc parametric scheme effectively improved the performance of the SW model for the ET simulation. The TOMCBP-based rss parameterization scheme can improve the performance of the S-W model for ET partition. Furthermore, this study used the Bayesian model evidence (BME) to evaluate the performance of different models. BME is shown to balance the model complexity and fitting accuracy when compared with traditional statistical parameters, thus showing superiority in model evaluation and selection. This study improves the physical mechanism and performance of the S-W model and proposes a new method for r(sc) and ET components simulation based on machine learning. The enhanced S-W model is more precise and provides guidance for irrigation measures in urban woodland areas.</t>
  </si>
  <si>
    <t xml:space="preserve">[Chen, Han; Huang, Jinhui Jeanne; Li, Han; McBean, Edward; Zhang, Jiawei; Lan, Zhiqing; Gao, Junjie; Zhou, Ziqi] Nankai Univ, Coll Environm Sci &amp; Engn, Sino Canada Joint R&amp;D Ctr Water &amp; Environm Safety, Tianjin 300071, Peoples R China; [Jiang, Albert Z.; McBean, Edward] Univ Guelph, Sch Engn, Guelph, ON N1G 2W1, Canada; [Singh, Vijay P.] Texas A&amp;M Univ, Zachry Dept Civil &amp; Environm Engn, Dept Biol &amp; Agr Engn, College Stn, TX 77843 USA; [Singh, Vijay P.] UAE Univ, Natl Water &amp; Energy Ctr, Al Ain, U Arab Emirates</t>
  </si>
  <si>
    <t xml:space="preserve">Nankai University; University of Guelph; Texas A&amp;M University System; Texas A&amp;M University College Station; United Arab Emirates University</t>
  </si>
  <si>
    <t xml:space="preserve">SINGH, VIJAY/ACV-1417-2022; junjie, gao/AFW-1181-2022; Jiang, Albert/MSY-4962-2025</t>
  </si>
  <si>
    <t xml:space="preserve">Jiang, Albert/0000-0002-3541-5498; Han, Chen/0000-0001-6118-6222</t>
  </si>
  <si>
    <t xml:space="preserve">The authors acknowledge the financial support from the National Natural Science Foundation of China under the grant number 42101033, National Key R&amp;D Program of China for this research under the grant number 2016YFC04007009 and China Postdoctoral Science Foundation under the grant number 2021M691672 and Shenzhen Science and Technology Innovation Project under the grant number JCYJ20210324120807021. We thank the anonymous reviewers for their valuable suggestions that allowed us to improve the paper.</t>
  </si>
  <si>
    <t xml:space="preserve">0168-1923</t>
  </si>
  <si>
    <t xml:space="preserve">1873-2240</t>
  </si>
  <si>
    <t xml:space="preserve">AGR FOREST METEOROL</t>
  </si>
  <si>
    <t xml:space="preserve">Agric. For. Meteorol.</t>
  </si>
  <si>
    <t xml:space="preserve">10.1016/j.agrformet.2021.108769</t>
  </si>
  <si>
    <t xml:space="preserve">Agronomy; Forestry; Meteorology &amp; Atmospheric Sciences</t>
  </si>
  <si>
    <t xml:space="preserve">Agriculture; Forestry; Meteorology &amp; Atmospheric Sciences</t>
  </si>
  <si>
    <t xml:space="preserve">2Q8TU</t>
  </si>
  <si>
    <t xml:space="preserve">WOS:000820691000009</t>
  </si>
  <si>
    <t xml:space="preserve">Achite, M; Mohammadi, B; Jehanzaib, M; Elshaboury, N; Pham, QB; Duan, Z</t>
  </si>
  <si>
    <t xml:space="preserve">Achite, Mohammed; Mohammadi, Babak; Jehanzaib, Muhammad; Elshaboury, Nehal; Quoc Bao Pham; Duan, Zheng</t>
  </si>
  <si>
    <t xml:space="preserve">Enhancing Rainfall-Runoff Simulation via Meteorological Variables and a Deep-Conceptual Learning-Based Framework</t>
  </si>
  <si>
    <t xml:space="preserve">ATMOSPHERE</t>
  </si>
  <si>
    <t xml:space="preserve">conceptual hydrological model; deep learning model; runoff simulation; data-driven model</t>
  </si>
  <si>
    <t xml:space="preserve">HYDROLOGICAL MODELS; NEURAL-NETWORK; PREDICTION; GMDH</t>
  </si>
  <si>
    <t xml:space="preserve">Accurate streamflow simulation is crucial for many applications, such as optimal reservoir operation and irrigation. Conceptual techniques employ physical ideas and are suitable for representing the physics of the hydrologic model, but they might fail in competition with their more advanced counterparts. In contrast, deep learning (DL) approaches provide a great computational capability for streamflow simulation, but they rely on data characteristics and the physics of the issue cannot be fully understood. To overcome these limitations, the current study provided a novel framework based on a combination of conceptual and DL techniques for enhancing the accuracy of streamflow simulation in a snow-covered basin. In this regard, the current study simulated daily streamflow in the Kalixalven river basin in northern Sweden by integrating a snow-based conceptual hydrological model (MISD) with a DL model. Daily precipitation, air temperature (average, minimum, and maximum), dew point temperature, evapotranspiration, relative humidity, sunshine duration, global solar radiation, and atmospheric pressure data were used as inputs for the DL model to examine the effect of each meteorological variable on the streamflow simulation. Results proved that adding meteorological variables to the conceptual hydrological model underframe of parallel settings can improve the accuracy of streamflow simulating by the DL model. The MISD model simulated streamflow had an MAE = 8.33 (cms), r = 0.88, and NSE = 0.77 for the validation phase. The proposed deep-conceptual learning-based framework also performed better than the standalone MISD model; the DL method had an MAE = 7.89 (cms), r = 0.90, and NSE = 0.80 for the validation phase when meteorological variables and MISD results were combined as inputs for the DL model. The integrated rainfall-runoff model proposed in this research is a new concept in rainfall-runoff modeling which can be used for accurate streamflow simulations.</t>
  </si>
  <si>
    <t xml:space="preserve">[Achite, Mohammed] Hassiba Benbouali Univ Chlef, Fac Nat &amp; Life Sci, Lab Water &amp; Environm, Chlef 02180, Algeria; [Mohammadi, Babak; Duan, Zheng] Lund Univ, Dept Phys Geog &amp; Ecosyst Sci, Solvegatan 12, SE-22362 Lund, Sweden; [Jehanzaib, Muhammad] Hanyang Univ, Res Inst Engn &amp; Technol, Ansan 15588, South Korea; [Elshaboury, Nehal] Housing &amp; Bldg Natl Res Ctr, Construct &amp; Project Management Res Inst, Giza 12311, Egypt; [Quoc Bao Pham] Thu Dau Mot Univ, Ctr Forecasting Study, Thu Dau Mot City 75000, Binh Duong Prov, Vietnam</t>
  </si>
  <si>
    <t xml:space="preserve">Universite Hassiba Ben Bouali de Chlef; Lund University; Hanyang University; Egyptian Knowledge Bank (EKB); Housing &amp; Building National Research Center (HBRC); Thu Dau Mot University</t>
  </si>
  <si>
    <t xml:space="preserve">Pham, QB (corresponding author), Thu Dau Mot Univ, Ctr Forecasting Study, Thu Dau Mot City 75000, Binh Duong Prov, Vietnam.</t>
  </si>
  <si>
    <t xml:space="preserve">phambaoquoc@tdmu.edu.vn</t>
  </si>
  <si>
    <t xml:space="preserve">Jehanzaib, Muhammad/ABC-1316-2020; Achite, Mohammed/GLS-8333-2022; duan, zheng/D-6409-2011; Pham, Quoc/AAD-5611-2020; Mohammadi, Babak/JCO-4552-2023</t>
  </si>
  <si>
    <t xml:space="preserve">ACHITE, Mohammed/0000-0001-6084-5759; Jehanzaib, Muhammad/0000-0002-5556-3738; Pham, Quoc Bao/0000-0002-0468-5962; Mohammadi, Babak/0000-0001-8427-5965</t>
  </si>
  <si>
    <t xml:space="preserve">2073-4433</t>
  </si>
  <si>
    <t xml:space="preserve">ATMOSPHERE-BASEL</t>
  </si>
  <si>
    <t xml:space="preserve">Atmosphere</t>
  </si>
  <si>
    <t xml:space="preserve">10.3390/atmos13101688</t>
  </si>
  <si>
    <t xml:space="preserve">Environmental Sciences; Meteorology &amp; Atmospheric Sciences</t>
  </si>
  <si>
    <t xml:space="preserve">Environmental Sciences &amp; Ecology; Meteorology &amp; Atmospheric Sciences</t>
  </si>
  <si>
    <t xml:space="preserve">5O0XT</t>
  </si>
  <si>
    <t xml:space="preserve">WOS:000872207500001</t>
  </si>
  <si>
    <t xml:space="preserve">Castelli, E; Papandrea, E; Di Roma, A; Bloise, I; Varile, M; Tabani, H; Gastellu-Etchegorry, JP; Feruglio, L</t>
  </si>
  <si>
    <t xml:space="preserve">Castelli, Elisa; Papandrea, Enzo; Di Roma, Alessio; Bloise, Ilaria; Varile, Mattia; Tabani, Hamid; Gastellu-Etchegorry, Jean-Philippe; Feruglio, Lorenzo</t>
  </si>
  <si>
    <t xml:space="preserve">Deep Learning Application to Surface Properties Retrieval Using TIR Measurements: A Fast Forward/Reverse Scheme to Deal with Big Data Analysis from New Satellite Generations</t>
  </si>
  <si>
    <t xml:space="preserve">deep learning; Earth observation; satellite; remote sensing; forward models; retrievals</t>
  </si>
  <si>
    <t xml:space="preserve">TEMPERATURE; ALGORITHM</t>
  </si>
  <si>
    <t xml:space="preserve">In recent years, technology advancement has led to an enormous increase in the amount of satellite data. The availability of huge datasets of remote sensing measurements to be processed, and the increasing need for near-real-time data analysis for operational uses, has fostered the development of fast, efficient-retrieval algorithms. Deep learning techniques were recently applied to satellite data for retrievals of target quantities. Forward models (FM) are a fundamental part of retrieval code development and mission design, as well. Despite this, the application of deep learning techniques to radiative transfer simulations is still underexplored. The DeepLIM project, described in this work, aimed at testing the feasibility of the application of deep learning techniques at the design of the retrieval chain of an upcoming satellite mission. The Land Surface Temperature Mission (LSTM) is a candidate for Sentinel 9 and has, as the main target, the need, for the agricultural community, to improve sustainable productivity. To do this, the mission will carry a thermal infrared sensor to retrieve land-surface temperature and evapotranspiration rate. The LSTM land-surface temperature retrieval chain is used as a benchmark to test the deep learning performances when applied to Earth observation studies. Starting from aircraft campaign data and state-of-the-art FM simulations with the DART model, deep learning techniques are used to generate new spectral features. Their statistical behavior is compared to the original technique to test the generation performances. Then, the high spectral resolution simulations are convolved with LSTM spectral response functions to obtain the radiance in the LSTM spectral channels. Simulated observations are analyzed using two state-of-the-art retrieval codes and deep learning-based algorithms. The performances of deep learning algorithms show promising results for both the production of simulated spectra and target parameters retrievals, one of the main advances being the reduction in computational costs.</t>
  </si>
  <si>
    <t xml:space="preserve">[Castelli, Elisa; Papandrea, Enzo; Di Roma, Alessio] Natl Res Council CNR, Inst Atmospher Sci &amp; Climate ISAC, Via Piero Gobetti 101, I-40129 Bologna, Italy; [Bloise, Ilaria; Varile, Mattia; Feruglio, Lorenzo] AIKO SRL, Via Mille 22, I-10123 Turin, Italy; [Tabani, Hamid] Barcelona Supercomp Ctr BSC, Pl Eusebi Guell 1-3, Barcelona 08034, Spain; [Gastellu-Etchegorry, Jean-Philippe] Toulouse Univ, CNRS, Cesbio UT3, CNES,IRD,INRAE, F-31400 Toulouse, France</t>
  </si>
  <si>
    <t xml:space="preserve">Consiglio Nazionale delle Ricerche (CNR); Istituto di Scienze dell'Atmosfera e del Clima (ISAC-CNR); Universitat Politecnica de Catalunya; Barcelona Supercomputer Center (BSC-CNS); Centre National de la Recherche Scientifique (CNRS); Universite Federale Toulouse Midi-Pyrenees (ComUE); INRAE; Institut de Recherche pour le Developpement (IRD)</t>
  </si>
  <si>
    <t xml:space="preserve">Castelli, E (corresponding author), Natl Res Council CNR, Inst Atmospher Sci &amp; Climate ISAC, Via Piero Gobetti 101, I-40129 Bologna, Italy.</t>
  </si>
  <si>
    <t xml:space="preserve">e.castelli@isac.cnr.it; E.Papandrea@isac.cnr.it; a.diroma@isac.cnr.it; laria@aikospace.com; mattia@aikospace.com; hamid.tabani@bsc.es; jean-philippe.gastellu@iut-tlse3.fr; lorenzo@aikospace.com</t>
  </si>
  <si>
    <t xml:space="preserve">Papandrea, Enzo/GSO-2052-2022; Papandrea, Enzo/F-2196-2018</t>
  </si>
  <si>
    <t xml:space="preserve">Gastellu-Etchegorry, jean philippe/0000-0002-6645-8837; Varile, Mattia/0000-0001-9833-2537; Papandrea, Enzo/0000-0001-6698-0011</t>
  </si>
  <si>
    <t xml:space="preserve">European SpaceAgency (ESA) [4000125402/18/NL/NA, 4000125840/18/NL/LF, AO/1-8733/16/NL/AF/eg, 4000120368/17/NL/AF/hh, 4000128370/19/NL/AS]; Ministry of Education, Youth and Sports of CR within the CzeCOS program [LM2018123]</t>
  </si>
  <si>
    <t xml:space="preserve">European SpaceAgency (ESA)(European Space Agency); Ministry of Education, Youth and Sports of CR within the CzeCOS program</t>
  </si>
  <si>
    <t xml:space="preserve">Airborne acquisition, data analysis, and DART simulations were financed by the European SpaceAgency (ESA) in the frame of the FLEXSense campaign (ESAContractNo. 4000125402/18/NL/NA) and the SurfSense campaign (ESA contract No. 4000125840/18/NL/LF), and the LSTM project (ESA contract No.: AO/1-8733/16/NL/AF/eg) and the Assessment of the potential use of high-resolution TIR bands project (ESA contract No.: 4000120368/17/NL/AF/hh). TASI data acquisition and processing is based on use of Large Research Infrastructure CzeCOS supported by the Ministry of Education, Youth and Sports of CR within the CzeCOS program, grant number LM2018123. The DeepLIM project was founded with ESA contract Nr. 4000128370/19/NL/AS.</t>
  </si>
  <si>
    <t xml:space="preserve">10.3390/rs13245003</t>
  </si>
  <si>
    <t xml:space="preserve">XY8II</t>
  </si>
  <si>
    <t xml:space="preserve">WOS:000737208900001</t>
  </si>
  <si>
    <t xml:space="preserve">Liu, WQ; Hao, HQ; Song, XH; Wang, Q; Hao, YH; Zhang, J; Huang, X; Yan, XP</t>
  </si>
  <si>
    <t xml:space="preserve">Liu, Wenqiang; Hao, Huiqing; Song, Xiehui; Wang, Qi; Hao, Yonghong; Zhang, Juan; Huang, Xin; Yan, Xiping</t>
  </si>
  <si>
    <t xml:space="preserve">Investigating hydrological processes using explainable deep-learning models</t>
  </si>
  <si>
    <t xml:space="preserve">Article; Early Access</t>
  </si>
  <si>
    <t xml:space="preserve">deep learning (DL); Shapley value; Tang River catchment; extreme hydrological events; time series; non-linearity</t>
  </si>
  <si>
    <t xml:space="preserve">EVAPOTRANSPIRATION METHODS; STREAMFLOW; VARIABILITY</t>
  </si>
  <si>
    <t xml:space="preserve">This paper examines how meteorological factors influence streamflow. It is crucial for water resources planning and management. It develops three Deep Learning (DL) models (Long short-Term Memory (LSTM), Random Forest (RF), and Gradient Boosting Machine (GBM)) and compares their performance with multiple linear regression (MLR). LSTM is identified as the best model, and SHAP is used to analyse the contributions of different factors to streamflow. The model is applied to the Tang River catchment in China. The results indicate that: (1) DL models outperform MLR in non-linear regression; (2) the ranking of meteorological factors contributing to streamflow is: precipitation, evaporation, relative humidity, sunshine duration, ground temperature, and wind speed; (3) these factors affect streamflow within a 12-day lead time, with significant contributions closer to the prediction date; (4) during droughts, precipitation has a reduced effect on streamflow, suggesting that the streamflow is likely recharged by groundwater. The model enhances our understanding of how meteorological factors interact with streamflow dynamics.</t>
  </si>
  <si>
    <t xml:space="preserve">[Liu, Wenqiang] Tianjin Univ, Inst Surface Earth Syst Sci, Sch Earth Syst Sci, Tianjin, Peoples R China; [Hao, Huiqing; Hao, Yonghong] Tianjin Normal Univ, Tianjin Key Lab Water Resources &amp; Environm, 393 Binshui West Rd, Tianjin, Peoples R China; [Hao, Huiqing; Zhang, Juan] Tianjin Normal Univ, Coll Geog &amp; Environm Sci, Tianjin, Peoples R China; [Song, Xiehui] Shanxi Xu Teli Sr Vocat Sch, Dept Culture &amp; Art, Lvliang City, Shanxi, Peoples R China; [Wang, Qi] Univ South Carolina, Dept Math, Columbia, SC USA; [Huang, Xin; Yan, Xiping] Tianjin Normal Univ, Coll Comp &amp; Informat Engn, Tianjin, Peoples R China</t>
  </si>
  <si>
    <t xml:space="preserve">Tianjin University; Tianjin Normal University; Tianjin Normal University; University of South Carolina System; University of South Carolina Columbia; Tianjin Normal University</t>
  </si>
  <si>
    <t xml:space="preserve">Hao, YH (corresponding author), Tianjin Normal Univ, Tianjin Key Lab Water Resources &amp; Environm, 393 Binshui West Rd, Tianjin, Peoples R China.</t>
  </si>
  <si>
    <t xml:space="preserve">haoyh@sxu.edu.cn</t>
  </si>
  <si>
    <t xml:space="preserve">National Natural Science Foundation of China [42072277, 42307088, U2244214, 41272245, 40972165, 40572150]; NSF [DMS-1954532, DMS-2038080, OIA-2242812]; NSF</t>
  </si>
  <si>
    <t xml:space="preserve">National Natural Science Foundation of China(National Natural Science Foundation of China (NSFC)); NSF(National Science Foundation (NSF)); NSF(National Science Foundation (NSF))</t>
  </si>
  <si>
    <t xml:space="preserve">This work is supported by the National Natural Science Foundation of China [42072277, 42307088, U2244214, 41272245, 40972165, and 40572150]. Qi Wang's research is partially supported by NSF awards [DMS-1954532, DMS-2038080, and OIA-2242812].</t>
  </si>
  <si>
    <t xml:space="preserve">2024 NOV 29</t>
  </si>
  <si>
    <t xml:space="preserve">10.1080/02626667.2024.2423050</t>
  </si>
  <si>
    <t xml:space="preserve">N5C8B</t>
  </si>
  <si>
    <t xml:space="preserve">WOS:001364526100001</t>
  </si>
  <si>
    <t xml:space="preserve">Shakya, CM; Bhattacharjya, RK; Dadhich, S</t>
  </si>
  <si>
    <t xml:space="preserve">Shakya, Chandra Mohan; Bhattacharjya, Rajib Kumar; Dadhich, Sharad</t>
  </si>
  <si>
    <t xml:space="preserve">Groundwater level prediction with machine learning for the Vidisha district, a semi-arid region of Central India</t>
  </si>
  <si>
    <t xml:space="preserve">GROUNDWATER FOR SUSTAINABLE DEVELOPMENT</t>
  </si>
  <si>
    <t xml:space="preserve">Evapotranspiration; Machine &amp; deep learning; Nash-Sutcliffe efficiency; r(2)-score</t>
  </si>
  <si>
    <t xml:space="preserve">FUZZY INFERENCE SYSTEM; ARTIFICIAL NEURAL-NETWORKS; ANFIS MODELS; PLAIN; ANN</t>
  </si>
  <si>
    <t xml:space="preserve">Groundwater is one of the most important freshwater resources, particularly in dry and semi-arid regions with low annual precipitation and frequent droughts. For the planning and the management of water resources, this is very essential to generate a soft computing method that can predict or forecast groundwater table (GWT). The different machine and deep learning algorithms are evaluated in this research work to predict the groundwater table using season, monthly rainfall, and evapotranspiration rate, which are further compared. The performance evaluation of the different algorithms was done using five different statistical parameters, i.e., mean absolute error (MAE), mean squared error (MSE), root-mean-square error (RMSE), R-2-score, and Nash-Sutcliffe Efficiency (NSE). From the results of this study, it is concluded that the Multivariate polynomial regression algorithm is the most efficient for predicting the groundwater table with the minimum mean absolute error in the range of 0.63-0.85 and R-2-score of 0.82-0.88.</t>
  </si>
  <si>
    <t xml:space="preserve">[Shakya, Chandra Mohan; Bhattacharjya, Rajib Kumar; Dadhich, Sharad] Indian Inst Technol, Dept Civil Engn, Gauhati, India</t>
  </si>
  <si>
    <t xml:space="preserve">Indian Institute of Technology System (IIT System); Indian Institute of Technology (IIT) - Guwahati</t>
  </si>
  <si>
    <t xml:space="preserve">Shakya, CM (corresponding author), Indian Inst Technol, Dept Civil Engn, Gauhati, India.</t>
  </si>
  <si>
    <t xml:space="preserve">chandra.moban@iitg.ac.in; rkbc@iitg.ac.in; s.dadhich@iitg.ac.in</t>
  </si>
  <si>
    <t xml:space="preserve">Dadhich, Sharad/IXD-5396-2023; Bhattacharjya, Rajib/AAH-9943-2019</t>
  </si>
  <si>
    <t xml:space="preserve">Dadhich, Sharad/0000-0003-3088-9923; SHAKYA, CHANDRA MOHAN/0000-0002-0476-8880</t>
  </si>
  <si>
    <t xml:space="preserve">2352-801X</t>
  </si>
  <si>
    <t xml:space="preserve">GROUNDWATER SUST DEV</t>
  </si>
  <si>
    <t xml:space="preserve">Groundwater Sustain. Dev.</t>
  </si>
  <si>
    <t xml:space="preserve">10.1016/j.gsd.2022.100825</t>
  </si>
  <si>
    <t xml:space="preserve">AUG 2022</t>
  </si>
  <si>
    <t xml:space="preserve">4I3FI</t>
  </si>
  <si>
    <t xml:space="preserve">WOS:000850462800005</t>
  </si>
  <si>
    <t xml:space="preserve">Li, K; Lu, YT</t>
  </si>
  <si>
    <t xml:space="preserve">Li, Klin; Lu, Yutong</t>
  </si>
  <si>
    <t xml:space="preserve">A Transformer-Based Framework for Parameter Learning of a Land Surface Hydrological Process Model</t>
  </si>
  <si>
    <t xml:space="preserve">parameters calibration; transformer; SMAP observation; soil moisture prediction; deep learning; MODIS evapotranspiration data</t>
  </si>
  <si>
    <t xml:space="preserve">SOIL-MOISTURE; OPTIMIZATION; CALIBRATION; DECADES; WATER</t>
  </si>
  <si>
    <t xml:space="preserve">The effective representation of land surface hydrological models strongly relies on spatially varying parameters that require calibration. Well-calibrated physical models can effectively propagate observed information to unobserved variables, but traditional calibration methods often result in nonunique solutions. In this paper, we propose a hydrological parameter calibration training framework consisting of a transformer-based parameter learning model (ParaFormer) and a surrogate model based on LSTM. On the one hand, ParaFormer utilizes self-attention mechanisms to learn a global mapping from observed data to the parameters to be calibrated, which captures spatial correlations. On the other hand, the surrogate model takes the calibrated parameters as inputs and simulates the observable variables, such as soil moisture, overcoming the challenges of directly combining complex hydrological models with a deep learning (DL) platform in a hybrid training scheme. Using the variable infiltration capacity model as the reference, we test the performance of ParaFormer on datasets of different resolutions. The results demonstrate that, in predicting soil moisture and transferring calibrated parameters in the task of evapotranspiration prediction, ParaFormer learns more effective and robust parameter mapping patterns compared to traditional and state-of-the-art DL-based parameter calibration methods.</t>
  </si>
  <si>
    <t xml:space="preserve">[Li, Klin; Lu, Yutong] Sun Yat Sen Univ, Sch Comp Sci &amp; Engn, Guangzhou 510006, Peoples R China</t>
  </si>
  <si>
    <t xml:space="preserve">Sun Yat Sen University</t>
  </si>
  <si>
    <t xml:space="preserve">Lu, YT (corresponding author), Sun Yat Sen Univ, Sch Comp Sci &amp; Engn, Guangzhou 510006, Peoples R China.</t>
  </si>
  <si>
    <t xml:space="preserve">yutong.lu@nscc-gz.cn</t>
  </si>
  <si>
    <t xml:space="preserve">10.3390/rs15143536</t>
  </si>
  <si>
    <t xml:space="preserve">N3ZE5</t>
  </si>
  <si>
    <t xml:space="preserve">WOS:001036424700001</t>
  </si>
  <si>
    <t xml:space="preserve">Sattari, MT; Apaydin, H</t>
  </si>
  <si>
    <t xml:space="preserve">Sattari, Mohammad Taghi; Apaydin, Halit</t>
  </si>
  <si>
    <t xml:space="preserve">Application of data driven models in estimating daily reference evapotranspiration in a coastal region</t>
  </si>
  <si>
    <t xml:space="preserve">INTERNATIONAL JOURNAL OF SUSTAINABLE AGRICULTURAL MANAGEMENT AND INFORMATICS</t>
  </si>
  <si>
    <t xml:space="preserve">deep learning; long-short term memory; LSTM; M5Rule; support vector regression; SVR; crop water requirement; irrigation; Tekirdag</t>
  </si>
  <si>
    <t xml:space="preserve">SUPPORT-VECTOR-MACHINE; LIMITED CLIMATIC DATA; METEOROLOGICAL DATA; PREDICTION; REGRESSION; SVM; ELM; ANN</t>
  </si>
  <si>
    <t xml:space="preserve">An accurate calculation of the amount of water requirements for plants can create a more effective irrigation program. In this study, the daily reference evapotranspiration (ETo) was calculated by FAO-Penman-Monteith method and also estimated by three data-driven based models; M5Rule, support vector regression, K-nearest neighbours and a long-short term memory (LSTM) model based on deep learning. Eight meteorological variables (maximum and minimum daily temperature, maximum and minimum relative humidity, wind speed, sunshine duration, dew point temperature and monthly time index) and 15 different input scenarios were considered for modelling in a coastal agricultural land, namely, Tekirdag, Turkey. The results showed that all the models used presented highly accurate estimations. However, the deep learning based LSTM model yielded the most accurate result with 0.99 as the correlation coefficient and 0.25 as the RMSE. The results concluded that, by using only the maximum temperature or minimum temperature, the amount of ETo can be estimated with a high degree of accuracy without the need for other meteorological variables and physically based equations.</t>
  </si>
  <si>
    <t xml:space="preserve">[Sattari, Mohammad Taghi] Univ Tabriz, Fac Agr, Dept Water Engn, Tabriz 51666, Iran; [Sattari, Mohammad Taghi; Apaydin, Halit] Ankara Univ, Fac Agr, Dept Agr Engn, TR-06110 Ankara, Turkiye</t>
  </si>
  <si>
    <t xml:space="preserve">University of Tabriz; Ankara University</t>
  </si>
  <si>
    <t xml:space="preserve">Sattari, MT (corresponding author), Univ Tabriz, Fac Agr, Dept Water Engn, Tabriz 51666, Iran.;Sattari, MT (corresponding author), Ankara Univ, Fac Agr, Dept Agr Engn, TR-06110 Ankara, Turkiye.</t>
  </si>
  <si>
    <t xml:space="preserve">mtsattar@gmail.com; apaydin@ankara.edu.tr</t>
  </si>
  <si>
    <t xml:space="preserve">APAYDIN, Halit/A-3134-2016; Sattari, Mohammad Taghi/AAI-3212-2020</t>
  </si>
  <si>
    <t xml:space="preserve">Visiting Scientists and Scientists on Sabbatical Leave Programme of The Scientific and Technological Research Council of Turkey (TUBITAK) [1059B211900014]</t>
  </si>
  <si>
    <t xml:space="preserve">Visiting Scientists and Scientists on Sabbatical Leave Programme of The Scientific and Technological Research Council of Turkey (TUBITAK)(Turkiye Bilimsel ve Teknolojik Arastirma Kurumu (TUBITAK))</t>
  </si>
  <si>
    <t xml:space="preserve">INDERSCIENCE ENTERPRISES LTD</t>
  </si>
  <si>
    <t xml:space="preserve">GENEVA</t>
  </si>
  <si>
    <t xml:space="preserve">WORLD TRADE CENTER BLDG, 29 ROUTE DE PRE-BOIS, CASE POSTALE 856, CH-1215 GENEVA, SWITZERLAND</t>
  </si>
  <si>
    <t xml:space="preserve">2054-5819</t>
  </si>
  <si>
    <t xml:space="preserve">2054-5827</t>
  </si>
  <si>
    <t xml:space="preserve">INT J SUST AGR MANAG</t>
  </si>
  <si>
    <t xml:space="preserve">Int. J. Sustain. Agric. Manage. Inform.</t>
  </si>
  <si>
    <t xml:space="preserve">10.1504/IJSAMI.2024.139728</t>
  </si>
  <si>
    <t xml:space="preserve">Agriculture, Multidisciplinary; Computer Science, Interdisciplinary Applications; Green &amp; Sustainable Science &amp; Technology</t>
  </si>
  <si>
    <t xml:space="preserve">Agriculture; Computer Science; Science &amp; Technology - Other Topics</t>
  </si>
  <si>
    <t xml:space="preserve">YK1T2</t>
  </si>
  <si>
    <t xml:space="preserve">WOS:001268298100005</t>
  </si>
  <si>
    <t xml:space="preserve">Wi, S; Steinschneider, S</t>
  </si>
  <si>
    <t xml:space="preserve">Wi, Sungwook; Steinschneider, Scott</t>
  </si>
  <si>
    <t xml:space="preserve">On the need for physical constraints in deep learning rainfall-runoff projections under climate change: a sensitivity analysis to warming and shifts in potential evapotranspiration</t>
  </si>
  <si>
    <t xml:space="preserve">HYDROLOGIC-MODELS; DATA SET; UNCERTAINTY; PERFORMANCE; STREAMFLOW; SIMULATIONS; TEMPERATURE; PREDICTIONS; FORMULATION</t>
  </si>
  <si>
    <t xml:space="preserve">Deep learning (DL) rainfall-runoff models outperform conceptual, process-based models in a range of applications. However, it remains unclear whether DL models can produce physically plausible projections of streamflow under climate change. We investigate this question through a sensitivity analysis of modeled responses to increases in temperature and potential evapotranspiration (PET), with other meteorological variables left unchanged. Previous research has shown that temperature-based PET methods overestimate evaporative water loss under warming compared with energy budget-based PET methods. We therefore assume that reliable streamflow responses to warming should exhibit less evaporative water loss when forced with smaller, energy-budget-based PET compared with temperature-based PET. We conduct this assessment using three conceptual, process-based rainfall-runoff models and three DL models, trained and tested across 212 watersheds in the Great Lakes basin. The DL models include a Long Short-Term Memory network (LSTM), a mass-conserving LSTM (MC-LSTM), and a novel variant of the MC-LSTM that also respects the relationship between PET and evaporative water loss (MC-LSTM-PET). After validating models against historical streamflow and actual evapotranspiration, we force all models with scenarios of warming, historical precipitation, and both temperature-based (Hamon) and energy-budget-based (Priestley-Taylor) PET, and compare their responses in long-term mean daily flow, low flows, high flows, and seasonal streamflow timing. We also explore similar responses using a national LSTM fit to 531 watersheds across the United States to assess how the inclusion of a larger and more diverse set of basins influences signals of hydrological response under warming. The main results of this study are as follows:The three Great Lakes DL models substantially outperform all process-based models in streamflow estimation. The MC-LSTM-PET also matches the best process-based models and outperforms the MC-LSTM in estimating actual evapotranspiration. All process-based models show a downward shift in long-term mean daily flows under warming, but median shifts are considerably larger under temperature-based PET (17 % to 25 %) than energy-budget-based PET (6 % to 9 %). The MC-LSTM-PET model exhibits similar differences in water loss across the different PET forcings. Conversely, the LSTM exhibits unrealistically large water losses under warming using Priestley-Taylor PET (20 %), while the MC-LSTM is relatively insensitive to the PET method. DL models exhibit smaller changes in high flows and seasonal timing of flows as compared with the process-based models, while DL estimates of low flows are within the range estimated by the process-based models. Like the Great Lakes LSTM, the national LSTM also shows unrealistically large water losses under warming (25 %), but it is more stable when many inputs are changed under warming and better aligns with process-based model responses for seasonal timing of flows.Ultimately, the results of this sensitivity analysis suggest that physical considerations regarding model architecture and input variables may be necessary to promote the physical realism of deep-learning-based hydrological projections under climate change.</t>
  </si>
  <si>
    <t xml:space="preserve">[Wi, Sungwook; Steinschneider, Scott] Cornell Univ, Dept Biol &amp; Environm Engn, Ithaca, NY 14850 USA</t>
  </si>
  <si>
    <t xml:space="preserve">Cornell University</t>
  </si>
  <si>
    <t xml:space="preserve">Wi, S (corresponding author), Cornell Univ, Dept Biol &amp; Environm Engn, Ithaca, NY 14850 USA.</t>
  </si>
  <si>
    <t xml:space="preserve">sw2275@cornell.edu</t>
  </si>
  <si>
    <t xml:space="preserve">Steinschneider, Scott/0000-0002-8882-1908</t>
  </si>
  <si>
    <t xml:space="preserve">National Science Foundation [CBET-2144332]; U.S. National Science Foundation [G21AC10601-00]; U.S. Geological Survey Northeast Climate Adaptation Science Center</t>
  </si>
  <si>
    <t xml:space="preserve">National Science Foundation(National Science Foundation (NSF)); U.S. National Science Foundation(National Science Foundation (NSF)); U.S. Geological Survey Northeast Climate Adaptation Science Center</t>
  </si>
  <si>
    <t xml:space="preserve">This research was supported by the U.S. National Science Foundation grant no. CBET-2144332. This work was also partially supported by the U.S. Geological Survey Northeast Climate Adaptation Science Center, which is managed by the USGS National Climate Adaptation Science Center, under grant/cooperative agreement no. G21AC10601-00.</t>
  </si>
  <si>
    <t xml:space="preserve">FEB 7</t>
  </si>
  <si>
    <t xml:space="preserve">10.5194/hess-28-479-2024</t>
  </si>
  <si>
    <t xml:space="preserve">LY9O7</t>
  </si>
  <si>
    <t xml:space="preserve">WOS:001190493200001</t>
  </si>
  <si>
    <t xml:space="preserve">Bafti, AG; Ahmadi, A; Abbasi, A; Kamangir, H; Jamali, S; Hashemi, H</t>
  </si>
  <si>
    <t xml:space="preserve">Bafti, Alireza Ghaderi; Ahmadi, Arman; Abbasi, Ali; Kamangir, Hamid; Jamali, Sadegh; Hashemi, Hossein</t>
  </si>
  <si>
    <t xml:space="preserve">Automated actual evapotranspiration estimation: Hybrid model of a novel attention based U-Net and metaheuristic optimization algorithms</t>
  </si>
  <si>
    <t xml:space="preserve">Actual evapotranspiration mapping; Deep learning; Attention mechanism; Harris Hawks Optimization; Simplified surface energy balance (SSEBop); U -Net architecture</t>
  </si>
  <si>
    <t xml:space="preserve">BALANCE SSEBOP MODEL; ENERGY-BALANCE; MULTILAYER PERCEPTRON; ANT LION; EVAPORATION; WATER; LAKE; BUDGET; PARAMETERIZATION; NETWORKS</t>
  </si>
  <si>
    <t xml:space="preserve">Actual evapotranspiration (ETa) plays a crucial role in the water and energy cycles of the earth. An accurate estimate of the ETa is essential for management of the water resources, agriculture, and irrigation, as well as research on atmospheric variations. Despite the importance of accurate ETa values, estimating and mapping them remains challenging due to the physical and biological complexity of the ET process. As a novel approach for rapid and reliable estimation of ETa, the present study develops automated deep learning (AutoDL) models that incorporate a metaheuristic optimization algorithm for image processing, architectural design, and hyper-parameter tuning. The proposed AutoDL models integrate three different spatial and channel attention mecha-nisms, including a novel activated spatial attention mechanism (ASPAM), with the U-Net architecture. Bypassing the need for meteorological inputs, the proposed framework uses Moderate Resolution Imaging Spectrometer (MODIS) products and Digital Elevation Model (DEM) data as inputs. To evaluate the performance of the models, they are applied to three study areas in the United States with various climatic characteristics. According to the results, during the spring and summer, when the target values have higher certainty, the estimations are highly promising, with R2 as high as 0.91 and MAPE as low as 6.40%. Furthermore, the proposed ASPAM module improves the accuracy of ETa estimations compared to attention gate (AG) and squeeze and excitation (SE) attention modules. The results also indicate that the MODIS raw products and derived vegetation and water indices can predict ETa within a reliable range of accuracy, with the addition of DEM data marginally enhancing the models' performance. The automatic workflow of this model makes it significantly easy to use, contributing to its applicability and generalizability for enhancing atmospheric research.</t>
  </si>
  <si>
    <t xml:space="preserve">[Bafti, Alireza Ghaderi; Abbasi, Ali] Ferdowsi Univ Mashhad, Fac Engn, Dept Civil Engn, Mashhad, Iran; [Ahmadi, Arman] Univ Calif Davis, Dept Biol &amp; Agr Engn, Davis, CA 95616 USA; [Abbasi, Ali] Delft Univ Technol, Fac Civil Engn &amp; Geosci, Water Resources Sect, Delft, Netherlands; [Kamangir, Hamid] Univ Calif Davis, Dept Agr &amp; Environm Engn, Davis, CA 95616 USA; [Jamali, Sadegh] Lund Univ, Fac Engn, Dept Technol &amp; Soc, S-22100 Lund, Sweden; [Hashemi, Hossein] Lund Univ, Dept Water Resources Engn &amp; Ctr Adv Middle Eastern, S-22100 Lund, Sweden; [Bafti, Alireza Ghaderi] Univ Florida, Dept Soil Water &amp; Ecosyst Sci, Gainesville, FL 32611 USA</t>
  </si>
  <si>
    <t xml:space="preserve">Ferdowsi University Mashhad; University of California System; University of California Davis; Delft University of Technology; University of California System; University of California Davis; Lund University; Lund University; State University System of Florida; University of Florida</t>
  </si>
  <si>
    <t xml:space="preserve">Bafti, AG (corresponding author), Ferdowsi Univ Mashhad, Fac Engn, Dept Civil Engn, Mashhad, Iran.;Bafti, AG (corresponding author), Univ Florida, Dept Soil Water &amp; Ecosyst Sci, Gainesville, FL 32611 USA.</t>
  </si>
  <si>
    <t xml:space="preserve">a.ghaderibafti@ufl.edu</t>
  </si>
  <si>
    <t xml:space="preserve">Kamangir, Hamid/AAB-7042-2021; Kamali Maskooni, Ehsan/AAW-5529-2020; Ghaderi Bafti, Alireza/IVV-7855-2023; Jamali, Sadegh/A-1585-2016</t>
  </si>
  <si>
    <t xml:space="preserve">Erasmus student mobility program</t>
  </si>
  <si>
    <t xml:space="preserve">AGB was funded by the Erasmus student mobility program for a 3-month traineeship at Lund University, Sweden.</t>
  </si>
  <si>
    <t xml:space="preserve">10.1016/j.atmosres.2023.107107</t>
  </si>
  <si>
    <t xml:space="preserve">AL1T9</t>
  </si>
  <si>
    <t xml:space="preserve">WOS:001118536600001</t>
  </si>
  <si>
    <t xml:space="preserve">Xu, TR; Guo, ZX; Liu, SM; He, XL; Meng, YFY; Xu, ZW; Xia, YL; Xiao, JF; Zhang, Y; Ma, YF; Song, LS</t>
  </si>
  <si>
    <t xml:space="preserve">Xu, Tongren; Guo, Zhixia; Liu, Shaomin; He, Xinlei; Meng, Yangfanyu; Xu, Ziwei; Xia, Youlong; Xiao, Jingfeng; Zhang, Yuan; Ma, Yanfei; Song, Lisheng</t>
  </si>
  <si>
    <t xml:space="preserve">Evaluating Diffferent Machine Learning Methods for Upscaling Evapotranspiration from Flux Towers to the Regional Scale</t>
  </si>
  <si>
    <t xml:space="preserve">JOURNAL OF GEOPHYSICAL RESEARCH-ATMOSPHERES</t>
  </si>
  <si>
    <t xml:space="preserve">CONTERMINOUS UNITED-STATES; LAND-SURFACE TEMPERATURE; LATENT-HEAT FLUX; EDDY-COVARIANCE; COMBINING MODIS; CARBON; EXCHANGE; EFFICIENCY; DYNAMICS; CHINA</t>
  </si>
  <si>
    <t xml:space="preserve">Evapotranspiration (ET) is a vital variable for land-atmosphere interactions that links surface energy balance, water, and carbon cycles. The in situ techniques can measure ET accurately but the observations have limited spatial and temporal coverage. Modeling approaches have been used to estimate ET at broad spatial and temporal scales, while accurately simulating ET at regional scales remains a major challenge. In this study, we upscale ET from eddy covariance flux tower sites to the regional scale with machine learning algorithms. Five machine learning algorithms are employed for ET upscaling including artificial neural network, Cubist, deep belief network, random forest, and support vector machine. The machine learning methods are trained and tested at 36 flux towers sites (65 site years) across the Heihe River Basin and are then applied to estimate ET for each grid cell (1 km x 1 km) within the watershed and for each day over the period 2012-2016. The artificial neural network, Cubist, random forest, and support vector machine algorithms have almost identical performance in estimating ET and have slightly lower root-mean-square error than deep belief network at the site scale. The random forest algorithm has slightly lower relative uncertainty at the regional scale than other methods based on three-cornered hat method. Additionally, the machine learning methods perform better over densely vegetated conditions than barren land or sparsely vegetated conditions. The regional ET generated from the machine learning approaches captured the spatial and temporal patterns of ET at the regional scale.</t>
  </si>
  <si>
    <t xml:space="preserve">[Xu, Tongren; Guo, Zhixia; Liu, Shaomin; He, Xinlei; Meng, Yangfanyu; Xu, Ziwei; Zhang, Yuan] Beijing Normal Univ, Sch Nat Resources, Fac Geog Sci, State Key Lab Earth Surface Proc &amp; Resource Ecol, Beijing, Peoples R China; [Xia, Youlong] NCEP, IM Syst Grp, EMC, College Pk, MD USA; [Xiao, Jingfeng] Univ New Hampshire, Inst Study Earth Oceans &amp; Space, Earth Syst Res Ctr, Durham, NH 03824 USA; [Ma, Yanfei] Handan Coll, Dept Geog, Handan, Peoples R China; [Song, Lisheng] Southwest Univ, Sch Geog Sci, Chongqing, Peoples R China</t>
  </si>
  <si>
    <t xml:space="preserve">Beijing Normal University; National Oceanic Atmospheric Admin (NOAA) - USA; I.M. Systems Group, Inc.; University System Of New Hampshire; University of New Hampshire; Handan University; Southwest University - China</t>
  </si>
  <si>
    <t xml:space="preserve">Liu, SM (corresponding author), Beijing Normal Univ, Sch Nat Resources, Fac Geog Sci, State Key Lab Earth Surface Proc &amp; Resource Ecol, Beijing, Peoples R China.</t>
  </si>
  <si>
    <t xml:space="preserve">smliu@bnu.edu.cn</t>
  </si>
  <si>
    <t xml:space="preserve">Song, Lisheng/AFL-6837-2022; Xiao, Jingfeng/AFT-5010-2022; LIU, Shulin/ABG-9784-2021; XU, Ziwei/LCD-3835-2024; Yanfei, Ma/GYR-0000-2022</t>
  </si>
  <si>
    <t xml:space="preserve">Xiao, Jingfeng/0000-0002-0622-6903; XU, TONGREN/0000-0002-1744-8974; Liu, Shaomin/0000-0003-3627-9288</t>
  </si>
  <si>
    <t xml:space="preserve">National Natural Science Foundation of China [41531174]; National Basic Research Program of China [2015CB953702]; National Aeronautics and Space Administration (NASA) [NNX16AG61G]</t>
  </si>
  <si>
    <t xml:space="preserve">National Natural Science Foundation of China(National Natural Science Foundation of China (NSFC)); National Basic Research Program of China(National Basic Research Program of China); National Aeronautics and Space Administration (NASA)(National Aeronautics &amp; Space Administration (NASA))</t>
  </si>
  <si>
    <t xml:space="preserve">This work is supported by the National Natural Science Foundation of China (41531174) and National Basic Research Program of China (2015CB953702). J. Xiao was supported by the National Aeronautics and Space Administration (NASA; Climate Indicators and Data Products for Future National Climate Assessments, grant NNX16AG61G). We would like to thank all the scientists, engineers, and students who participated in WATER and HiWATER field campaigns. The ground-measured turbulent heat fluxes, meteorological variables, and land cover data are downloaded freely via Heihe Data Center (http://www.heihedata.org/). Leaf area index (LAI) data are available on the Beijing Normal University data center (http://glass-product.bnu.edu.cn/). We thank the three anonymous reviewers for their helpful comments on the manuscript.</t>
  </si>
  <si>
    <t xml:space="preserve">2169-897X</t>
  </si>
  <si>
    <t xml:space="preserve">2169-8996</t>
  </si>
  <si>
    <t xml:space="preserve">J GEOPHYS RES-ATMOS</t>
  </si>
  <si>
    <t xml:space="preserve">J. Geophys. Res.-Atmos.</t>
  </si>
  <si>
    <t xml:space="preserve">AUG 27</t>
  </si>
  <si>
    <t xml:space="preserve">10.1029/2018JD028447</t>
  </si>
  <si>
    <t xml:space="preserve">GU5NB</t>
  </si>
  <si>
    <t xml:space="preserve">WOS:000445331900018</t>
  </si>
  <si>
    <t xml:space="preserve">Shrestha, E; Poudyal, S; Ghimire, A; Maharjan, S; Lamichhane, M; Mehan, S</t>
  </si>
  <si>
    <t xml:space="preserve">Shrestha, Erica; Poudyal, Suyog; Ghimire, Anup; Maharjan, Shrena; Lamichhane, Manoj; Mehan, Sushant</t>
  </si>
  <si>
    <t xml:space="preserve">Evaluating empirical and machine learning approaches for reference evapotranspiration estimation using limited climatic variables in Nepal</t>
  </si>
  <si>
    <t xml:space="preserve">RESULTS IN ENGINEERING</t>
  </si>
  <si>
    <t xml:space="preserve">Radiation-based; K -means clustering; Deep neural networks; Water resource management; Southeast Asia</t>
  </si>
  <si>
    <t xml:space="preserve">ARTIFICIAL NEURAL-NETWORKS; METEOROLOGICAL DATA; TREE; SVM</t>
  </si>
  <si>
    <t xml:space="preserve">Accurate estimation of reference evapotranspiration (ET0) is essential for optimizing water resource management. The widely accepted Penman-Monteith (FAO-56PM) model is commonly used for ET0 estimation but relies on numerous weather variables that are often unavailable in developing countries like Nepal. The suitability of both empirical and machine learning (ML) models with limited climatic variables for estimating ET0 in Nepal remains unexplored. We used 19 meteorological stations across Nepal that measured climatic variables, including maximum and minimum temperatures, wind speed, relative humidity, and sunshine hours. We assessed the performance of six widely used empirical models (Hargreaves Samani, modified Hargreaves Samani, Romanenko, Schendel, Priestley-Taylor, and Makkink) and four ML models (random forest, extreme gradient boosting, deep neural network, and long short-term memory) to estimate ET0 with limited climatic variables in Nepal. Two strategies were applied: (1) the proposed ML models were tested at each weather station using leave- one-out cross-validation (LOOCV), (2) meteorological stations were grouped into three clusters using the Kmeans clustering and model performance were evaluated on each cluster. Results indicate that radiation-based models outperformed humidity and temperature-based models, with R2 increasing from 23 to 38 % and RMSE decreasing by 27 to 41 % across empirical and ML models. Notably, all ML models outperformed empirical models, with clustering of weather stations further reducing prediction error in ET0 estimation by 10 to 18 %. These findings demonstrate the potential of ML models for accurate ET0 estimation with limited data, supporting agricultural water management and enhancing resilience in water-stressed areas.</t>
  </si>
  <si>
    <t xml:space="preserve">[Shrestha, Erica; Poudyal, Suyog; Ghimire, Anup; Maharjan, Shrena] Adv Coll Engn &amp; Management, Dept Civil Engn, Kathmandu 44600, Nepal; [Lamichhane, Manoj; Mehan, Sushant] South Dakota State Univ, Dept Agr &amp; Biosyst Engn, Brookings, SD 57007 USA</t>
  </si>
  <si>
    <t xml:space="preserve">South Dakota State University</t>
  </si>
  <si>
    <t xml:space="preserve">Shrestha, E (corresponding author), Adv Coll Engn &amp; Management, Dept Civil Engn, Kathmandu 44600, Nepal.</t>
  </si>
  <si>
    <t xml:space="preserve">erica.077bce033@acem.edu.np; suyog.077bce093@acem.edu.np; anup.077bce012@acem.edu.np; shrena.077bce084@acem.edu.np; manoj.lamichhane@sdstate.edu; sushant.mehan@sdstate.edu</t>
  </si>
  <si>
    <t xml:space="preserve">Mehan, Sushant/Q-9862-2016</t>
  </si>
  <si>
    <t xml:space="preserve">Mehan, Sushant/0000-0002-1565-9591; Lamichhane, Manoj/0009-0009-5581-6692</t>
  </si>
  <si>
    <t xml:space="preserve">Advanced College of Engineering and Management (ACEM) , Kathmandu, Nepal; Research and Innovation Unit (RIU); Department of Civil Engineering at ACEM</t>
  </si>
  <si>
    <t xml:space="preserve">We extend our gratitude to the Advanced College of Engineering and Management (ACEM) , Kathmandu, Nepal for funding this research. We also extend our thanks to the Research and Innovation Unit (RIU) and the Department of Civil Engineering at ACEM for their support.</t>
  </si>
  <si>
    <t xml:space="preserve">2590-1230</t>
  </si>
  <si>
    <t xml:space="preserve">RESULTS ENG</t>
  </si>
  <si>
    <t xml:space="preserve">Results Eng.</t>
  </si>
  <si>
    <t xml:space="preserve">10.1016/j.rineng.2025.104254</t>
  </si>
  <si>
    <t xml:space="preserve">Engineering, Multidisciplinary</t>
  </si>
  <si>
    <t xml:space="preserve">X4S3I</t>
  </si>
  <si>
    <t xml:space="preserve">WOS:001425262100001</t>
  </si>
  <si>
    <t xml:space="preserve">Liu, Y; Yan, XH; Du, WY; Zhang, TQ; Bai, XP; Nan, RC</t>
  </si>
  <si>
    <t xml:space="preserve">Liu, Yong; Yan, Xiaohui; Du, Wenying; Zhang, Tianqi; Bai, Xiaopeng; Nan, Ruichuan</t>
  </si>
  <si>
    <t xml:space="preserve">Downscaling Daily Reference Evapotranspiration Using a Super-Resolution Convolutional Transposed Network</t>
  </si>
  <si>
    <t xml:space="preserve">evapotranspiration; super resolution; convolutional neural network; downscaling</t>
  </si>
  <si>
    <t xml:space="preserve">PENMAN-MONTEITH MODEL; SOIL</t>
  </si>
  <si>
    <t xml:space="preserve">The current work proposes a novel super-resolution convolutional transposed network (SRCTN) deep learning architecture for downscaling daily climatic variables. The algorithm was established based on a super-resolution convolutional neural network with transposed convolutions. This study designed synthetic experiments to downscale daily reference evapotranspiration (ET0) data, which are a key indicator for climate change, from low resolutions (2 degrees, 1 degrees, and 0.5 degrees) to a fine resolution (0.25 degrees). The entire time period was divided into two major parts, i.e., training-validation (80%) and test periods (20%), and the training-validation period was further divided into training (80%) and validation (20%) parts. In the comparison of the downscaling performance between the SRCTN and Q-M models, the root-mean-squared error (RMSE) values indicated the accuracy of the models. For the SRCTN model, the RMSE values were reported for different scaling ratios: 0.239 for a ratio of 8, 0.077 for a ratio of 4, and 0.015 for a ratio of 2. In contrast, the RMSE values for the Q-M method were 0.334, 0.208, and 0.109 for scaling ratios of 8, 4, and 2, respectively. Notably, the RMSE values in the SRCTN model were consistently lower than those in the Q-M method across all scaling ratios, suggesting that the SRCTN model exhibited better downscaling performance in this evaluation. The results exhibited that the SRCTN method could reproduce the spatiotemporal distributions and extremes for the testing period very well. The trained SRCTN model in one study area performed remarkably well in a different area via transfer learning without re-training or calibration, and it outperformed the classic downscaling approach. The good performance of the SRCTN algorithm can be primarily attributed to the incorporation of transposed convolutions, which can be partially seen as trainable upsampling operations. Therefore, the proposed SRCTN method is a promising candidate tool for downscaling daily ET0 and can potentially be employed to conduct downscaling operations for other variables.</t>
  </si>
  <si>
    <t xml:space="preserve">[Liu, Yong; Yan, Xiaohui] Artificial Intelligence Key Lab Sichuan Prov, Yibin 644000, Peoples R China; [Yan, Xiaohui; Du, Wenying] China Univ Geosci, Natl Engn Res Ctr Geog Informat Syst, Wuhan 430074, Peoples R China; [Yan, Xiaohui; Zhang, Tianqi; Bai, Xiaopeng; Nan, Ruichuan] Dalian Univ Technol, Dept Water Resources Engn, Dalian 116024, Peoples R China</t>
  </si>
  <si>
    <t xml:space="preserve">China University of Geosciences; Dalian University of Technology</t>
  </si>
  <si>
    <t xml:space="preserve">Yan, XH (corresponding author), Artificial Intelligence Key Lab Sichuan Prov, Yibin 644000, Peoples R China.;Yan, XH (corresponding author), China Univ Geosci, Natl Engn Res Ctr Geog Informat Syst, Wuhan 430074, Peoples R China.;Yan, XH (corresponding author), Dalian Univ Technol, Dept Water Resources Engn, Dalian 116024, Peoples R China.</t>
  </si>
  <si>
    <t xml:space="preserve">liuyong@suse.edu.cn; yanxh@dlut.edu.cn; duwenying@cug.edu.cn; zhangtianqi_adela@163.com; bxp20182022@163.com; rc.nan@outlook.com</t>
  </si>
  <si>
    <t xml:space="preserve">Bai, Xiaopeng/HLH-7238-2023</t>
  </si>
  <si>
    <t xml:space="preserve">Du, Wenying/0000-0002-3202-5128; Yan, Xiaohui/0000-0002-2928-6562</t>
  </si>
  <si>
    <t xml:space="preserve">Opening Fund of Artificial Intelligence Key Laboratory of Sichuan Province</t>
  </si>
  <si>
    <t xml:space="preserve">10.3390/w16020335</t>
  </si>
  <si>
    <t xml:space="preserve">GF7Y4</t>
  </si>
  <si>
    <t xml:space="preserve">WOS:001151328200001</t>
  </si>
  <si>
    <t xml:space="preserve">Roy, DK</t>
  </si>
  <si>
    <t xml:space="preserve">Roy, Dilip Kumar</t>
  </si>
  <si>
    <t xml:space="preserve">Long Short-Term Memory Networks to Predict One-Step Ahead Reference Evapotranspiration in a Subtropical Climatic Zone</t>
  </si>
  <si>
    <t xml:space="preserve">Reference evapotranspiration; ANFIS; Long short-term memory networks; Sequence to sequence regression; Shannon’ s entropy</t>
  </si>
  <si>
    <t xml:space="preserve">MODELING REFERENCE EVAPOTRANSPIRATION; NILE DELTA; WATER FOOTPRINT; NEURAL-NETWORK; MACHINE; TEMPERATURE; MULTISTEP</t>
  </si>
  <si>
    <t xml:space="preserve">Precise estimation and forecast of reference evapotranspiration (ET0) stand crucial for developing an efficient irrigation scheduling that helps better utilization of scanty water resources. One of the tools to predict ET0 is to employ machine learning algorithms that predict near future ET0 values based on past values from the ET0 timeseries. The aim of this research is to provide one-step ahead predictions of ET0 with different deep and machine learning methods using calculated past values of ET0. In this context, daily values of ET0 were computed via the FAO-56 Penman-Monteith approach that employ five climatic variables. For predicting one-step ahead ET0, this study evaluates the prediction accuracy and estimation capability of deep learning algorithms, i.e., a Long-Short Term Memory (LSTM) and a bi-directional LSTM (Bi-LSTM) network. The prediction performances of the LSTM and Bi-LSTM were compared with those of a Sequence-to-Sequence Regression LSTM network (SSR-LSTM) and an Adaptive Neuro Fuzzy Inference System (ANFIS). According to the findings, all four methods produced one-step ahead ET0 amounts in satisfactory precision and error levels with Correlation Coefficient, Index of Agreement, and a(20)-index ranging from 0.698 to 0.999, 0.833 to 0.999, and 0.624 to 1.0, respectively. Results further revealed the superiority of Bi-LSTM followed by SSR-LSTM, ANFIS and LSTM models identified by the ranking values computed using Shannon's Entropy. The overall results indicate that the Bi-LSTM model could be successfully employed to predict one-step ahead ET0 values quite precisely.</t>
  </si>
  <si>
    <t xml:space="preserve">[Roy, Dilip Kumar] Bangladesh Agr Res Inst, Irrigat &amp; Water Management Div, Gazipur 1701, Bangladesh</t>
  </si>
  <si>
    <t xml:space="preserve">Bangladesh Agricultural Research Institute (BARI)</t>
  </si>
  <si>
    <t xml:space="preserve">Roy, DK (corresponding author), Bangladesh Agr Res Inst, Irrigat &amp; Water Management Div, Gazipur 1701, Bangladesh.</t>
  </si>
  <si>
    <t xml:space="preserve">dilip.roy@my.jcu.edu.au</t>
  </si>
  <si>
    <t xml:space="preserve">Roy, Dilip/Y-9175-2019</t>
  </si>
  <si>
    <t xml:space="preserve">Roy, Dilip Kumar/0000-0002-7685-0445</t>
  </si>
  <si>
    <t xml:space="preserve">10.1007/s40710-021-00512-4</t>
  </si>
  <si>
    <t xml:space="preserve">APR 2021</t>
  </si>
  <si>
    <t xml:space="preserve">SB1FJ</t>
  </si>
  <si>
    <t xml:space="preserve">WOS:000639059200001</t>
  </si>
  <si>
    <t xml:space="preserve">Jdi, H; El Moutaouakil, K; Falih, N; Doumi, K</t>
  </si>
  <si>
    <t xml:space="preserve">Jdi, Hamza; El Moutaouakil, Khalid; Falih, Noureddine; Doumi, Karim</t>
  </si>
  <si>
    <t xml:space="preserve">Hybrid Approaches for Irrigation Optimization Based on Weather Forecast: a Study on Reference Evapotranspiration Prediction in Beni Mellal</t>
  </si>
  <si>
    <t xml:space="preserve">AGRIS ON-LINE PAPERS IN ECONOMICS AND INFORMATICS</t>
  </si>
  <si>
    <t xml:space="preserve">Reference evapotranspiration forecast; irrigation optimization; deep learning; weather forecast.</t>
  </si>
  <si>
    <t xml:space="preserve">Accurate prediction of Reference Evapotranspiration (ET0) is vital for optimizing irrigation, thereby facilitating efficient water management and agricultural planning. This study compares three distinct methods for predicting ET0 using the FAO Penman-Monteith (FAO-PM), leveraging daily weather data collected over a span of 38 years, from 1984 to 2022. The first approach involves predicting ET0 directly based on actual ET0 values, while the second hybrid approach uses Recurrent Neural Networks (RNN) to predict Net Radiation, Temperature, Wind speed, and Dew Point Temperature. These predicted values are then utilized in the FAO-PM equation to calculate ET0 (RNN-FAO-PM). The third approach is another hybrid method that combines RNN for predicting the weather parameters, followed by the application of a welltrained Random Forest (RF) model that uses the predicted weather parameters as features to predict ET0 (RNN-RF). The performance of each method is evaluated using various metrics, including Mean Absolute Error (MAE), Root Mean Square Error (RMSE), and R-squared (R2) values for both training and testing datasets. The results of this study reveal that the hybrid approaches demonstrate comparable performance for long-term prediction of ET0 of the period Spanning from 2020 to 2022 (3 years). These hybrid approaches slightly outperform the RNN method when applied solely on the ET0 time series. This finding contributes to the research in the area of water resource management, specifically in the context of irrigation optimization. It provides valuable insights that can inform agricultural decision-making in the Beni Mellal region, enabling more efficient and effective use of water resources for irrigation purposes..</t>
  </si>
  <si>
    <t xml:space="preserve">[Jdi, Hamza; El Moutaouakil, Khalid; Falih, Noureddine] Sultan Moulay Slimane Univ, Polydisciplinary Fac, LIMATI Lab, Beni Mellal, Morocco; [Doumi, Karim] Mohammed V Univ Rabat, AlQualsadi Res Team, ENSIAS, Rabat, Morocco</t>
  </si>
  <si>
    <t xml:space="preserve">Sultan Moulay Slimane University of Beni Mellal; Mohammed V University in Rabat</t>
  </si>
  <si>
    <t xml:space="preserve">Jdi, H (corresponding author), Sultan Moulay Slimane Univ, Polydisciplinary Fac, Beni Mellal, Morocco.</t>
  </si>
  <si>
    <t xml:space="preserve">hamzajdi@gmail.com</t>
  </si>
  <si>
    <t xml:space="preserve">El moutaouakil, Khalid/LZF-2481-2025</t>
  </si>
  <si>
    <t xml:space="preserve">Czech Univ Life Sciences Prague, Fac Economics and Management</t>
  </si>
  <si>
    <t xml:space="preserve">Praha</t>
  </si>
  <si>
    <t xml:space="preserve">Kamycka 129, Praha, Suchdol, CZECH REPUBLIC</t>
  </si>
  <si>
    <t xml:space="preserve">1804-1930</t>
  </si>
  <si>
    <t xml:space="preserve">AGRIS ON-LINE PAP EC</t>
  </si>
  <si>
    <t xml:space="preserve">Agris on-line Pap. Econ. Inform.</t>
  </si>
  <si>
    <t xml:space="preserve">10.7160/aol.2024.160407</t>
  </si>
  <si>
    <t xml:space="preserve">Agricultural Economics &amp; Policy</t>
  </si>
  <si>
    <t xml:space="preserve">U0Z3X</t>
  </si>
  <si>
    <t xml:space="preserve">WOS:001409176400007</t>
  </si>
  <si>
    <t xml:space="preserve">Ghobadipour, B; MansourKhaki, A; Mojaradi, B</t>
  </si>
  <si>
    <t xml:space="preserve">Ghobadipour, Behrooz; MansourKhaki, Ali; Mojaradi, Barat</t>
  </si>
  <si>
    <t xml:space="preserve">Long-term multi source analysis for asphalt binder PG selection using deep learning high air temperature modelling</t>
  </si>
  <si>
    <t xml:space="preserve">ROAD MATERIALS AND PAVEMENT DESIGN</t>
  </si>
  <si>
    <t xml:space="preserve">Performance grade; asphalt binder; remote sensing; ERA5-Land; multiple linear regression; deep learning</t>
  </si>
  <si>
    <t xml:space="preserve">LAND-SURFACE TEMPERATURE; DAILY MAXIMUM; GENETIC ALGORITHM; MODIS; RETRIEVAL; MINIMUM</t>
  </si>
  <si>
    <t xml:space="preserve">As asphalt binder is a temperature-dependent viscoelastic material, the asphalt pavement performance is affected by the temperature during its service life. Traditionally, selecting the asphalt binder performance grade (PG) is based on long-term meteorological data analysis, but this study used MODIS and ASTER remotely-sensed (RS), reanalysis ERA5-Land, and in-situ meteorological datasets to select the PG. The multiple linear regression (MLR), genetic algorithm (GA), and deep-learning (DL) techniques were used to create models to estimate the maximum air and road pavement surface temperatures, considering the Superpave specifications. Model parameters involved the land surface temperature, vegetation index, elevation, ERA5-Land air temperature, soil moisture, wind speed, thermal radiation, evapotranspiration, latitude, and climate type. Comparative analyses revealed that the DL model yielded the most reliable PG results and the proposed RS-based method was more accurate than conventional approaches and could determine the PG accurately with 1 km resolution independent of distance to meteorological stations.</t>
  </si>
  <si>
    <t xml:space="preserve">[Ghobadipour, Behrooz; MansourKhaki, Ali; Mojaradi, Barat] Iran Univ Sci &amp; Technol, Sch Civil Engn, Tehran, Iran</t>
  </si>
  <si>
    <t xml:space="preserve">Iran University Science &amp; Technology</t>
  </si>
  <si>
    <t xml:space="preserve">Mojaradi, B (corresponding author), Iran Univ Sci &amp; Technol, Sch Civil Engn, Tehran, Iran.</t>
  </si>
  <si>
    <t xml:space="preserve">mojaradi@iust.ac.ir</t>
  </si>
  <si>
    <t xml:space="preserve">Mojaradi, Barat/P-4983-2018</t>
  </si>
  <si>
    <t xml:space="preserve">1468-0629</t>
  </si>
  <si>
    <t xml:space="preserve">2164-7402</t>
  </si>
  <si>
    <t xml:space="preserve">ROAD MATER PAVEMENT</t>
  </si>
  <si>
    <t xml:space="preserve">Road Mater. Pavement Des.</t>
  </si>
  <si>
    <t xml:space="preserve">OCT 3</t>
  </si>
  <si>
    <t xml:space="preserve">10.1080/14680629.2022.2150276</t>
  </si>
  <si>
    <t xml:space="preserve">DEC 2022</t>
  </si>
  <si>
    <t xml:space="preserve">Construction &amp; Building Technology; Engineering, Civil; Materials Science, Multidisciplinary</t>
  </si>
  <si>
    <t xml:space="preserve">Construction &amp; Building Technology; Engineering; Materials Science</t>
  </si>
  <si>
    <t xml:space="preserve">R2NA9</t>
  </si>
  <si>
    <t xml:space="preserve">WOS:000894948500001</t>
  </si>
  <si>
    <t xml:space="preserve">Kisi, O; Mirboluki, A; Naganna, SR; Malik, A; Kuriqi, A; Mehraein, M</t>
  </si>
  <si>
    <t xml:space="preserve">Kisi, Ozgur; Mirboluki, Amin; Naganna, Sujay Raghavendra; Malik, Anurag; Kuriqi, Alban; Mehraein, Mojtaba</t>
  </si>
  <si>
    <t xml:space="preserve">Comparative evaluation of deep learning and machine learning in modelling pan evaporation using limited inputs</t>
  </si>
  <si>
    <t xml:space="preserve">pan evaporation modelling; temperature-based modelling; deep learning; LSTM; ANN; ANFIS; SVR; grey wolf optimization</t>
  </si>
  <si>
    <t xml:space="preserve">ARTIFICIAL-INTELLIGENCE MODELS; CLIMATE-CHANGE; HYDROLOGY; EVAPOTRANSPIRATION; RUNOFF; LSTM; ANN</t>
  </si>
  <si>
    <t xml:space="preserve">Estimation of pan evaporation (Epan) is an important issue for planning and management of available water resources. In the present study, the accuracy of a new deep learning method, long short-term memory (LSTM) with grey wolf optimization (GWO), in modelling Epan using limited climatic variables as input is investigated. The outcomes of the LSTM-GWO are compared with the single LSTM and advanced machine learning (ML) methods. Minimum and maximum temperatures and extra-terrestrial radiation are used as inputs to the models. Three data splitting scenarios are considered and the outcomes of the abovementioned methods are also compared with the Stephen-Stewart (SS) and calibrated Hargreaves-Samani (CHS) empirical methods. The results reveal that the LSTM-GWO method has a better ability in estimating Epan using limited inputs compared to other ML and empirical methods. They also indicate that an increase in the amount of training data used improves the accuracy of the models.</t>
  </si>
  <si>
    <t xml:space="preserve">[Kisi, Ozgur] Univ Appl Sci, Dept Civil Engn, Lubeck, Germany; [Kisi, Ozgur] Ilia State Univ, Dept Civil Engn, Tbilisi, Georgia; [Mirboluki, Amin; Mehraein, Mojtaba] Kharazmi Univ, Fac Engn, Dept Civil Engn, Tehran, Iran; [Naganna, Sujay Raghavendra] Siddaganga Inst Technol, Dept Civil Engn, Tumakuru, India; [Malik, Anurag] Punjab Agr Univ, Reg Res Stn, Bathinda, India; [Kuriqi, Alban] Univ Lisbon, Inst Super Tecn, CERIS, Dept Civil Engn Architecture &amp; Georesources, Lisbon, Portugal</t>
  </si>
  <si>
    <t xml:space="preserve">Luebeck University of Applied Sciences; Ilia State University; Kharazmi University; Siddaganga Institute of Technology; Punjab Agricultural University; Universidade de Lisboa</t>
  </si>
  <si>
    <t xml:space="preserve">Mehraein, M (corresponding author), Kharazmi Univ, Fac Engn, Tehran, Iran.</t>
  </si>
  <si>
    <t xml:space="preserve">mehraein@khu.ac.ir</t>
  </si>
  <si>
    <t xml:space="preserve">Kisi, Ozgur/AAD-8932-2019; Mehraein, Mojtaba/ABC-1434-2021; Malik, Anurag/AAF-5402-2020; Naganna, Sujay/D-2871-2014; Kuriqi, Alban/C-2913-2015</t>
  </si>
  <si>
    <t xml:space="preserve">Malik, Anurag/0000-0002-0298-5777; Naganna, Sujay/0000-0002-0482-1936; Kisi, Ozgur/0000-0001-7847-5872; Mehraein, Mojtaba/0000-0002-2819-253X; Kuriqi, Alban/0000-0001-7464-8377</t>
  </si>
  <si>
    <t xml:space="preserve">JUL 4</t>
  </si>
  <si>
    <t xml:space="preserve">10.1080/02626667.2022.2063724</t>
  </si>
  <si>
    <t xml:space="preserve">3Q7VI</t>
  </si>
  <si>
    <t xml:space="preserve">WOS:000813836700001</t>
  </si>
  <si>
    <t xml:space="preserve">Jahangir, MS; Quilty, J</t>
  </si>
  <si>
    <t xml:space="preserve">Jahangir, Mohammad Sina; Quilty, John</t>
  </si>
  <si>
    <t xml:space="preserve">Generative deep learning for probabilistic streamflow forecasting: Conditional variational auto-encoder</t>
  </si>
  <si>
    <t xml:space="preserve">Conditional Variational Auto-Encoder; Encoder-Decoder; Deep Learning; Streamflow Forecasting; LSTM</t>
  </si>
  <si>
    <t xml:space="preserve">ENSEMBLE PREDICTION SYSTEM; FRAMEWORK; MODELS; PRECIPITATION; UNCERTAINTY; BASIN</t>
  </si>
  <si>
    <t xml:space="preserve">Probabilistic hydrological forecasting has gained increasing importance in recent years, as it offers essential information for risk-based decision-making and flood management. Traditional hydrological models often produce deterministic forecasts, which do not account for the inherent uncertainties in hydrological systems. Although many previous studies have investigated using deep learning (DL) models for hydrological prediction, the development of probabilistic DL models (especially, generative models) has not yet been thoroughly examined for hydrological forecasting. The present study investigates the efficacy of a generative DL model, namely, conditional variational auto-encoder (CVAE). CVAE is applied for one-seven day(s) ahead probabilistic streamflow forecasting in 75 basins from the Canadian model parameter experiment (CANOPEX) database. The CVAE forecast model, which outputs forecasts in the form of a probability distribution, was benchmarked against two state-of-the-art quantile-based DL models: quantile-based encoder-decoder (ED) and quantile-based CVAE (QCVAE). The latter outputs forecasts for specific quantiles of a probability distribution (here, q = 0.05, 0.5, 0.95). More than 9000 models were developed based on different basins, input variable sets, and model structures. The models were evaluated in terms of point forecast accuracy and forecast reliability. The results indicate that the CVAE model generally outperforms the benchmark models in terms of reliability at a 90 % confidence level (median reliability of 92.49 % compared to 87.35 % and 84.59 % for ED and QCVAE, respectively). However, the quantile-based forecast models produce slightly more accurate point forecasts than the CVAE (median Kling-Gupta efficiency (KGE) of 0.88 compared to 0.90 for both ED and QCVAE). Notably, the CVAE model exhibits superior probabilistic forecasts in basins with poor point forecast accuracy, highlighting its usefulness over benchmark methods in difficult-to-forecast basins. Overall, CVAE is a promising probabilistic DL model for streamflow forecasting, and it can be readily applied for forecasting other hydrological variables (evapotranspiration, water level, etc.). The findings of this study provide a basis for future research on probabilistic forecasting of hydrological variables using generative DL models.</t>
  </si>
  <si>
    <t xml:space="preserve">[Jahangir, Mohammad Sina; Quilty, John] Univ Waterloo, Dept Civil &amp; Environm Engn, Waterloo, ON, Canada</t>
  </si>
  <si>
    <t xml:space="preserve">University of Waterloo</t>
  </si>
  <si>
    <t xml:space="preserve">Jahangir, MS (corresponding author), Univ Waterloo, Dept Civil &amp; Environm Engn, Waterloo, ON, Canada.</t>
  </si>
  <si>
    <t xml:space="preserve">msjahang@uwaterloo.ca</t>
  </si>
  <si>
    <t xml:space="preserve">Sinnathamby Professorship; Natural Sciences Engineering Research Council; Dr. T.E. Unny Memorial Award; University of Waterloo</t>
  </si>
  <si>
    <t xml:space="preserve">Sinnathamby Professorship; Natural Sciences Engineering Research Council(Natural Sciences and Engineering Research Council of Canada (NSERC)); Dr. T.E. Unny Memorial Award; University of Waterloo</t>
  </si>
  <si>
    <t xml:space="preserve">The authors gratefully acknowledge financial support from the Sinnathamby Professorship (JQ) , Natural Sciences Engineering Research Council through a Discovery Grant (JQ) , the Dr. T.E. Unny Memorial Award (MSJ) , and the University of Waterloo through a President's Scholarship (MSJ) . The parties providing financial support did not influence the findings of this research nor the author's decision to publish its results.</t>
  </si>
  <si>
    <t xml:space="preserve">10.1016/j.jhydrol.2023.130498</t>
  </si>
  <si>
    <t xml:space="preserve">EZ0P4</t>
  </si>
  <si>
    <t xml:space="preserve">WOS:001142643900001</t>
  </si>
  <si>
    <t xml:space="preserve">Xiao, X; Ming, WT; Luo, X; Yang, LY; Li, M; Yang, PW; Ji, X; Li, YA</t>
  </si>
  <si>
    <t xml:space="preserve">Xiao, Xin; Ming, Wenting; Luo, Xuan; Yang, Luyi; Li, Meng; Yang, Pengwu; Ji, Xuan; Li, Yungang</t>
  </si>
  <si>
    <t xml:space="preserve">Leveraging multisource data for accurate agricultural drought monitoring: A hybrid deep learning model</t>
  </si>
  <si>
    <t xml:space="preserve">Agricultural drought monitoring; Convolutional neural network (CNN); Random forests (RF); Standardized precipitation evapotranspiration index (SPEI)</t>
  </si>
  <si>
    <t xml:space="preserve">SOIL-MOISTURE; YUNNAN PROVINCE; GLOBAL ASSESSMENT; CLIMATE; INDEX; PRECIPITATION; TEMPERATURE; VARIABILITY</t>
  </si>
  <si>
    <t xml:space="preserve">Accurate monitoring of agricultural droughts in data-scarce areas remains a challenge due to their intricate spatiotemporal patterns. Deep learning represents a promising approach for developing efficient drought monitoring models. In this study, a hybrid deep learning model, combining convolutional neural network and random forest (CNN-RF), is proposed to monitor agricultural droughts in a mountainous region located in Southwest China. The model integrates multisource data obtained from the Moderate Resolution Imaging Spectroradiometer (MODIS) satellite sensor, Global Land Data Assimilation System (GLDAS), Climate Hazards Group InfraRed Precipitation with Station Data (CHIRPS) and digital elevation model (DEM) to reproduce a station-based 3-month Standardized Precipitation Evapotranspiration Index (SPEI-3) during 2001-2020. Performance evaluation of the proposed model utilized an in situ soil moisture dataset and grain yields as benchmarks. The results demonstrated the superiority of the CNN-RF model over both the CNN and RF models in terms of estimating SPEI-3 and forecasting drought categories, as quantified by the lowest root mean square error (RMSE&lt;0.4), the highest correlation coefficient (CC&gt;0.9) and the multi-class receiver operating characteristic (ROC) based area under curves (AUC) (AUC=0.86). The CNN-RF model successfully reproduced the spatial heterogeneity of the drought pattern while maintaining temporal and spatial consistency with actual drought conditions. Notably, strong consistency was observed between the simulated SPEI-3 and the 3-month Standardized Soil Moisture Index (SSMI-3) (CC=0.42, p &lt; 0.01). Moreover, the model-estimated drought areas of cropland in the winter and early spring months exhibited a significant correlation with summer harvest grain yields (CC&lt;-0.45, p &lt; 0.05). Another advantage of the CNN-RF model is its ability to generalize well with limited training samples. This study introduces a scalable, simple, and efficient method for reliably monitoring agricultural droughts over large areas by leveraging freely available multisource data, which can also be easily adapted for monitoring agricultural droughts in other vegetated regions with limited ground observations.</t>
  </si>
  <si>
    <t xml:space="preserve">[Xiao, Xin; Ming, Wenting; Luo, Xuan; Yang, Luyi; Ji, Xuan; Li, Yungang] Yunnan Univ, Inst Int Rivers &amp; Ecosecur, Kunming 650504, Peoples R China; [Xiao, Xin; Ming, Wenting; Luo, Xuan; Yang, Luyi; Ji, Xuan; Li, Yungang] Yunnan Univ, Yunnan Key Lab Int Rivers &amp; Transboundary Ecosecur, Kunming 650504, Peoples R China; [Li, Meng; Yang, Pengwu] Yunnan Meteorol Bur, Kunming 650034, Peoples R China</t>
  </si>
  <si>
    <t xml:space="preserve">Yunnan University; Yunnan University; China Meteorological Administration; Yunnan Provincial Meteorological Service, China Meteorological Administration</t>
  </si>
  <si>
    <t xml:space="preserve">Ji, X; Li, YA (corresponding author), Yunnan Univ, Inst Int Rivers &amp; Ecosecur, Kunming 650504, Peoples R China.</t>
  </si>
  <si>
    <t xml:space="preserve">jixuan@ynu.edu.cn; ygli@ynu.edu.cn</t>
  </si>
  <si>
    <r>
      <rPr>
        <sz val="11"/>
        <color theme="1"/>
        <rFont val="Aptos Narrow"/>
        <family val="2"/>
        <charset val="1"/>
      </rPr>
      <t xml:space="preserve">Ming, Wenting/HTS-9416-2023; </t>
    </r>
    <r>
      <rPr>
        <sz val="11"/>
        <color theme="1"/>
        <rFont val="Noto Sans CJK SC"/>
        <family val="2"/>
        <charset val="1"/>
      </rPr>
      <t xml:space="preserve">杨</t>
    </r>
    <r>
      <rPr>
        <sz val="11"/>
        <color theme="1"/>
        <rFont val="Aptos Narrow"/>
        <family val="2"/>
        <charset val="1"/>
      </rPr>
      <t xml:space="preserve">, </t>
    </r>
    <r>
      <rPr>
        <sz val="11"/>
        <color theme="1"/>
        <rFont val="Noto Sans CJK SC"/>
        <family val="2"/>
        <charset val="1"/>
      </rPr>
      <t xml:space="preserve">璐忆</t>
    </r>
    <r>
      <rPr>
        <sz val="11"/>
        <color theme="1"/>
        <rFont val="Aptos Narrow"/>
        <family val="2"/>
        <charset val="1"/>
      </rPr>
      <t xml:space="preserve">/HHC-4245-2022</t>
    </r>
  </si>
  <si>
    <t xml:space="preserve">Xiao, Xin/0000-0003-2798-7805; Li, Yungang/0000-0002-3194-3621; Ji, Xuan/0000-0002-5186-594X</t>
  </si>
  <si>
    <t xml:space="preserve">National Key Research and Devel- opment Program of China [2022YFF1302405]; National Natural Science Foundation of China [42067033]; Applied Basic Research Programs of Yunnan Province [202001BB050073, 202101AT070075]</t>
  </si>
  <si>
    <t xml:space="preserve">National Key Research and Devel- opment Program of China(National Key Research &amp; Development Program of China); National Natural Science Foundation of China(National Natural Science Foundation of China (NSFC)); Applied Basic Research Programs of Yunnan Province</t>
  </si>
  <si>
    <t xml:space="preserve">This work was supported by the National Key Research and Devel- opment Program of China (Grant No. 2022YFF1302405) , the National Natural Science Foundation of China (Grant No. 42067033) , and Applied Basic Research Programs of Yunnan Province (Grant No. 202001BB050073, 202101AT070075) .</t>
  </si>
  <si>
    <t xml:space="preserve">10.1016/j.agwat.2024.108692</t>
  </si>
  <si>
    <t xml:space="preserve">KA8Y3</t>
  </si>
  <si>
    <t xml:space="preserve">WOS:001177343500001</t>
  </si>
  <si>
    <t xml:space="preserve">Lee, CS; Sohn, E; Park, JD; Jang, JD</t>
  </si>
  <si>
    <t xml:space="preserve">Lee, Chang Suk; Sohn, Eunha; Park, Jun Dong; Jang, Jae-Dong</t>
  </si>
  <si>
    <t xml:space="preserve">Estimation of soil moisture using deep learning based on satellite data: a case study of South Korea</t>
  </si>
  <si>
    <t xml:space="preserve">GISCIENCE &amp; REMOTE SENSING</t>
  </si>
  <si>
    <t xml:space="preserve">soil moisture; deep learning; South Korea; dynamic time warping</t>
  </si>
  <si>
    <t xml:space="preserve">AIR-TEMPERATURE; NEURAL-NETWORK; EVAPOTRANSPIRATION; PRODUCTS; DROUGHT; REGION; COVER; SCALE</t>
  </si>
  <si>
    <t xml:space="preserve">The Korea Meteorological Administration uses soil moisture (SM) observed by the Advanced Microwave Scanning Radiometer-2 (AMSR2) to monitor drought. However, it may not be appropriate for monitoring drought in South Korea due to significant underestimation of SM. In this study, we used a deep learning method that performs better than traditional statistical and physical models for reliable estimation of SM based on remotely sensed satellite data. For estimating SM, we carefully selected input variables that exhibit a feedback loop with SM. To build an effective deep learning model, we examined the influences of sampling criteria and input parameters as well as the accuracy of several deep neural networks. The selected model was cross-validated to determine its stability. The estimated SM using deep learning had a high correlation coefficient (R) of 0.89 and a low root mean square error (RMSE; 3.825%) and bias (-0.039%) compared to in-situ measurements. A time series analysis using dynamic time warping was conducted which showed that the estimated SM was almost similar to the in-situ SM. In order to investigate the improvement in SM estimation using our method, it was compared with the Global Land Data Assimilation System and AMSR2. Significant improvements in R and a reduction in error values by more than half were achieved using our method. The estimated SM has finer spatial resolution at 4km, and it can be rapidly produced, which will be useful for drought monitoring over the Korean Peninsula in near-real-time.</t>
  </si>
  <si>
    <t xml:space="preserve">[Lee, Chang Suk; Sohn, Eunha; Park, Jun Dong; Jang, Jae-Dong] Korea Meteorol Adm, Natl Meteorol Satellite Ctr, 61-18 Guam Gil, Jincheon Gun 27803, Chungcheongbuk, South Korea</t>
  </si>
  <si>
    <t xml:space="preserve">Korea Meteorological Administration (KMA)</t>
  </si>
  <si>
    <t xml:space="preserve">Sohn, E (corresponding author), Korea Meteorol Adm, Natl Meteorol Satellite Ctr, 61-18 Guam Gil, Jincheon Gun 27803, Chungcheongbuk, South Korea.</t>
  </si>
  <si>
    <t xml:space="preserve">soneh0431@korea.kr</t>
  </si>
  <si>
    <t xml:space="preserve">Lee, Chang Suk/0000-0002-4049-5779</t>
  </si>
  <si>
    <t xml:space="preserve">National Meteorological Satellite Center [3137-305-210-13]</t>
  </si>
  <si>
    <t xml:space="preserve">National Meteorological Satellite Center</t>
  </si>
  <si>
    <t xml:space="preserve">This work was supported by the National Meteorological Satellite Center [Project No. 3137-305-210-13].</t>
  </si>
  <si>
    <t xml:space="preserve">1548-1603</t>
  </si>
  <si>
    <t xml:space="preserve">1943-7226</t>
  </si>
  <si>
    <t xml:space="preserve">GISCI REMOTE SENS</t>
  </si>
  <si>
    <t xml:space="preserve">GISci. Remote Sens.</t>
  </si>
  <si>
    <t xml:space="preserve">10.1080/15481603.2018.1489943</t>
  </si>
  <si>
    <t xml:space="preserve">Geography, Physical; Remote Sensing</t>
  </si>
  <si>
    <t xml:space="preserve">Physical Geography; Remote Sensing</t>
  </si>
  <si>
    <t xml:space="preserve">HK9NY</t>
  </si>
  <si>
    <t xml:space="preserve">WOS:000458319600003</t>
  </si>
  <si>
    <t xml:space="preserve">Uddin, MJ; Li, YB; Sattar, MA; Mistry, S</t>
  </si>
  <si>
    <t xml:space="preserve">Uddin, Md Jalal; Li, Yubin; Sattar, Md Abdus; Mistry, Sunit</t>
  </si>
  <si>
    <t xml:space="preserve">Climatic water balance forecasting with machine learning and deep learning models over Bangladesh</t>
  </si>
  <si>
    <t xml:space="preserve">INTERNATIONAL JOURNAL OF CLIMATOLOGY</t>
  </si>
  <si>
    <t xml:space="preserve">climatic water balance; feature importance; machine learning; SHapley Additive exPlanations; support vector machine</t>
  </si>
  <si>
    <t xml:space="preserve">COOL-SEASON PRECIPITATION; SUPPORT VECTOR MACHINES; EXTREME PRECIPITATION; WINTER RAINFALL; RISK-ASSESSMENT; VARIABILITY; ENSO; TEMPERATURE; CAPE; CLASSIFICATION</t>
  </si>
  <si>
    <t xml:space="preserve">Understanding the impact of input variables on black-box machine learning and deep learning models is necessary. Therefore, this study proposed SHapley Additive exPlanations (SHAP) values to address the problem of the interpretability of the output of the support vector machine (SVM), random forest (RF), convolutional neural network (CNN), and long short-term memory (LSTM) models to forecast climatic water balance (CWB) within 1-3 months lead-time. The current study uses two Koppen-Geiger climate zones over Bangladesh: the humid subtropical climate with dry winter and hot summer (Cwa) and the tropical climate (Af-Am). Monthly antecedent CWB, potential evapotranspiration (PET), convective available potential energy (CAPE), relative humidity (RH), air temperature (TEM), El Nino-Southern Oscillation (ENSO), Indian Ocean Dipole (IOD), and North Atlantic oscillation (NAO) are used as the inputs to the proposed model. SHAP values show that CWB (current month) for both climate zones has the maximum impact on the prediction. The effects of atmospheric variables and ocean-atmospheric teleconnections on CWB forecasts over Bangladesh are low. Forecasting results show that the SVM model shows the best performance for CWB forecasts in the Cwa and Af-Am climate zones in terms of antecedent CWB as input. And this model effectively decreases the negative effect of increasing forecast lead-time. Since the proposed model can predict CWB in 3-months lead-time, it would help policy-makers and practitioners to reduce the drought and flood impacts in the future by adopting better preparedness plans.</t>
  </si>
  <si>
    <t xml:space="preserve">[Uddin, Md Jalal; Li, Yubin] Nanjing Univ Informat Sci &amp; Technol, Collaborat Innovat Ctr Forecast &amp; Evaluat Meteoro, Sch Atmospher Phys, Nanjing 210044, Peoples R China; [Uddin, Md Jalal; Li, Yubin] Southem Marine Sci &amp; Engn Guangdong Lab Zhuhai, Zhuhai, Peoples R China; [Uddin, Md Jalal; Sattar, Md Abdus] Res Soc, Dhaka, Bangladesh; [Sattar, Md Abdus] Patuakhali Sci &amp; Technol Univ, Dept Disaster Risk Management, Patuakhali, Bangladesh; [Mistry, Sunit] Anhui Univ Sci &amp; Technol, Coll Math &amp; Big Data, Huainan, Peoples R China</t>
  </si>
  <si>
    <t xml:space="preserve">Nanjing University of Information Science &amp; Technology; Anhui University of Science &amp; Technology</t>
  </si>
  <si>
    <t xml:space="preserve">Li, YB (corresponding author), Nanjing Univ Informat Sci &amp; Technol, Collaborat Innovat Ctr Forecast &amp; Evaluat Meteoro, Sch Atmospher Phys, Nanjing 210044, Peoples R China.</t>
  </si>
  <si>
    <t xml:space="preserve">liyubin@nuist.edu.cn</t>
  </si>
  <si>
    <t xml:space="preserve">Uddin, Md. Jalal/H-3357-2017; Li, Yubin/HOC-0722-2023</t>
  </si>
  <si>
    <t xml:space="preserve">Mistry, Sunit/0000-0002-5562-6938; Li, Yubin/0000-0003-3965-3845; Uddin, Md. Jalal/0000-0003-2640-1091</t>
  </si>
  <si>
    <t xml:space="preserve">National natural science foundation in China [42075072]</t>
  </si>
  <si>
    <t xml:space="preserve">National natural science foundation in China(National Natural Science Foundation of China (NSFC))</t>
  </si>
  <si>
    <t xml:space="preserve">National natural science foundation in China, Grant/Award Number: 42075072</t>
  </si>
  <si>
    <t xml:space="preserve">0899-8418</t>
  </si>
  <si>
    <t xml:space="preserve">1097-0088</t>
  </si>
  <si>
    <t xml:space="preserve">INT J CLIMATOL</t>
  </si>
  <si>
    <t xml:space="preserve">Int. J. Climatol.</t>
  </si>
  <si>
    <t xml:space="preserve">DEC 30</t>
  </si>
  <si>
    <t xml:space="preserve">10.1002/joc.7885</t>
  </si>
  <si>
    <t xml:space="preserve">8L9QK</t>
  </si>
  <si>
    <t xml:space="preserve">WOS:000865858400001</t>
  </si>
  <si>
    <t xml:space="preserve">Banerjee, D; Ganguly, S; Kushwaha, S</t>
  </si>
  <si>
    <t xml:space="preserve">Banerjee, Dolon; Ganguly, Sayantan; Kushwaha, Shashwat</t>
  </si>
  <si>
    <t xml:space="preserve">Forecasting Future Groundwater Recharge from Rainfall Under Different Climate Change Scenarios Using Comparative Analysis of Deep Learning and Ensemble Learning Techniques</t>
  </si>
  <si>
    <t xml:space="preserve">WATER RESOURCES MANAGEMENT</t>
  </si>
  <si>
    <t xml:space="preserve">Groundwater recharge; Deep learning techniques; Climate change; Shared socioeconomic pathways; Forecasting; Sustainable groundwater management</t>
  </si>
  <si>
    <t xml:space="preserve">ALGORITHMS</t>
  </si>
  <si>
    <t xml:space="preserve">Groundwater is the most reliable source of freshwater for household, industrial, and agricultural usage. However, anthropogenic interventions in the water cycle have disrupted sustainable groundwater management. This research aims to comprehend the future of groundwater recharge predominantly due to rainfall under changing climate. In this study, predictors of groundwater recharge such as precipitation, land use land cover (LULC), soil type, land slope, temperature, potential evapotranspiration, and aridity index (ArIn) were used for the Punjab region of India over the duration of 34 years, from 1986 to 2019. To simulate future conditions, various climate change scenarios from the CMIP6 report have been incorporated. Different Artificial Intelligence and Deep Learning models, ranging from the straightforward Linear Regression model to the intricate Extreme Gradient Booting (XGBoost), used these parameters as input. Statistical analysis of the models showed that XGBoost is most effective in predicting the groundwater recharge phenomena. Correlation studies revealed precipitation to be the primary contributor to recharge, followed by the ArIn, while soil type and slope are found to have the strongest inverse correlation. The models' resilience and performance were investigated by conducting a k-fold cross-validation analysis. The pattern of groundwater recharge is forecasted for the years 2020 to 2035 across Punjab with different climate change scenarios. The study demonstrates how the Punjab area is mirroring its current status around Shared Socioeconomic Pathway (SSP) 370. Groundwater level estimates confirmed its strong correlation with and dependence on groundwater recharge. The analysis is strengthened by comparing the AI-predicted groundwater recharge with the Central Ground Water Board (CGWB) Punjab's annual estimate. center dot Data-driven deep learning models can model groundwater recharge with high accuracy without extensive aquifer parameter data requirement.center dot Pronounced effect of climate change on groundwater recharge in the future pertaining to the different climate change scenarios (SSPs).center dot Forecasted groundwater recharge and level data shows significant match with the CGWB, Govt. of India's estimates and observed data.</t>
  </si>
  <si>
    <t xml:space="preserve">[Banerjee, Dolon; Ganguly, Sayantan] Indian Inst Technol Ropar, Dept Civil Engn, Rupnagar 140001, Punjab, India; [Kushwaha, Shashwat] St Longowal Inst Engn &amp; Technol, Dept Comp Sci, Sangrur 148106, Punjab, India</t>
  </si>
  <si>
    <t xml:space="preserve">Indian Institute of Technology System (IIT System); Indian Institute of Technology (IIT) - Ropar; Sant Longowal Institute of Engineering &amp; Technology (SLIET)</t>
  </si>
  <si>
    <t xml:space="preserve">Ganguly, S (corresponding author), Indian Inst Technol Ropar, Dept Civil Engn, Rupnagar 140001, Punjab, India.</t>
  </si>
  <si>
    <t xml:space="preserve">dolon.20cez0004@iitrpr.ac.in; sayantan.ganguly@iitrpr.ac.in; shashwat1205@gmail.com</t>
  </si>
  <si>
    <t xml:space="preserve">Banerjee, Dolon/LNQ-1509-2024; Ganguly, Sayantan/I-2063-2019</t>
  </si>
  <si>
    <t xml:space="preserve">Banerjee, Dolon/0009-0001-4803-1637; Ganguly, Sayantan/0000-0002-9992-7118</t>
  </si>
  <si>
    <t xml:space="preserve">DORDRECHT</t>
  </si>
  <si>
    <t xml:space="preserve">VAN GODEWIJCKSTRAAT 30, 3311 GZ DORDRECHT, NETHERLANDS</t>
  </si>
  <si>
    <t xml:space="preserve">0920-4741</t>
  </si>
  <si>
    <t xml:space="preserve">1573-1650</t>
  </si>
  <si>
    <t xml:space="preserve">WATER RESOUR MANAG</t>
  </si>
  <si>
    <t xml:space="preserve">Water Resour. Manag.</t>
  </si>
  <si>
    <t xml:space="preserve">10.1007/s11269-024-03850-8</t>
  </si>
  <si>
    <t xml:space="preserve">APR 2024</t>
  </si>
  <si>
    <t xml:space="preserve">Engineering, Civil; Water Resources</t>
  </si>
  <si>
    <t xml:space="preserve">Engineering; Water Resources</t>
  </si>
  <si>
    <t xml:space="preserve">E0K5P</t>
  </si>
  <si>
    <t xml:space="preserve">WOS:001201484600002</t>
  </si>
  <si>
    <t xml:space="preserve">Chen, H; Wang, TJ</t>
  </si>
  <si>
    <t xml:space="preserve">Neale, CMU; Maltese, A</t>
  </si>
  <si>
    <t xml:space="preserve">Chen, Hao; Wang, Tiejun</t>
  </si>
  <si>
    <t xml:space="preserve">Coupling physically-based modeling and deep learning for long-term global freshwater availability monitoring and prediction</t>
  </si>
  <si>
    <t xml:space="preserve">REMOTE SENSING FOR AGRICULTURE, ECOSYSTEMS, AND HYDROLOGY XXIII</t>
  </si>
  <si>
    <t xml:space="preserve">Chinese</t>
  </si>
  <si>
    <t xml:space="preserve">Conference on Remote Sensing for Agriculture, Ecosystems, and Hydrology XXIII</t>
  </si>
  <si>
    <t xml:space="preserve">SEP 03-18, 2021</t>
  </si>
  <si>
    <t xml:space="preserve">terrestrial total water storage (TWS), GRACE; global models; reanalysis; physically-based modeling; deep learning; hybrid modeling</t>
  </si>
  <si>
    <t xml:space="preserve">EVAPOTRANSPIRATION</t>
  </si>
  <si>
    <t xml:space="preserve">Long-term reconstruction or prediction of spatial and temporal information on land or terrestrial water storage (TWS) dynamics globally is critical and highly challenging. A hybrid approach was proposed to combine the strengths of physically-based modeling and deep learning for estimating global TWS anomalies (TWSA). Specifically, we developed a spatiotemporal attention-based deep learning model (STAU-Net), integrating the U-Net architecture with ConvLSTM layer and convolutional block attention module (CBAM) to learn the spatiotemporal patterns of TWSA observed by GRACE, driven under different predictor combinations, e.g., meteorological forcings, soil properties, and modeled TWSA. Once trained and validated, the model can estimate long-term global TWS dynamics without requiring GRACE TWSA as inputs. The evaluation results suggest that the hybrid approach can provide improved predictions of global TWSA compared to others. This study demonstrates the unique ability of the hybrid approach in global freshwater availability monitoring and prediction.</t>
  </si>
  <si>
    <t xml:space="preserve">[Chen, Hao; Wang, Tiejun] Tianjin Univ, Sch Earth Syst Sci, Inst Surface Earth Syst Sci, Tianjin 300072, Peoples R China; [Chen, Hao; Wang, Tiejun] Tianjin Univ, Tianjin Key Lab Earth Crit Zone Sci &amp; Sustainable, Tianjin 300072, Peoples R China; [Chen, Hao] Chinese Acad Sci, Aerosp Informat Res Inst, State Key Lab Remote Sensing Sci, Beijing 100101, Peoples R China</t>
  </si>
  <si>
    <t xml:space="preserve">Tianjin University; Tianjin University; Chinese Academy of Sciences; Aerospace Information Research Institute, CAS</t>
  </si>
  <si>
    <t xml:space="preserve">Chen, H; Wang, TJ (corresponding author), Tianjin Univ, Sch Earth Syst Sci, Inst Surface Earth Syst Sci, Tianjin 300072, Peoples R China.;Chen, H; Wang, TJ (corresponding author), Tianjin Univ, Tianjin Key Lab Earth Crit Zone Sci &amp; Sustainable, Tianjin 300072, Peoples R China.;Chen, H (corresponding author), Chinese Acad Sci, Aerosp Informat Res Inst, State Key Lab Remote Sensing Sci, Beijing 100101, Peoples R China.</t>
  </si>
  <si>
    <t xml:space="preserve">hao_chen@tju.edu.cn; tiejun.wang@tju.edu.cn</t>
  </si>
  <si>
    <t xml:space="preserve">Wang, Tiejun/N-3430-2016; Chen, Hao/CAJ-5495-2022</t>
  </si>
  <si>
    <t xml:space="preserve">Chen, Hao/0000-0002-1639-7845</t>
  </si>
  <si>
    <t xml:space="preserve">China Postdoctoral Science Foundation [2020M680876]; National Natural Science Foundation of China [42101034]; Open Fund of State Key Laboratory of Remote Sensing Science [OFSLRSS202110]</t>
  </si>
  <si>
    <t xml:space="preserve">China Postdoctoral Science Foundation(China Postdoctoral Science Foundation); National Natural Science Foundation of China(National Natural Science Foundation of China (NSFC)); Open Fund of State Key Laboratory of Remote Sensing Science</t>
  </si>
  <si>
    <t xml:space="preserve">The research was supported by the China Postdoctoral Science Foundation (2020M680876), the National Natural Science Foundation of China (42101034), and the Open Fund of State Key Laboratory of Remote Sensing Science (OFSLRSS202110).</t>
  </si>
  <si>
    <t xml:space="preserve">978-1-5106-4557-8; 978-1-5106-4556-1</t>
  </si>
  <si>
    <t xml:space="preserve">118560W</t>
  </si>
  <si>
    <t xml:space="preserve">10.1117/12.2600200</t>
  </si>
  <si>
    <t xml:space="preserve">Agricultural Engineering; Agriculture, Multidisciplinary; Green &amp; Sustainable Science &amp; Technology; Optics</t>
  </si>
  <si>
    <t xml:space="preserve">Agriculture; Science &amp; Technology - Other Topics; Optics</t>
  </si>
  <si>
    <t xml:space="preserve">BT1CH</t>
  </si>
  <si>
    <t xml:space="preserve">WOS:000796431900020</t>
  </si>
  <si>
    <t xml:space="preserve">Jiménez-López, FR; Ruge-Ruge, IA; Jiménez-López, AF</t>
  </si>
  <si>
    <t xml:space="preserve">Jimenez-Lopez, Fabian-R; Ruge-Ruge, Ilber-A; Jimenez-Lopez, Andres-F</t>
  </si>
  <si>
    <t xml:space="preserve">Deep Learning techniques applied to predict the irrigation prescription for potato crops in Boyaca</t>
  </si>
  <si>
    <t xml:space="preserve">2021 IEEE CHILEAN CONFERENCE ON ELECTRICAL, ELECTRONICS ENGINEERING, INFORMATION AND COMMUNICATION TECHNOLOGIES (IEEE CHILECON 2021)</t>
  </si>
  <si>
    <t xml:space="preserve">IEEE Chilean Conference on Electrical, Electronics Engineering, Information and Communication Technologies (CHILECON)</t>
  </si>
  <si>
    <t xml:space="preserve">DEC 06-09, 2021</t>
  </si>
  <si>
    <t xml:space="preserve">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</si>
  <si>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 xml:space="preserve">Machine Learning; Irrigation Scheduling; Precision Irrigation; Convolutional Neural Networks; Long-Short Time Memory; CNN-LSTM</t>
  </si>
  <si>
    <t xml:space="preserve">LSTM; AGRICULTURE</t>
  </si>
  <si>
    <t xml:space="preserve">Potato crops are one of the fundamental productive chains for the economic development of Boyaca region, due to its importance in family nutrition and food security. The objective of this work was to improve the management of the water resources in a potato crop by applying deep learning algorithms to predict the irrigation prescription. Three deep learning models, such as one-dimensional convolutional neural network (1-DCNN), long short-term memory (LSTM), and a hybrid convolutional LSTM were reviewed and evaluated. The climatic variables of the potato crop were collected daily for three years, such as temperature, rain, water content in soil, and evapotranspiration, among others. The measured variables were provided by two meteorological stations located in the USoChicamocha Irrigation District. Deep learning models were trained and validated using Python (R), calculating performance metrics. The CNN-LSTM model predicted the potato crop irrigation prescription with better precision in the training and validation dataset with MSE values less than 0,067 and RMSE values less than 0,258. The achievement of the CNN-LSTM algorithm had the highest coefficient of determination, obtaining a score of R-2 = 0,96. The proven deep learning techniques made it possible to predict the precision irrigation prescription in the studied potato crop, significantly improving the management of water resources. Deep learning techniques have served as a support instrument to assist farmers in decision-making and efficient management of water resources in irrigation planning at the farm level according to the measurement of crop variables.</t>
  </si>
  <si>
    <t xml:space="preserve">[Jimenez-Lopez, Fabian-R; Ruge-Ruge, Ilber-A] Univ Pedag &amp; Tecnol Colombia UPTC, Engn Fac, Res Grp I2E, Dept Elect Engn, Tunja, Colombia; [Jimenez-Lopez, Andres-F] Univ Los Llanos UNILLANOS, Fac Sci &amp; Engn, Res Grp Macrypt, Villavicencio, Colombia</t>
  </si>
  <si>
    <t xml:space="preserve">Universidad Pedagogica y Tecnologica de Colombia (UPTC)</t>
  </si>
  <si>
    <t xml:space="preserve">Jiménez-López, FR (corresponding author), Univ Pedag &amp; Tecnol Colombia UPTC, Engn Fac, Res Grp I2E, Dept Elect Engn, Tunja, Colombia.</t>
  </si>
  <si>
    <t xml:space="preserve">fabian.jimenez02@uptc.edu.co; ilber.ruge@uptc.edu.co; ajimenez@unillanos.edu.co</t>
  </si>
  <si>
    <t xml:space="preserve">López, Fabián/AAM-3496-2021</t>
  </si>
  <si>
    <t xml:space="preserve">JIMENEZ LOPEZ, FABIAN ROLANDO/0000-0003-4507-2035</t>
  </si>
  <si>
    <t xml:space="preserve">Universidad de los Llanos; I2E Research Group of the School of Electronic Engineering of the UPTC to develop the First Call Project entitled Evaluacion de tecnicas de aprendizaje profundo para la prescripcion de riego en cultivos agricolas</t>
  </si>
  <si>
    <t xml:space="preserve">A.F. Jimenez express his gratitude to Universidad de los Llanos for supporting in the development of this work within the framework of the research project Sistema Inteligente de adquisicion de datos y prescripcion de riego en cultivos agricolas mediante redes de sensores inalambricos, IoT e inteligencia artificial. F.R. Jimenez is grateful for the support of the I2E Research Group of the School of Electronic Engineering of the UPTC to develop the First Call Project entitled Evaluacion de tecnicas de aprendizaje profundo para la prescripcion de riego en cultivos agricolas.</t>
  </si>
  <si>
    <t xml:space="preserve">978-1-6654-0873-8</t>
  </si>
  <si>
    <t xml:space="preserve">10.1109/CHILECON54041.2021.9703064</t>
  </si>
  <si>
    <t xml:space="preserve">Engineering, Multidisciplinary; Engineering, Biomedical; Engineering, Electrical &amp; Electronic</t>
  </si>
  <si>
    <t xml:space="preserve">BT0JD</t>
  </si>
  <si>
    <t xml:space="preserve">WOS:000788072700049</t>
  </si>
  <si>
    <t xml:space="preserve">New approach to estimate daily reference evapotranspiration based on hourly temperature and relative humidity using machine learning and deep learning</t>
  </si>
  <si>
    <t xml:space="preserve">1D CNN; Convolutional neural network; Irrigation scheduling; Neural network; Random forest</t>
  </si>
  <si>
    <t xml:space="preserve">SIMULATING REFERENCE EVAPOTRANSPIRATION; CONVOLUTIONAL NEURAL-NETWORK; LIMITED METEOROLOGICAL DATA; GRANT EXNER-KITTRIDGE; ASCE PENMAN-MONTEITH; WEST-CENTRAL FLORIDA; HARGREAVES-SAMANI; PREDICTION; MODELS; SVM</t>
  </si>
  <si>
    <t xml:space="preserve">Computation of reference evapotranspiration (ETo) poses a challenge under limited meteorological data availability. However, even in this case, hourly data may be available since low-cost sensors can report hourly measurements. This study evaluates, for the first time, in regional and local scenarios, the use of limited hourly meteorological data (temperature and relative humidity or only temperature) to estimate daily ETo directly and by summing hourly ETo values, employing RF, XGBoost, ANN and CNN. The following options were evaluated: (i) use of daily input data (conventional approach); (ii) use of hourly data measured during a 24 h period + hourly extraterrestrial radiation (Ra) to estimate daily ETo directly; (iii) the same configuration of the last option, but with daily Ra instead of hourly Ra; and (iv) use of hourly data to estimate hourly ETo and then to estimate daily ETo by summing hourly ETo. All options used Ra. To develop and evaluate the models, two daily ETo targets were considered: ETo(d) (computed using the daily version of the ASCE-PM equation) and ETo soh (computed by summing hourly ETo obtained with the ASCE-PM equation). Data from 53 weather stations located in the state of Minas Gerais, Brazil, were used. For all models, the best results were found using hourly data to estimate daily ETo directly. CNN models developed with 24 h hourly data + hourly Ra offered the best performance in all cases. In relation to the best models developed with daily data, RMSE reduced by up to 28.2 % (0.71 to 0.51) and NSE and R-2 increased by up to 21.7 (0.69 to 0.84) and 11.4 % (0.79 to 0.88), respectively, in regional scenario. In local scenario, RMSE reduced by up to 22.4 % (0.58 to 0.45) and NSE and R-2 increased by up to 10.1 (0.79 to 0.87) and 11.3 % (0.80 to 0.89), respectively.</t>
  </si>
  <si>
    <t xml:space="preserve">Franca da Cunha, Fernando/0000-0002-1671-1021; Ferreira, Lucas/0000-0001-6838-3114</t>
  </si>
  <si>
    <t xml:space="preserve">National Council for Scientific and Technological Development (CNPq), Brazil</t>
  </si>
  <si>
    <t xml:space="preserve">National Council for Scientific and Technological Development (CNPq), Brazil(Conselho Nacional de Desenvolvimento Cientifico e Tecnologico (CNPQ))</t>
  </si>
  <si>
    <t xml:space="preserve">The authors wish to thank the National Council for Scientific and Technological Development (CNPq), Brazil for providing a scholarship to the first author and the Brazilian National Institute of Meteorology (INMET) for the meteorological data used.</t>
  </si>
  <si>
    <t xml:space="preserve">MAY 1</t>
  </si>
  <si>
    <t xml:space="preserve">10.1016/j.agwat.2020.106113</t>
  </si>
  <si>
    <t xml:space="preserve">LC4KQ</t>
  </si>
  <si>
    <t xml:space="preserve">WOS:000525293700011</t>
  </si>
  <si>
    <t xml:space="preserve">Valipour, M; Khoshkam, H; Bateni, SM; Jun, C; Band, SS</t>
  </si>
  <si>
    <t xml:space="preserve">Valipour, Mohammad; Khoshkam, Helaleh; Bateni, Sayed M.; Jun, Changhyun; Band, Shahab S.</t>
  </si>
  <si>
    <t xml:space="preserve">Hybrid machine learning and deep learning models for multi-step-ahead daily reference evapotranspiration forecasting in different climate regions across the contiguous United States</t>
  </si>
  <si>
    <t xml:space="preserve">PARTICLE SWARM OPTIMIZATION; FIREFLY ALGORITHM; VECTOR MACHINE; PREDICTION; REGRESSION; PRECIPITATION; EVAPORATION; NETWORKS; RAINFALL; ANFIS</t>
  </si>
  <si>
    <t xml:space="preserve">The daily reference evapotranspiration (ETo) must be accurately forecasted to improve real-time irrigation scheduling and decision-making for water resources allocation. In this study, multi-step (i.e., 1, 3, 7, and 10)-ahead daily ETo at 30 sites is forecasted using three hybrid machine learning approaches: wavelet long short-term memory (WLSTM), wavelet group method of data handling (WGMDH), and wavelet genetic algorithm-adaptive neuro-fuzzy inference system (WGA-ANFIS). The 30 sites are chosen to sample nine climate regions across the contiguous United States. Three input scenarios are considered. This study emphasizes on forecasting ETo using limited meteorological variables. In the first scenario, we consider only solar radiation (R-s) as the input variable owing to the largest correlation coefficient (R) between ETo and R-s compared with the other meteorological variables in most of the study sites. In the second scenario, in addition to R-s, the daily maximum (Tx), minimum (T-n), and mean (T-m) air temperatures are used. The input variables for the third scenario are R-s, T-x, T-n, T-m, and the relative humidity (R-H). Data pertaining to 2005-2014 and 2015-2019 are used for the training and forecasting phases, respectively. The model forecasts are compared against ETo estimates from the Penman-Monteith (P-M) equation. The third input scenario yields the most accurate results based on the average over all the study sites. In this input scenario, the WLSTM outperforms the other models for 1-day-ahead ETo forecasting in terms of the 30-site average root mean square error (RMSE) = 0.541 mm/d, Nash-Sutcliffe coefficient (NS) = 0.946, and R = 0.973. In contrast, WGMDH outperforms WLSTM and WGAANFIS for 3-, 7-, and 10-day-ahead ETo forecasting with RMSEs of 0.636, 0.649, and 0.651 mm/d; NS of 0.925,0.922, and 0.921; and R of 0.962, 0.961, and 0961, respectively. The highest performances of all models are observed in the Northwest and West climate regions, which exhibit the strongest correlation between Rs and ETo. The accuracy decreases in the South climate region with the weakest correlation between Rs and ETo. The lowest values of R-s, T-n, T-x, and T-m and highest RH are observed in winter. Consequently, among the seasons, the minimum RMSE (highest NS and R) is observed in winter. The worst performance of the models is observed in summer, which involves the highest values of R-s, T-x, T-n, and T-m. The deteriorated performance of the models in warm months is attributable to the high ETo values, as the models cannot accurately capture the peaks of ETo. Deep learning models (i.e., WLSTM and WGMDH) yield more accurate ETo forecasts and can thus facilitate agricultural water management and irrigation scheduling.</t>
  </si>
  <si>
    <t xml:space="preserve">[Valipour, Mohammad] Metropolitan State Univ Denver, Dept Engn &amp; Engn Technol, Denver, CO 80217 USA; [Valipour, Mohammad; Khoshkam, Helaleh; Bateni, Sayed M.] Univ Hawaii Manoa, Dept Civil &amp; Environm Engn, Honolulu, HI 96822 USA; [Valipour, Mohammad; Khoshkam, Helaleh; Bateni, Sayed M.] Univ Hawaii Manoa, Water Resources Res Ctr, Honolulu, HI 96822 USA; [Jun, Changhyun] Chung Ang Univ, Coll Engn, Dept Civil &amp; Environm Engn, Seoul 06974, South Korea; [Band, Shahab S.] Natl Yunlin Univ Sci &amp; Technol, Coll Future, Future Technol Res Ctr, 123 Univ Rd,Sect 3, Touliu 64002, Yunlin, Taiwan</t>
  </si>
  <si>
    <t xml:space="preserve">Metropolitan State University of Denver; University of Hawaii System; University of Hawaii Manoa; University of Hawaii System; University of Hawaii Manoa; Chung Ang University; National Yunlin University Science &amp; Technology</t>
  </si>
  <si>
    <t xml:space="preserve">Jun, C (corresponding author), Chung Ang Univ, Coll Engn, Dept Civil &amp; Environm Engn, Seoul 06974, South Korea.;Band, SS (corresponding author), Natl Yunlin Univ Sci &amp; Technol, Coll Future, Future Technol Res Ctr, 123 Univ Rd,Sect 3, Touliu 64002, Yunlin, Taiwan.</t>
  </si>
  <si>
    <t xml:space="preserve">cjun@cau.ac.kr; shahab@yuntech.edu.tw</t>
  </si>
  <si>
    <t xml:space="preserve">Jun, Changhyun/JPY-4414-2023; Khoshkam, Helaleh/AHB-6035-2022; Valipour, Mohammad/JDC-8993-2023; S. Band, Shahab/ABB-2469-2020</t>
  </si>
  <si>
    <t xml:space="preserve">Khoshkam, Helaleh/0000-0002-2681-1501</t>
  </si>
  <si>
    <t xml:space="preserve">United States Department of Agriculture (USDA) Natural Resources Conservation Service (NRCS) [NR203A750013G004]</t>
  </si>
  <si>
    <t xml:space="preserve">United States Department of Agriculture (USDA) Natural Resources Conservation Service (NRCS)</t>
  </si>
  <si>
    <t xml:space="preserve">The authors gratefully acknowledge support from the United States Department of Agriculture (USDA) Natural Resources Conservation Service (NRCS) under grants #NR203A750013G004.</t>
  </si>
  <si>
    <t xml:space="preserve">JUN 1</t>
  </si>
  <si>
    <t xml:space="preserve">10.1016/j.agwat.2023.108311</t>
  </si>
  <si>
    <t xml:space="preserve">APR 2023</t>
  </si>
  <si>
    <t xml:space="preserve">F5FC8</t>
  </si>
  <si>
    <t xml:space="preserve">WOS:000982594200001</t>
  </si>
  <si>
    <t xml:space="preserve">He, LL; Shi, LS; Song, WX; Shen, JW; Wang, LJ; Hu, XL; Zha, YY</t>
  </si>
  <si>
    <t xml:space="preserve">He, Leilei; Shi, Liangsheng; Song, Wenxiang; Shen, Jiawen; Wang, Lijun; Hu, Xiaolong; Zha, Yuanyuan</t>
  </si>
  <si>
    <t xml:space="preserve">Synergizing Intuitive Physics and Big Data in Deep Learning: Can We Obtain Process Insights While Maintaining State-Of-The-Art Hydrological Prediction Capability?</t>
  </si>
  <si>
    <t xml:space="preserve">deep process learning; streamflow modeling; process understanding; intuitive physics; big data</t>
  </si>
  <si>
    <t xml:space="preserve">NEURAL-NETWORKS; DATA SET; MECHANISMS; MODELS</t>
  </si>
  <si>
    <t xml:space="preserve">Artificial intelligence (AI) methods have created insurmountable performance in prediction tasks for geoscientific problems yet are unable to derive process insights and answer specific scientific questions. The geoscience community faces a dilemma of reconciling process comprehension with high predictive accuracy. Here we introduce a deep process learning (DPL) approach empowering neural networks to deduce intrinsic processes from observable data, wherein the intuitive physics of geosystems is directly coupled within the deep learning (DL) architecture as structural prior. We aim to incorporate as raw common concepts as possible as macroscopic guidance: on the one hand, to reduce interference with DL's data adaptability. On the other hand, to allow the information flow of the model to converge along specific paths toward the target output, thus enabling the potential to gain process insights with limited supervision. Illustrating its application to precipitation-runoff modeling across the USA, DPL yields an ensemble median Nash-Sutcliffe efficiency of 0.758 and Kling-Gupta efficiency of 0.778 with robust transferability, compared to 0.762 and 0.751 for the state-of-the-art DL model. The good match between internal representations of DPL and independent data sets of snow water equivalent and evapotranspiration, along with its superior capability for catchment water budget closures, demonstrates proficient process mastery. The study also highlights beneficial synergies from large-scale data collaboration, promoting the organic unity of process understanding and predictive performance. This work shows a promising avenue for learning processes from big data and will benefit geoscientific domains that remain concerned with process clarity in the era of AI.</t>
  </si>
  <si>
    <t xml:space="preserve">[He, Leilei; Shi, Liangsheng; Song, Wenxiang; Shen, Jiawen; Wang, Lijun; Hu, Xiaolong; Zha, Yuanyuan] Wuhan Univ, State Key Lab Water Resources Engn &amp; Management, Wuhan, Peoples R China</t>
  </si>
  <si>
    <t xml:space="preserve">Wuhan University</t>
  </si>
  <si>
    <t xml:space="preserve">Shi, LS (corresponding author), Wuhan Univ, State Key Lab Water Resources Engn &amp; Management, Wuhan, Peoples R China.</t>
  </si>
  <si>
    <t xml:space="preserve">; Zha, Yuanyuan/AIC-4987-2022</t>
  </si>
  <si>
    <t xml:space="preserve">Song, Wenxiang/0000-0002-9834-7197; Zha, Yuanyuan/0000-0003-4323-0730</t>
  </si>
  <si>
    <t xml:space="preserve">National Natural Science Foundation of China; [52179038]; [51979200]</t>
  </si>
  <si>
    <t xml:space="preserve">National Natural Science Foundation of China(National Natural Science Foundation of China (NSFC)); ;</t>
  </si>
  <si>
    <t xml:space="preserve">All research described in this paper was funded by the National Natural Science Foundation of China (52179038 and 51979200). We sincerely thank Editor Hamid Moradkhani, the Associate Editor, and three anonymous reviewers for their valuable comments to improve this manuscript. We thank F. Kratzert et al. for their contributions to the open-source of hydrological data and code. The numerical calculations in this paper have been done on the supercomputing system in the Supercomputing Center of Wuhan University.</t>
  </si>
  <si>
    <t xml:space="preserve">e2024WR037582</t>
  </si>
  <si>
    <t xml:space="preserve">10.1029/2024WR037582</t>
  </si>
  <si>
    <t xml:space="preserve">P3O2S</t>
  </si>
  <si>
    <t xml:space="preserve">WOS:001377038300001</t>
  </si>
  <si>
    <t xml:space="preserve">Shamloo, N; Sattari, MT; Kamran, KV; Apaydin, H</t>
  </si>
  <si>
    <t xml:space="preserve">Shamloo, Nazila; Sattari, Mohammad Taghi; Kamran, Khalil Valizadeh; Apaydin, Halit</t>
  </si>
  <si>
    <t xml:space="preserve">An integrated artificial intelligence-deep learning approach for vegetation canopy assessment and monitoring through satellite images</t>
  </si>
  <si>
    <t xml:space="preserve">Agricultural drought; Normalized difference vegetation index (NDVI); Remote sensing; Machine learning; DT-CART; SVR; LSTM; BiLSTM1</t>
  </si>
  <si>
    <t xml:space="preserve">NEURAL-NETWORK; CROP YIELD; MODEL; INDEXES; IRRIGATION; MACHINE; NDVI</t>
  </si>
  <si>
    <t xml:space="preserve">Understanding and analyzing vegetation change is crucial for climate change, ecological change, and drought monitoring. As drought conditions become catastrophic, there is a need for accurate and timely information on vegetation conditions and health and its possible evolution in the near future to minimize risk. In recent years, artificial intelligence methods such as machine learning and deep learning have become increasingly important owing to their relatively good performance in analyzing various data, including remote sensing data. This study proposes an integrated artificial intelligence (AI) and deep learning (DL) approach for predicting the Normalized Difference Vegetation Index (NDVI) using satellite-derived data. The research focuses on the agricultural croplands of Maragheh, Iran, utilizing MODIS and TRMM satellite data. Three AI methods Decision Tree-Classification and Regression Tree (DT-CART), Support Vector Regression (SVR), and Recurrent Neural Networks (RNN) with Long Short-Term Memory (LSTM) and Bidirectional LSTM (BiLSTM) architectures were employed. The input variables included TRMM rainfall (5-month lag), evapotranspiration, gross primary productivity (GPP), and MODIS-derived daytime/nighttime surface temperatures. The model performance was evaluated using the correlation coefficient (R), root mean square error (RMSE), and Nash-Sutcliffe efficiency (NSE). The results demonstrated that BiLSTM outperformed the other models (R = 0.94, RMSE = 0.061), with rainfall, temperature, and evapotranspiration identified as critical predictors. This study highlights the potential of AI-DL frameworks for vegetation monitoring and drought assessment in data-limited regions, offering valuable insights for agricultural planning and resource management.</t>
  </si>
  <si>
    <t xml:space="preserve">[Shamloo, Nazila; Sattari, Mohammad Taghi] Univ Tabriz, Agr Fac, Dept Water Engn, Tabriz 5166616471, Iran; [Kamran, Khalil Valizadeh] Univ Tabriz, Dept Remote Sensing &amp; GIS, Tabriz 5166616471, Iran; [Sattari, Mohammad Taghi; Apaydin, Halit] Ankara Univ, Fac Agr, Dept Agr Engn, TR-06110 Ankara, Turkiye</t>
  </si>
  <si>
    <t xml:space="preserve">University of Tabriz; University of Tabriz; Ankara University</t>
  </si>
  <si>
    <t xml:space="preserve">Sattari, MT (corresponding author), Univ Tabriz, Agr Fac, Dept Water Engn, Tabriz 5166616471, Iran.;Sattari, MT (corresponding author), Ankara Univ, Fac Agr, Dept Agr Engn, TR-06110 Ankara, Turkiye.</t>
  </si>
  <si>
    <t xml:space="preserve">nshamloo1991@gmail.com; mtsattar@tabrizu.ac.ir; valizadeh@tabrizu.ac.ir; apaydin@ankara.edu.tr</t>
  </si>
  <si>
    <t xml:space="preserve">Valizadeh Kamran, Khalil/ABC-1306-2020</t>
  </si>
  <si>
    <t xml:space="preserve">Valizadeh Kamran, Khalil/0000-0003-4648-842X</t>
  </si>
  <si>
    <t xml:space="preserve">2025 MAR 4</t>
  </si>
  <si>
    <t xml:space="preserve">10.1007/s00477-025-02938-w</t>
  </si>
  <si>
    <t xml:space="preserve">MAR 2025</t>
  </si>
  <si>
    <t xml:space="preserve">Z2V0P</t>
  </si>
  <si>
    <t xml:space="preserve">WOS:001437536600001</t>
  </si>
  <si>
    <t xml:space="preserve">Kotlar, AM; Iversen, BV; van Lier, QD</t>
  </si>
  <si>
    <t xml:space="preserve">Kotlar, Ali Mehmandoost; Iversen, Bo, V; van Lier, Quirijn de Jong</t>
  </si>
  <si>
    <t xml:space="preserve">Machine Learning-Based Prediction of Drainage in Layered Soils Using a Soil Drainability Index</t>
  </si>
  <si>
    <t xml:space="preserve">SOIL SYSTEMS</t>
  </si>
  <si>
    <t xml:space="preserve">evapotranspiration; hydraulic conductivity; HYDRUS-1D; supervised learning models; subsurface drainage</t>
  </si>
  <si>
    <t xml:space="preserve">HYDRAULIC CONDUCTIVITY; WATER; FIELD; EVAPOTRANSPIRATION; GROUNDWATER; PASTURE; STORAGE</t>
  </si>
  <si>
    <t xml:space="preserve">Numerical modelling of water flow allows for the prediction of rainwater partitioning into evaporation, deep drainage, and transpiration for different seasonal crop and soil type scenarios. We proposed and tested a single indicator for drainage estimation, the soil drainability index (SDI) based on the near saturated hydraulic conductivity of each layer. We studied rainfall partitioning for eight soils from Brazil and seven different real and generated weather data under scenarios without crop and with a permanent grass cover with three rooting depths, using the HYDRUS-1D model. The SDI showed a good correlation to simulated drainage of the soils. Moreover, well-trained supervised machine-learning methods, including the linear and stepwise linear models (LM, SWLM), besides ensemble regression with boosting and bagging algorithm (ENS-LB, ENS-B), support vector machines (SVMs), and Gaussian process regression (GPR), predicted monthly drainage from bare soil (BS) and grass covered lands (G) using soil-plant-atmosphere parameters (i.e., SDI, monthly precipitation, and evapotranspiration or transpiration). The RMSE values for testing data in BS and G were low, around 1.2 and 1.5 cm month(-1) for all methods.</t>
  </si>
  <si>
    <t xml:space="preserve">[Kotlar, Ali Mehmandoost; van Lier, Quirijn de Jong] Univ Sao Paulo, Ctr Nucl Energy Agr CENA, Trop Ecosyst Div, Caixa Postal 96, BR-13416903 Piracicaba, SP, Brazil; [Iversen, Bo, V] Aarhus Univ, Dept Agroecol, Blichers Alle 20, DK-8830 Tjele, Denmark</t>
  </si>
  <si>
    <t xml:space="preserve">Universidade de Sao Paulo; Aarhus University</t>
  </si>
  <si>
    <t xml:space="preserve">Kotlar, AM (corresponding author), Univ Sao Paulo, Ctr Nucl Energy Agr CENA, Trop Ecosyst Div, Caixa Postal 96, BR-13416903 Piracicaba, SP, Brazil.</t>
  </si>
  <si>
    <t xml:space="preserve">aliko@usp.br; bo.v.iversen@agro.au.dk; qdjvlier@usp.br</t>
  </si>
  <si>
    <t xml:space="preserve">Iversen, Bo/N-7968-2019; Mehmandoost Kotlar, Ali/P-2630-2014; de Jong van Lier, Quirijn/C-8054-2012</t>
  </si>
  <si>
    <t xml:space="preserve">Mehmandoost Kotlar, Ali/0000-0002-3000-5983; de Jong van Lier, Quirijn/0000-0002-7131-5523; Iversen, Bo Vangso/0000-0002-2276-0233</t>
  </si>
  <si>
    <t xml:space="preserve">FAPESP (Fundacao de Amparo a Pesquisa do Estado de Sao Paulo) foundation, Brazil [2016/18636-7]</t>
  </si>
  <si>
    <t xml:space="preserve">FAPESP (Fundacao de Amparo a Pesquisa do Estado de Sao Paulo) foundation, Brazil(Fundacao de Amparo a Pesquisa do Estado de Sao Paulo (FAPESP))</t>
  </si>
  <si>
    <t xml:space="preserve">The first author is grateful to FAPESP (Fundacao de Amparo a Pesquisa do Estado de Sao Paulo) foundation, Brazil, for providing financial support (scholarship) for his study (process number 2016/18636-7).</t>
  </si>
  <si>
    <t xml:space="preserve">2571-8789</t>
  </si>
  <si>
    <t xml:space="preserve">SOIL SYST</t>
  </si>
  <si>
    <t xml:space="preserve">Soil Syst.</t>
  </si>
  <si>
    <t xml:space="preserve">10.3390/soilsystems3020030</t>
  </si>
  <si>
    <t xml:space="preserve">Soil Science</t>
  </si>
  <si>
    <t xml:space="preserve">JH7YI</t>
  </si>
  <si>
    <t xml:space="preserve">WOS:000492984600016</t>
  </si>
  <si>
    <t xml:space="preserve">Wang, YD; Pang, GB; Wang, TY; Cong, X; Pan, WY; Fu, X; Wang, X; Xu, ZH</t>
  </si>
  <si>
    <t xml:space="preserve">Wang, Yudong; Pang, Guibin; Wang, Tianyu; Cong, Xin; Pan, Weiyan; Fu, Xin; Wang, Xin; Xu, Zhenghe</t>
  </si>
  <si>
    <t xml:space="preserve">Future Reference Evapotranspiration Trends in Shandong Province, China: Based on SAO-CNN-BiGRU-Attention and CMIP6</t>
  </si>
  <si>
    <t xml:space="preserve">climate change; climate scenarios; deep learning; hierarchical clustering; irrigation water management</t>
  </si>
  <si>
    <t xml:space="preserve">TEMPERATURE; DISTRICT</t>
  </si>
  <si>
    <t xml:space="preserve">One of the primary factors in the hydrological cycle is reference evapotranspiration (ET0). The prediction of ET0 is crucial to manage irrigation water in agriculture under climate change; however, little research has been conducted on the trends of ET0 changes in Shandong Province. In this study, to estimate ET0 in the entire Shandong Province, 245 sites were chosen, and the monthly ET0 values during 1901-2020 were computed using the Hargreaves-Samani formula. A deep learning model, termed SAO-CNN-BiGRU-Attention, was utilized to forecast the monthly ET0 during 2021-2100, and the predictions were compared to two CMIP6 climate scenarios, SSP2-4.5 and SSP5-8.5. The hierarchical clustering results revealed that Shandong Province encompassed three homogeneous regions. The ET0 values of Clusters H1 and H2, which were situated in inland regions and major agricultural areas, were the highest. The SAO-CNN-BiGRU-Attention and SSP5-8.5 forecasting results generally displayed a monotonically growing trend during the forecast period in the three regions; however, the SAO-CNN-BiGRU-Attention model displayed a declining tendency at a few points. According to the SAO-CNN-BiGRU-Attention and SSP5-8.5 results, during 2091-2100, H1, H2, and H3 will reach their peaks; the SSP2-4.5 results show that H1, H2, and H3 will peak in 2031-2040. At the end of the forecast period, for Clusters H1, H2, and H3, the prediction rate of SAO-CNN-BiGRU-Attention increased by 1.31, 1.56%, and 1.80%, respectively, whereas SSP2-4.5's prediction rate increased by 0.31%, 0.95%, and 1.57%, respectively, and SSP5-8.5's prediction rate increased by 10.88%, 10.76%, and 10.69%, respectively. The prediction results of SAO-CNN-BiGRU-Attention were similar to those of SSP2-4.5 (R-2 &gt; 0.96). The SAO-CNN-BiGRU-Attention deep learning model can be used to forecast future ET0.</t>
  </si>
  <si>
    <t xml:space="preserve">[Wang, Yudong; Pang, Guibin; Wang, Tianyu; Cong, Xin; Pan, Weiyan; Fu, Xin; Xu, Zhenghe] Univ Jinan, Sch Water Conservancy &amp; Environm, Jinan 250022, Peoples R China; [Wang, Xin] Water Resources Res Inst Shandong Prov, Jinan 250014, Peoples R China</t>
  </si>
  <si>
    <t xml:space="preserve">University of Jinan</t>
  </si>
  <si>
    <t xml:space="preserve">Pang, GB (corresponding author), Univ Jinan, Sch Water Conservancy &amp; Environm, Jinan 250022, Peoples R China.</t>
  </si>
  <si>
    <t xml:space="preserve">wangyudong199902@outlook.com; stu_panggb@ujn.edu.cn; stu_wangty@ujn.edu.cn; stu_congx@ujn.edu.cn; stu_panwy@ujn.edu.cn; stu_fux@ujn.edu.cn; wxjyz1999@126.com; stu_xuzh@ujn.edu.cn</t>
  </si>
  <si>
    <t xml:space="preserve">the National Key Research and Development Program of China [2017YFD0800601]; National Key Research and Development Program of China [42307803]; National Natural Science Foundation of China [ZR2020ME255]; Natural Science Foundation of Shandong Province</t>
  </si>
  <si>
    <t xml:space="preserve">the National Key Research and Development Program of China(National Key Research &amp; Development Program of China); National Key Research and Development Program of China(National Key Research &amp; Development Program of China); National Natural Science Foundation of China(National Natural Science Foundation of China (NSFC)); Natural Science Foundation of Shandong Province(Natural Science Foundation of Shandong Province)</t>
  </si>
  <si>
    <t xml:space="preserve">This study was supported by the National Key Research and Development Program of China (2017YFD0800601), the National Natural Science Foundation of China (42307803), and the Natural Science Foundation of Shandong Province (ZR2020ME255).</t>
  </si>
  <si>
    <t xml:space="preserve">10.3390/agriculture14091556</t>
  </si>
  <si>
    <t xml:space="preserve">H8Z8Q</t>
  </si>
  <si>
    <t xml:space="preserve">WOS:001326272800001</t>
  </si>
  <si>
    <t xml:space="preserve">Hu, ZM; Tang, SN; Mo, SX; Shi, XQ; Yin, X; Sun, YY; Liu, XM; Duan, LM; Miao, P; Liu, TX; Wu, JC</t>
  </si>
  <si>
    <t xml:space="preserve">Hu, Ziming; Tang, Shinan; Mo, Shaoxing; Shi, Xiaoqing; Yin, Xin; Sun, Yuanyuan; Liu, Xiaomin; Duan, Limin; Miao, Ping; Liu, Tingxi; Wu, Jichun</t>
  </si>
  <si>
    <t xml:space="preserve">Water storage changes (2003-2020) in the Ordos Basin, China, explained by GRACE data and interpretable deep learning</t>
  </si>
  <si>
    <t xml:space="preserve">HYDROGEOLOGY JOURNAL</t>
  </si>
  <si>
    <t xml:space="preserve">China; Arid regions; Groundwater storage; GRACE; Interpretable deep learning</t>
  </si>
  <si>
    <t xml:space="preserve">CLIMATE EXPERIMENT GRACE; DATA ASSIMILATION; GRAVITY RECOVERY; GROUNDWATER; VARIABILITY; UNCERTAINTY; COALFIELD; RESPONSES; DROUGHT; SYSTEMS</t>
  </si>
  <si>
    <t xml:space="preserve">Groundwater storage (GWS) decline, as well as total water storage (TWS) decline, in the (semi)arid Ordos Basin (China) poses great challenges to the water supply and ecological environment. In this study, the major factors causing the rapid loss of water storage during 2003-2020 are first investigated using correlation analysis, where the storage estimates are derived from the Gravity Recovery and Climate Experiment (GRACE) satellites. The major hydroclimatic drivers of monthly water storage changes are then explored among precipitation (P), evapotranspiration (ET), and runoff ( RO) using an interpretable deep learning (IDL) method. The relative contribution of each driver is quantified by leveraging the interpretability nature of IDL. Results show that the GWS depletion (-0.82 cm/year) primarily accounts for the TWS loss (-0.73 cm/year) in the Ordos Basin under increased precipitation. The decreased TWS and GWS are both closely related to the increased vegetation density and coal production, indicating that they are the major drivers of the long-term water loss. At the monthly scale, the IDL method reveals that P and ET contribute over 75% to the changes of both TWS and GWS in most regions. The response lag of TWS to P and ET is generally 1- 3 months. In contrast, GWS shows a more complicated response to P and ET with a longer lag range of 1-11 months in different regions due to the complicated Ordos Basin aquifer systems. These findings achieve a better understanding of hydrologic cycles and better guide sustainable water resources management in the Ordos Basin.</t>
  </si>
  <si>
    <t xml:space="preserve">[Hu, Ziming; Mo, Shaoxing; Shi, Xiaoqing; Sun, Yuanyuan; Wu, Jichun] Nanjing Univ, Sch Earth Sci &amp; Engn, Key Lab Surficial Geochem, Minist Educ, Nanjing 210023, Peoples R China; [Tang, Shinan] Minist Water Resources, Gen Inst Water Resources &amp; Hydropower Planning &amp; D, Beijing 100120, Peoples R China; [Yin, Xin] Nanjing Hydraul Res Inst, State Key Lab Hydrol Water Resources &amp; Hydraul Eng, Nanjing 210017, Peoples R China; [Liu, Xiaomin; Duan, Limin; Liu, Tingxi] Inner Mongolia Agr Univ, Water Conservancy &amp; Civil Engn Coll, Hohhot 010018, Peoples R China; [Miao, Ping] Ordos River &amp; Lake Protect Ctr, Ordos 017010, Peoples R China</t>
  </si>
  <si>
    <t xml:space="preserve">Nanjing University; Nanjing Hydraulic Research Institute; Inner Mongolia Agricultural University</t>
  </si>
  <si>
    <t xml:space="preserve">Mo, SX; Shi, XQ (corresponding author), Nanjing Univ, Sch Earth Sci &amp; Engn, Key Lab Surficial Geochem, Minist Educ, Nanjing 210023, Peoples R China.</t>
  </si>
  <si>
    <t xml:space="preserve">smo@nju.edu.cn; shixq@nju.edu.cn</t>
  </si>
  <si>
    <t xml:space="preserve">Mo, Shaoxing/AFH-8234-2022</t>
  </si>
  <si>
    <t xml:space="preserve">Mo, Shaoxing/0000-0003-2831-4805</t>
  </si>
  <si>
    <t xml:space="preserve">Key Science and Technology Project for Revitalization of Inner Mongolia of China [2021EEDSCXSFQZD010]; National Natural Science Foundation of China [41730856, 41977157, 42002248]; China Postdoctoral Science Foundation [2020M681550]; Jiangsu Planned Projects for Postdoctoral Research Funds [2020Z133]</t>
  </si>
  <si>
    <t xml:space="preserve">Key Science and Technology Project for Revitalization of Inner Mongolia of China; National Natural Science Foundation of China(National Natural Science Foundation of China (NSFC)); China Postdoctoral Science Foundation(China Postdoctoral Science Foundation); Jiangsu Planned Projects for Postdoctoral Research Funds</t>
  </si>
  <si>
    <t xml:space="preserve">This study was funded by the Key Science and Technology Project for Revitalization of Inner Mongolia of China ( 2021EEDSCXSFQZD010), National Natural Science Foundation of China (41730856, 41977157, 42002248), China Postdoctoral Science Foundation (2020M681550), and Jiangsu Planned Projects for Postdoctoral Research Funds (2020Z133).</t>
  </si>
  <si>
    <t xml:space="preserve">1431-2174</t>
  </si>
  <si>
    <t xml:space="preserve">1435-0157</t>
  </si>
  <si>
    <t xml:space="preserve">HYDROGEOL J</t>
  </si>
  <si>
    <t xml:space="preserve">Hydrogeol. J.</t>
  </si>
  <si>
    <t xml:space="preserve">10.1007/s10040-023-02713-7</t>
  </si>
  <si>
    <t xml:space="preserve">GS9O7</t>
  </si>
  <si>
    <t xml:space="preserve">WOS:001070596600003</t>
  </si>
  <si>
    <t xml:space="preserve">Rihan, M; Bindajam, AA; Talukdar, S; Shahfahad; Naikoo, MW; Mallick, J; Rahman, A</t>
  </si>
  <si>
    <t xml:space="preserve">Rihan, Mohd; Bindajam, Ahmed Ali; Talukdar, Swapan; Shahfahad; Naikoo, Mohd Waseem; Mallick, Javed; Rahman, Atiqur</t>
  </si>
  <si>
    <t xml:space="preserve">Forest fire susceptibility mapping with sensitivity and uncertainty analysis using machine learning and deep learning algorithms</t>
  </si>
  <si>
    <t xml:space="preserve">ADVANCES IN SPACE RESEARCH</t>
  </si>
  <si>
    <t xml:space="preserve">Forest fire susceptibility; Ensemble machine learning; Multi-collinearity analysis; Receiver operating characteristic; Western Himalaya</t>
  </si>
  <si>
    <t xml:space="preserve">NEURAL-NETWORK; NATIONAL-PARK; ENSEMBLE; OPTIMIZATION; PREDICTION; WILDFIRES; PATTERNS; PROVINCE; HIMALAYA; COUNTY</t>
  </si>
  <si>
    <t xml:space="preserve">In the hilly region of the Western Himalayas, forest fires play a crucial role in forest destruction and biodiversity loss. Therefore, addressing the problem of forest fires is an immediate priority to mitigate the impact of forest fires. Therefore, the objective of this research is to assess and map the susceptibility zones of forest fire in the hilly state of Uttarakhand using geospatial techniques and machine learning algorithms (MLA) and deep Learning based sensitivity and uncertainty analysis of the forest fire ignition parameters. Thirteen forest fire ignition parameters were used to map forest fire susceptibility. Further, we used five distinct MLAs, including arti-ficial neural networks (ANN), random forest (RF), logistic regression (LR), support vector machine (SVM) and an ensemble machine learning model. The generated models were validated using the receiver operating characteristic (ROC). The result shows that the very highand highzones for forest fires cover almost 55% of the total area of Uttarakhand. Validation of the models used indicated that all models produced most significant results. The ensemble machine learning had the highest accuracy (AUC = 0.977), followed by RF (0.973) and ANN (0.972). In addition, a Deep Neural Networks (DNN) based sensitivity approach is proposed to perform sensitivity and uncertainty analysis of the ignition parameters. For this, we have selected the best predictive model (Ensemble Machine Learning) to evaluate the sensitivity and uncertainty analysis. The sensitivity analysis shows that evapotranspiration has the highly influencing param-eter to forest fires, followed by annual rainfall, wind speed, distance to agriculture, distance to tourist spots, distance to built-up and distance to road. However, aspect, temperature and distance to religious centers have less influence on susceptibility to forest fires in this study area. This study is unique because it provides new insights into the construction of an ensemble machine learning model and the integration of DNN-based sensitivity and uncertainty for robust and scientific modelling of forest fire susceptibility. The contribution of parameters demonstrates a novel approach in understanding the impact of a single parameter sample on forest fire susceptibility, which will help in developing prevention strategies. A similar approach may be used in other parts of the world with similar natural and anthro-pogenic conditions for mapping forest fire susceptibility. &amp; COPY; 2023 COSPAR. Published by Elsevier B.V. All rights reserved.</t>
  </si>
  <si>
    <t xml:space="preserve">[Rihan, Mohd; Talukdar, Swapan; Shahfahad; Naikoo, Mohd Waseem; Rahman, Atiqur] Jamia Millia Islamia, Fac Nat Sci, Dept Geog, New Delhi 110025, India; [Bindajam, Ahmed Ali] King Khalid Univ, Coll Engn, Dept Architecture &amp; Planning, Abha 61411, Saudi Arabia; [Mallick, Javed] King Khalid Univ, Coll Engn, Dept Civil Engn, Abha 61411, Saudi Arabia</t>
  </si>
  <si>
    <t xml:space="preserve">Jamia Millia Islamia; King Khalid University; King Khalid University</t>
  </si>
  <si>
    <t xml:space="preserve">Rahman, A (corresponding author), Jamia Millia Islamia, Fac Nat Sci, Dept Geog, New Delhi 110025, India.</t>
  </si>
  <si>
    <t xml:space="preserve">abindajam@kku.edu.sa; arahman2@jmi.ac.in</t>
  </si>
  <si>
    <t xml:space="preserve">Rihan, Mohd/LSK-5936-2024; Rahman, Atiqur/AAK-8428-2020; Naikoo, Mohd Waseem/HHZ-8427-2022; Talukdar, Swapan/GQR-0860-2022; BINDAJAM, AHMED/AAJ-3793-2020; mallick, javed/AAH-6444-2020</t>
  </si>
  <si>
    <t xml:space="preserve">BINDAJAM, AHMED/0000-0003-4324-2133; mallick, javed/0000-0002-6155-3720; RAHMAN, ATIQUR/0000-0002-9001-5059; , SHAHFAHAD/0000-0001-5868-1062; TALUKDAR, SWAPAN/0000-0001-6680-9791</t>
  </si>
  <si>
    <t xml:space="preserve">Deanship of Scientific Research [RGP1/139/43]</t>
  </si>
  <si>
    <t xml:space="preserve">Deanship of Scientific Research(King Fahd University of Petroleum &amp; MineralsKing Abdulaziz University)</t>
  </si>
  <si>
    <t xml:space="preserve">Authors thankfully acknowledge the Deanship of Scientific Research for proving administrative and financial supports. Funding for this research was given under award numbers RGP1/139/43 by the Deanship of Scientific Research; King Khalid University, Ministry of Education, Kingdom of Saudi Arabia.</t>
  </si>
  <si>
    <t xml:space="preserve">0273-1177</t>
  </si>
  <si>
    <t xml:space="preserve">1879-1948</t>
  </si>
  <si>
    <t xml:space="preserve">ADV SPACE RES</t>
  </si>
  <si>
    <t xml:space="preserve">Adv. Space Res.</t>
  </si>
  <si>
    <t xml:space="preserve">JUL 15</t>
  </si>
  <si>
    <t xml:space="preserve">10.1016/j.asr.2023.03.026</t>
  </si>
  <si>
    <t xml:space="preserve">Engineering, Aerospace; Astronomy &amp; Astrophysics; Geosciences, Multidisciplinary; Meteorology &amp; Atmospheric Sciences</t>
  </si>
  <si>
    <t xml:space="preserve">Engineering; Astronomy &amp; Astrophysics; Geology; Meteorology &amp; Atmospheric Sciences</t>
  </si>
  <si>
    <t xml:space="preserve">K0NU4</t>
  </si>
  <si>
    <t xml:space="preserve">WOS:001013510100001</t>
  </si>
  <si>
    <t xml:space="preserve">Ali, M; Nayahi, JV; Abdi, E; Ghorbani, MA; Mohajeri, F; Farooque, AA; Alamery, S</t>
  </si>
  <si>
    <t xml:space="preserve">Ali, Mumtaz; Nayahi, Jesu Vedha; Abdi, Erfan; Ghorbani, Mohammad Ali; Mohajeri, Farzan; Farooque, Aitazaz Ahsan; Alamery, Salman</t>
  </si>
  <si>
    <t xml:space="preserve">Improving daily reference evapotranspiration forecasts: Designing AI-enabled recurrent neural networks based long short-term memory</t>
  </si>
  <si>
    <t xml:space="preserve">ECOLOGICAL INFORMATICS</t>
  </si>
  <si>
    <t xml:space="preserve">Agriculture; Deep learning; ETo; Forecasting; RNN-LSTM; CNN-LSTM</t>
  </si>
  <si>
    <t xml:space="preserve">LIMITED METEOROLOGICAL DATA; TRAINING SET; PREDICTION; MODELS; SVM</t>
  </si>
  <si>
    <t xml:space="preserve">Predicting daily reference evapotranspiration (ETo) plays a significant role in numerous environmental and agricultural applications. It aids in optimizing agricultural practices, enhancing drought resilience, supporting environmental conservation efforts, and providing critical data for research. By leveraging advanced technologies and accurate modeling techniques, stakeholders can make informed decisions that promote sustainability and resilience in the face of changing climatic conditions. The main purpose of this investigation was to forecast the daily ETo trends at Melbourne and Sydney stations in Australia, where several cutting-edge machine learning methodologies were employed. The modeling approach encompassed the implementation of Neural Network (NN), Deep Learning (DL), Recurrent Neural Networks (RNN), RNN based Long Short-Term Memory (RNNLSTM), and Convolutional Neural Network based LSTM (CNN-LSTM) to forecast daily ETo using historical meteorology data. During the model development stage, the optimal variables were determined successfully via heatmaps for precise assessment of ETo in both stations. The predictive models were built by incorporating both the training subset (80 %, covering the years 2009 to 2020) and the testing subset (20 %, ranging from 2021 to 2024) independently to forecast ETo. The results confirmed that the RNN-LSTM attained higher prediction accuracy as compared to NN, DL, RNN, and CNN-LSTM models. Conversely, based on the visual representations and assessments, one can grasp the significant resemblance between the forecasts of the RNN-LSTM model and the actual data. By combining RNNs with LSTM units, models can leverage the strengths of both approaches to improve their ability to process sequential data effectively. This integration allows for better capturing of both short-term and long-term dependencies in the input sequences. Upon careful evaluation, it became clear that the error values associated with the RNN-LSTM models were negligible at the designated stations during the testing phase, with an RMSE of 0.0011 mm for Melbourne, and 0.022 mm for Sydney, followed by RNN, DL, and NN respectively. The proposed modeling approach can be beneficial in monitoring and managing water and crop planning which relies on precise ETo predictions.</t>
  </si>
  <si>
    <t xml:space="preserve">[Ali, Mumtaz; Ghorbani, Mohammad Ali] Univ Southern Queensland, UniSQ Coll, Toowoomba, Qld 4305, Australia; [Nayahi, Jesu Vedha] Anna Univ Reg Campus, Tirunelveli, India; [Abdi, Erfan; Ghorbani, Mohammad Ali] Univ Tabriz, Dept Water Engn, Tabriz, Iran; [Farooque, Aitazaz Ahsan] Univ Prince Edward Isl, Canadian Ctr Climate Change &amp; Adaptat, St Peters, PE, Canada; [Alamery, Salman] King Saud Univ, Coll Sci, Dept Biochem, Riyadh, Saudi Arabia; [Ali, Mumtaz] Al Ayen Univ, Sci Res Ctr, Nasiriyah 64001, Iraq; [Farooque, Aitazaz Ahsan] Univ Prince Edward Isl, Fac Sustainable Design Engn, Charlottetown, PE, Canada; [Mohajeri, Farzan] Islamic Azad Univ, Cent Tehran Branch, Tehran, Iran</t>
  </si>
  <si>
    <t xml:space="preserve">University of Southern Queensland; Anna University; University of Tabriz; University of Prince Edward Island; King Saud University; Al-Ayen University; University of Prince Edward Island; Islamic Azad University</t>
  </si>
  <si>
    <t xml:space="preserve">Ali, M; Ghorbani, MA (corresponding author), Univ Southern Queensland, UniSQ Coll, Toowoomba, Qld 4305, Australia.</t>
  </si>
  <si>
    <t xml:space="preserve">mumtaz.ali@unisq.edu.au; jesuvedhanayahi.j@auttvl.ac.in; Ghorbani@tabrizu.ac.ir; afarooque@upei.ca; salamery@ksu.edu.sa</t>
  </si>
  <si>
    <t xml:space="preserve">Ali, Mumtaz/AAF-8685-2020</t>
  </si>
  <si>
    <t xml:space="preserve">Ali, Mumtaz/0000-0002-6975-5159</t>
  </si>
  <si>
    <t xml:space="preserve">King Saud University, Riyadh, Saudi Arabia [RSP2025R241]</t>
  </si>
  <si>
    <t xml:space="preserve">King Saud University, Riyadh, Saudi Arabia(King Saud University)</t>
  </si>
  <si>
    <t xml:space="preserve">The authors would also like to state that there is no conflict of interest. The authors extend their appreciations for funding provided by the Researchers Supporting Project number (RSP2025R241), King Saud University, Riyadh, Saudi Arabia. The authors are thankful to the Bureau of Meteorology, Australia for providing the required datasets.</t>
  </si>
  <si>
    <t xml:space="preserve">1574-9541</t>
  </si>
  <si>
    <t xml:space="preserve">1878-0512</t>
  </si>
  <si>
    <t xml:space="preserve">ECOL INFORM</t>
  </si>
  <si>
    <t xml:space="preserve">Ecol. Inform.</t>
  </si>
  <si>
    <t xml:space="preserve">10.1016/j.ecoinf.2025.102995</t>
  </si>
  <si>
    <t xml:space="preserve">Ecology</t>
  </si>
  <si>
    <t xml:space="preserve">S6K7G</t>
  </si>
  <si>
    <t xml:space="preserve">WOS:001399293400001</t>
  </si>
  <si>
    <t xml:space="preserve">Xu, ZH; Sun, H; Zhang, T; Xu, HY; Wu, D; Gao, JH</t>
  </si>
  <si>
    <t xml:space="preserve">Xu, Zhenheng; Sun, Hao; Zhang, Tian; Xu, Huanyu; Wu, Dan; Gao, Jinhua</t>
  </si>
  <si>
    <t xml:space="preserve">The high spatial resolution Drought Response Index (HiDRI): An integrated framework for monitoring vegetation drought with remote sensing, deep learning, and spatiotemporal fusion</t>
  </si>
  <si>
    <t xml:space="preserve">Integrated drought monitoring; Remote sensing; Spatiotemporal fusion; Deep learning; Field scale</t>
  </si>
  <si>
    <t xml:space="preserve">AGRICULTURAL DROUGHT; CLIMATE-CHANGE; UNITED-STATES; LANDSAT; CHINA; TEMPERATURE; PROGRESS; DATASET; VEGDRI; MODEL</t>
  </si>
  <si>
    <t xml:space="preserve">Drought is a complex and extremely destructive natural disaster that seriously threatens the sustainable development of human society and ecosystems. The integrated drought index with remote sensing offers an efficient approach for drought monitoring and assessment, and has become one of the main trends in drought monitoring research. The existing integrated drought indices are generally used to monitor drought conditions at the national scale, with a spatial resolution of 500 m (- 1) km. However, this resolution is still too coarse for farmland, unable to capture the spatial heterogeneity of drought stress at a finer field scale (such as 30 m x 30 m), and cannot meet the needs of field-scale drought monitoring such as refined agricultural water resources management and drought loss assessment. Therefore, this paper proposes an integrated framework for monitoring vegetation drought at the field scale, which integrates spatiotemporal fusion, deep learning, remote sensing, insitu stations, and biophysical information. First, the framework established a classification system of drought factors based on the disaster system theory, including vegetation condition, drought-pregnant environment and drought-inducing factors. Second, the dense time series of 30 m monthly vegetation conditions (greenness, moisture, temperature) from 2001 to 2014 were generated based on spatiotemporal fusion. The monthly anomalies were calculated and then integrated based on 3D Euclidean distance method to generate the 30 m Vegetation Condition Anomaly Index (VCAI). Then, the drought-pregnant environment and drought-inducing factors were integrated through deep learning to generate the 30 m Environmental Drought-Inducing Index (EDII). Finally, the joint cumulative distribution was used to couple VCAI and EDII, and the 30 m High spatial resolution Drought Response Index (HiDRI) was generated. Results showed that the comparative analysis of HiDRI with in-situ Standardized Precipitation Evapotranspiration Index (SPEI), meteorological reanalysis data and remote sensing soil moisture data performed well. The overall Pearson correlation coefficient between HiDRI and in-situ SPEI was 0.601 (p &lt; 0.01). Meanwhile, HiDRI can effectively map 30 m x 30 m field-scale drought spatial patterns in different climate zones, including heterogeneous spatial distribution and detailed texture features. In addition, the generated results of spatiotemporal fusion and deep learning have been effectively verified.</t>
  </si>
  <si>
    <t xml:space="preserve">[Xu, Zhenheng; Sun, Hao; Zhang, Tian; Xu, Huanyu; Wu, Dan; Gao, Jinhua] China Univ Min &amp; Technol Beijing, Coll Geosci &amp; Surveying Engn, Ding 11 Xueyuan Rd, Beijing 100083, Peoples R China</t>
  </si>
  <si>
    <t xml:space="preserve">China University of Mining &amp; Technology</t>
  </si>
  <si>
    <t xml:space="preserve">Sun, H (corresponding author), China Univ Min &amp; Technol Beijing, Coll Geosci &amp; Surveying Engn, Ding 11 Xueyuan Rd, Beijing 100083, Peoples R China.</t>
  </si>
  <si>
    <t xml:space="preserve">sunhao@cumtb.edu.cn</t>
  </si>
  <si>
    <t xml:space="preserve">Sun, Hao/C-9548-2014</t>
  </si>
  <si>
    <t xml:space="preserve">Beijing Natural Science Foundation [6222045]; Fundamental Research Funds for the Central Universities [2024JCCXDC03]</t>
  </si>
  <si>
    <t xml:space="preserve">Beijing Natural Science Foundation(Beijing Natural Science Foundation); Fundamental Research Funds for the Central Universities(Fundamental Research Funds for the Central Universities)</t>
  </si>
  <si>
    <t xml:space="preserve">This work was supported by Beijing Natural Science Foundation (grant numbers 6222045) and Fundamental Research Funds for the Central Universities (grant numbers 2024JCCXDC03) .</t>
  </si>
  <si>
    <t xml:space="preserve">OCT 1</t>
  </si>
  <si>
    <t xml:space="preserve">10.1016/j.rse.2024.114324</t>
  </si>
  <si>
    <t xml:space="preserve">JUL 2024</t>
  </si>
  <si>
    <t xml:space="preserve">A2F2L</t>
  </si>
  <si>
    <t xml:space="preserve">WOS:001280733500001</t>
  </si>
  <si>
    <t xml:space="preserve">Elbeltagi, A; Srivastava, A; Li, PH; Jiang, JW; Jinsong, D; Rajput, J; Khadke, L; Awad, A</t>
  </si>
  <si>
    <t xml:space="preserve">Elbeltagi, Ahmed; Srivastava, Aman; Li, Penghan; Jiang, Jiawen; Jinsong, Deng; Rajput, Jitendra; Khadke, Leena; Awad, Ahmed</t>
  </si>
  <si>
    <t xml:space="preserve">Forecasting actual evapotranspiration without climate data based on stacked integration of DNN and meta-heuristic models across China from 1958 to 2021</t>
  </si>
  <si>
    <t xml:space="preserve">Actual evapotranspiration; Deep neural networks; Meta-heuristic models; Stacked hybridization; Sustainability</t>
  </si>
  <si>
    <t xml:space="preserve">CROP COEFFICIENTS; NEURAL-NETWORKS; EVAPORATION; ALGORITHMS; ANN</t>
  </si>
  <si>
    <t xml:space="preserve">As a non-linear phenomenon that varies along with agro-climatic conditions alongside many other factors, Evapotranspiration (ET) process represents a complexity when be assessed especially if there is a data scarcity in the weather data. However, even under such a data scarcity, the accurate estimates of ET values remain necessary for precise irrigation. So, the present study aims to: i) evaluate the performance of six hybrid machine learning (ML) models in estimating the monthly actual ET values under different agro-climatic conditions in China for seven provinces (Shandong, Jiangsu, Zhejiang, Fujian, Jiangxi, Hubei, and Henan), and ii) select the best-developed model based on statistical metrics and reduce errors between predicted and actual ET (AET) values. AET datasets were divided into 78% for model training (from 1958 to 2007) and the remaining was used for testing (from 2008 to 2021). Deep Neural Networks (DNN) was used as a standalone model at first then the stacking method was applied to integrate DNN with data-driven models such as Additive regression (AR), Random Forest (RF), Random Subspace (RSS), M5 Burned Tree (M5P) and Reduced Error Purning Tree (REPTree). Partial Auto-Correlation Function (PACF) was used for selection of the best lags inputs to the developed models. Results have revealed that DNN-based hybrid models held better performance than nonhybrid DNN models, such that the DNN-RF algorithm outperformed others during both training and testing stages, followed by DNN-RSS. This model has acquired the best values of every statistical measure [MAE (10.8, 12.9), RMSE (15.6, 17.4), RAE (31.9%, 41.4%), and RRSE (39.3%, 47.2%)] for training and testing, respectively. In contrast, the DNN model held the worst performance [MAE (14.9, 13.7), RMSE (20.1, 18.2), RAE (43.9%, 43.7%), and RRSE (50.6%, 49.3%)], for training and testing, respectively. Results from the study presented have revealed the capability of DNN-based hybrid models for long-term predictions of the AET values. Moreover, the DNN-RF model has been suggested as the most suitable model to improve future investigation for AET predictions, which could benefit the enhancement of the irrigation process and increase crop yield.</t>
  </si>
  <si>
    <t xml:space="preserve">[Elbeltagi, Ahmed; Li, Penghan; Jiang, Jiawen; Jinsong, Deng] Zhejiang Univ, Coll Environm &amp; Resource Sci, Hangzhou 310058, Zhejiang, Peoples R China; [Elbeltagi, Ahmed; Li, Penghan; Jiang, Jiawen; Jinsong, Deng] Zhejiang Ecol Civilizat Acad, Anji 313300, Zhejiang, Peoples R China; [Elbeltagi, Ahmed] Mansoura Univ, Fac Agr, Agr Engn Dept, Mansoura 35516, Egypt; [Srivastava, Aman] Indian Inst Technol IIT Kharagpur, Dept Civil Engn, Kharagpur 721302, W Bengal, India; [Rajput, Jitendra] Indian Agr Res Inst, ICAR, Water Technol Ctr, New Delhi 110012, India; [Khadke, Leena] Indian Inst Technol IIT Bombay, Dept Civil Engn, Mumbai 400076, Maharashtra, India; [Awad, Ahmed] Egyptian Minist Water Resources &amp; Irrigat MWRI, Giza 11925, Egypt</t>
  </si>
  <si>
    <t xml:space="preserve">Zhejiang University; Egyptian Knowledge Bank (EKB); Mansoura University; Indian Institute of Technology System (IIT System); Indian Institute of Technology (IIT) - Kharagpur; Indian Council of Agricultural Research (ICAR); ICAR - Indian Agricultural Research Institute; Indian Institute of Technology System (IIT System); Indian Institute of Technology (IIT) - Bombay; Ministry of Water Resources &amp; Irrigation</t>
  </si>
  <si>
    <t xml:space="preserve">Jinsong, D (corresponding author), Zhejiang Univ, Coll Environm &amp; Resource Sci, Hangzhou 310058, Zhejiang, Peoples R China.</t>
  </si>
  <si>
    <t xml:space="preserve">ahmedelbeltagy81@mans.edu.eg; jsong_deng@zju.edu.cn</t>
  </si>
  <si>
    <t xml:space="preserve">Abdelnabi, Ahmed/ABE-6183-2020; Rajput, Jitendra/IZE-5790-2023; Srivastava, Aman/HPH-0177-2023; Elbeltagi, Ahmed/P-4614-2018</t>
  </si>
  <si>
    <t xml:space="preserve">Elbeltagi, Ahmed/0000-0002-5506-9502; Rajput, Dr. Jitendra/0000-0001-8299-9900; Awad, Ahmed/0000-0002-0828-439X; Khadke, Leena/0000-0002-9149-4696</t>
  </si>
  <si>
    <t xml:space="preserve">National Science and Technology Support Projects [2020YFC1807501]</t>
  </si>
  <si>
    <t xml:space="preserve">National Science and Technology Support Projects</t>
  </si>
  <si>
    <t xml:space="preserve">Funding This research was funded by two sources: the Joint research project between the governments of China and Egypt; National Science and Technology Support Projects (No. 2020YFC1807501) .</t>
  </si>
  <si>
    <t xml:space="preserve">10.1016/j.jenvman.2023.118697</t>
  </si>
  <si>
    <t xml:space="preserve">T1GM8</t>
  </si>
  <si>
    <t xml:space="preserve">WOS:001075540600001</t>
  </si>
  <si>
    <t xml:space="preserve">Bjånes, A; de la Fuente, R; Mena, P</t>
  </si>
  <si>
    <t xml:space="preserve">Bjanes, Alexandra; de la Fuente, Rodrigo; Mena, Pablo</t>
  </si>
  <si>
    <t xml:space="preserve">A deep learning ensemble model for wildfire susceptibility mapping</t>
  </si>
  <si>
    <t xml:space="preserve">Wildfire susceptibility; Convolutional neural network; Geographical information systems; Forestry; Satellite imagery</t>
  </si>
  <si>
    <t xml:space="preserve">NEURAL-NETWORK; FIRE; DANGER</t>
  </si>
  <si>
    <t xml:space="preserve">Devastating wildfires have increased in frequency and intensity over the last few years, worsened by climate change and prolonged droughts. Wildfire susceptibility mapping with machine learning has been proven useful for fire-prevention plans, turning into an indispensable tool in wildfire prevention. However, applications of deep learning models in wildfire susceptibility prediction to date are scarce. This study proposes a new Ensemble model based on two deep learning networks previously presented in literature that achieved remarkable results for forest fire susceptibility and other environmental risks. We compare our model with each of its sub-models, two more deep learning networks, and other machine learning benchmark, namely, XGBoost and SVM. Furthermore, we analyze the effects that different sample patch sizes have on the predictive performance of the algorithms. As case study we selected the fire occurrences in two regions in Chile, from 2013 to 2019. Satellite imagery data for fifteen fire influencing factors in the study area were retrieved to build a dataset to extract the samples to train the models. These factors include elevation, aspect, surface roughness, slope, minimum and maximum temperature, wind speed, precipitation, actual evapotranspiration, climatic water deficit, NDVI, land cover type, distance to rivers, distance to roads and distance to urban areas. During training, the best sample patch size was found to be 25 x 25 pixels. As a result, the highest area under the curve (AUC) was 0.953 achieved by the Ensemble model, followed by CNN-1 with AUC = 0.902. The Ensemble model also achieved the best accuracy, sensitivity, specificity, negative predictive value and F1 score. Finally, the predicted susceptibility maps suggest that static variables can be considered as predisposing factors, while dynamic variables affect the intensity of the predicted probabilities, with an important role of the anthropogenic variables. These resulting maps may be useful to prioritize wildfire surveillance and monitoring in extensive high risk areas.</t>
  </si>
  <si>
    <t xml:space="preserve">[Bjanes, Alexandra; de la Fuente, Rodrigo] Univ Concepcion, Victor Lamas 1290, Concepcion 4030000, Chile; [Mena, Pablo] Invest Forest Bioforest SA, Camino Coronel,Km 15, Concepcion 4030000, Chile</t>
  </si>
  <si>
    <t xml:space="preserve">Universidad de Concepcion</t>
  </si>
  <si>
    <t xml:space="preserve">de la Fuente, R (corresponding author), Univ Concepcion, Victor Lamas 1290, Concepcion 4030000, Chile.</t>
  </si>
  <si>
    <t xml:space="preserve">abjanes@udec.cl; rodelafuente@udec.cl; pablo.mena@arauco.com</t>
  </si>
  <si>
    <t xml:space="preserve">De la Fuente, Rodrigo/AAI-1740-2021</t>
  </si>
  <si>
    <t xml:space="preserve">10.1016/j.ecoinf.2021.101397</t>
  </si>
  <si>
    <t xml:space="preserve">AUG 2021</t>
  </si>
  <si>
    <t xml:space="preserve">WB7RN</t>
  </si>
  <si>
    <t xml:space="preserve">WOS:000703766700001</t>
  </si>
  <si>
    <t xml:space="preserve">Vulova, S; Meier, F; Rocha, AD; Quanz, J; Nouri, H; Kleinschmit, B</t>
  </si>
  <si>
    <t xml:space="preserve">Vulova, Stenka; Meier, Fred; Rocha, Alby Duarte; Quanz, Justus; Nouri, Hamideh; Kleinschmit, Birgit</t>
  </si>
  <si>
    <t xml:space="preserve">Modeling urban evapotranspiration using remote sensing, flux footprints, and artificial intelligence</t>
  </si>
  <si>
    <t xml:space="preserve">SCIENCE OF THE TOTAL ENVIRONMENT</t>
  </si>
  <si>
    <t xml:space="preserve">Urban water; Eddy covariance; Latent heat flux; 1D convolutional neural networks (CNN); Deep learning; Harmonized Landsat and Sentinel-2</t>
  </si>
  <si>
    <t xml:space="preserve">EDDY COVARIANCE CO2; HEAT WAVES; ENERGY-BALANCE; WATER REQUIREMENTS; SURFACE; LANDSCAPE; BERLIN; AREA; VALIDATION; EXCHANGES</t>
  </si>
  <si>
    <t xml:space="preserve">As climate change progresses, urban areas are increasingly affected by water scarcity and the urban heat island effect. Evapotranspiration (ET) is a crucial component of urban greening initiatives of cities worldwide aimed at mitigating these issues. However, ET estimation methods in urban areas have so far been limited. An expanding number of flux towers in urban environments provide the opportunity to directly measure ET by the eddy covariance method. In this study, we present a novel approach to model urban ET by combining flux footprint modeling, remote sensing and geographic information system (GIS) data, and deep learning and machine learning techniques. This approach facilitates spatio-temporal extrapolation of ET at a half-hourly resolution; we tested this approach with a two-year dataset from two flux towers in Berlin, Germany. The benefit of integrating remote sensing and GIS data into models was investigated by testing four predictor scenarios. Two algorithms (1D convolutional neural networks (CNNs) and random forest (RF)) were compared. The best-performing models were then used to model ET values for the year 2019. The inclusion of GIS data extracted using flux footprints enhanced the predictive accuracy of models, particularly when meteorological data was more limited. The bestperforming scenario (meteorological and GIS data) showed an RMSE of 0.0239 mm/h and R2 of 0.840 with RF and an RMSE of 0.0250 mm/h and a R2 of 0.824 with 1D CNN for the more vegetated site. The 2019 ET sum was substantially higher at the site surrounded by more urban greenery (366 mm) than at the inner-city site (223 mm), demonstrating the substantial influence of vegetation on the urban water cycle. The proposed method is highly promising for modeling ET in a heterogeneous urban environment and can support climate change mitigation initiatives of urban areas worldwide. (c) 2021 The Author(s). Published by Elsevier B.V. This is an open access article under the CC BY license (http:// creativecommons.org/licenses/by/4.0/).</t>
  </si>
  <si>
    <t xml:space="preserve">[Vulova, Stenka; Rocha, Alby Duarte; Kleinschmit, Birgit] Tech Univ Berlin, Dept Landscape Architecture &amp; Environm Planning, Geoinformat Environm Planning Lab, D-10623 Berlin, Germany; [Meier, Fred; Quanz, Justus] Tech Univ Berlin, Inst Ecol, Chair Climatol, D-12165 Berlin, Germany; [Quanz, Justus] HafenC Univ Hamburg, Dept Environmentally Sound Urban &amp; Infrastruct Pl, D-20457 Hamburg, Germany; [Nouri, Hamideh] Univ Gottingen, Div Agron, D-37075 Gottingen, Germany; [Vulova, Stenka] Tech Univ Berlin, Fachgebiet Geoinformat Umweltplanung, Sekretariat EB5, Str 17 Juni 145, D-10623 Berlin, Germany; [Meier, Fred; Quanz, Justus] Tech Univ Berlin, Inst Okol, Fachgebiet Klimatol, Rothenburgstr 12, D-12165 Berlin, Germany; [Nouri, Hamideh] Georg August Univ Gottingen, Dept Nutzpflanzenwissensch, Abt Pflanzenbau, Von Siebold Str 8, D-37075 Gottingen, Germany</t>
  </si>
  <si>
    <t xml:space="preserve">Technical University of Berlin; Technical University of Berlin; University of Gottingen; Technical University of Berlin; Technical University of Berlin; University of Gottingen</t>
  </si>
  <si>
    <t xml:space="preserve">Vulova, S (corresponding author), Tech Univ Berlin, Fachgebiet Geoinformat Umweltplanung, Sekretariat EB5, Str 17 Juni 145, D-10623 Berlin, Germany.</t>
  </si>
  <si>
    <t xml:space="preserve">stenka.vulova@tu-berlin.de; fred.meier@tu-berlin.de; a.duarterocha@tu-berlin.de; justus.quanz@hcu-hamburg.de; hamideh.nouri@uni-goettingen.de; birgit.kleinschmit@tu-berlin.de</t>
  </si>
  <si>
    <t xml:space="preserve">Rocha, Alby/K-7971-2013; Vulova, Stenka/KHV-5042-2024; Nouri, Hamideh/ABE-9187-2020</t>
  </si>
  <si>
    <t xml:space="preserve">Meier, Fred/0000-0003-0399-2757; Kleinschmit, Birgit/0000-0002-8494-0053; Duarte Rocha, Alby/0000-0001-6370-1240</t>
  </si>
  <si>
    <t xml:space="preserve">German Research Foundation (DFG) within the Research Training Group 'Urban Water Interfaces' [GRK 20322]; DFG within Research Unit 1736 Urban Climate and Heat Stress in Mid Latitude Cities in View of Climate Change (UCaHS) [SCHE 750/8, SCHE 750/9]; research program Urban Climate Under Change ( [UC] 2) by German Federal Ministry of Education and Research (BMBF) [FKZ 01LP1602A]</t>
  </si>
  <si>
    <t xml:space="preserve">German Research Foundation (DFG) within the Research Training Group 'Urban Water Interfaces'(German Research Foundation (DFG)); DFG within Research Unit 1736 Urban Climate and Heat Stress in Mid Latitude Cities in View of Climate Change (UCaHS); research program Urban Climate Under Change ( [UC] 2) by German Federal Ministry of Education and Research (BMBF)(Federal Ministry of Education &amp; Research (BMBF))</t>
  </si>
  <si>
    <t xml:space="preserve">This work was supported by the German Research Foundation (DFG) within the Research Training Group 'Urban Water Interfaces' (GRK 20322) . Fred Meier acknowledges funding for instrumentation of the Urban Climate Observatory (UCO) Berlin from DFG grant SCHE 750/8 and SCHE 750/9 within Research Unit 1736 Urban Climate and Heat Stress in Mid Latitude Cities in View of Climate Change (UCaHS)  and the research program Urban Climate Under Change ( [UC] 2) , funded by the German Federal Ministry of Education and Research (BMBF) (FKZ 01LP1602A) . The authors would like to thank the DWD, the Chair of Climatology at the Technische Universitat Berlin, NASA, the European Commission, and the Berlin Senate Department for Urban Development and Housing for providing data used in this paper. They are also grateful to the three anonymous reviewers for their valuable comments that improved the quality of the manuscript.</t>
  </si>
  <si>
    <t xml:space="preserve">0048-9697</t>
  </si>
  <si>
    <t xml:space="preserve">1879-1026</t>
  </si>
  <si>
    <t xml:space="preserve">SCI TOTAL ENVIRON</t>
  </si>
  <si>
    <t xml:space="preserve">Sci. Total Environ.</t>
  </si>
  <si>
    <t xml:space="preserve">SEP 10</t>
  </si>
  <si>
    <t xml:space="preserve">10.1016/j.scitotenv.2021.147293</t>
  </si>
  <si>
    <t xml:space="preserve">MAY 2021</t>
  </si>
  <si>
    <t xml:space="preserve">SQ3IY</t>
  </si>
  <si>
    <t xml:space="preserve">WOS:000660250700014</t>
  </si>
  <si>
    <t xml:space="preserve">Solis-Aulestia, M; Pineda, I; Piispa, EJ; Williams, SL</t>
  </si>
  <si>
    <t xml:space="preserve">Solis-Aulestia, Maria; Pineda, Israel; Piispa, Elisa J.; Williams, Scott L.</t>
  </si>
  <si>
    <t xml:space="preserve">EVALUATION OF EVAPOTRANSPIRATION CLASSIFICATION USING SELF ORGANIZING MAPS AND WEATHER RESEARCH AND FORECASTING VARIABLES</t>
  </si>
  <si>
    <t xml:space="preserve">2022 IEEE INTERNATIONAL GEOSCIENCE AND REMOTE SENSING SYMPOSIUM (IGARSS 2022)</t>
  </si>
  <si>
    <t xml:space="preserve">JUL 17-22, 2022</t>
  </si>
  <si>
    <t xml:space="preserve">Kuala Lumpur, MALAYSIA</t>
  </si>
  <si>
    <t xml:space="preserve">Evapotranspiration; Self-Organizing Maps; neural network; ETo classification</t>
  </si>
  <si>
    <t xml:space="preserve">Remotely sensed data and Artificial Intelligence provide an avenue to Standard Evaporation (ETo) classification. Hence, we developed a methodology for classifying ETo using Self-Organizing Maps on data from the Weather Research and Forecasting (WRF) model obtained from March to October, 2020, at 3 km resolution over Ecuador. This is a preliminary effort to provide a visual comparison of ETo classified maps under different scenarios: a 'shallow' learning that takes only data from one time slice at 12:00 noon for one and three months; a 'deeper' learning that considers hourly slices for three months; raw and pre-processed WRF variables; and different numbers of classified classes. The results of these exercises show overall stable mountainous classification, while the Amazonia and Western regions appear more volatile. Moreover, the 'deeper' learning produces a more stable ETo classification in all regions with a decreased migration of classes over time, as presented at http://www.yachay.openfabtech.org/somETo/description.php</t>
  </si>
  <si>
    <t xml:space="preserve">[Solis-Aulestia, Maria; Pineda, Israel] Yachay Tech Univ, Hacienda San Jose &amp; Proyecto Yachay, Urcuqui 100115, Ecuador; [Piispa, Elisa J.] Univ Iceland, Saemundargata 2, IS-101 Reykjavik, Iceland; [Williams, Scott L.] New Mexico State Univ, Las Cruces, NM 88003 USA</t>
  </si>
  <si>
    <t xml:space="preserve">University of Iceland; New Mexico State University</t>
  </si>
  <si>
    <t xml:space="preserve">Solis-Aulestia, M (corresponding author), Yachay Tech Univ, Hacienda San Jose &amp; Proyecto Yachay, Urcuqui 100115, Ecuador.</t>
  </si>
  <si>
    <t xml:space="preserve">Pineda, Israel/AAV-6737-2020</t>
  </si>
  <si>
    <t xml:space="preserve">Piispa, Elisa/0000-0002-5054-0457</t>
  </si>
  <si>
    <t xml:space="preserve">Imbabura High Performance Computing (HPC) complex at Yachay Tech University [2017-024 (SIE-UITEY-007-2017)]</t>
  </si>
  <si>
    <t xml:space="preserve">Imbabura High Performance Computing (HPC) complex at Yachay Tech University</t>
  </si>
  <si>
    <t xml:space="preserve">Compilation and processing of the WRF data was done with the Imbabura High Performance Computing (HPC) complex at Yachay Tech University which was purchased under contract no. 2017-024 (SIE-UITEY-007-2017). Special thanks to the HPC administrator Professor Duncan John Mowbray for his help in executing WRF.</t>
  </si>
  <si>
    <t xml:space="preserve">978-1-6654-2792-0</t>
  </si>
  <si>
    <t xml:space="preserve">10.1109/IGARSS46834.2022.9883703</t>
  </si>
  <si>
    <t xml:space="preserve">Geosciences, Multidisciplinary; Remote Sensing</t>
  </si>
  <si>
    <t xml:space="preserve">Geology; Remote Sensing</t>
  </si>
  <si>
    <t xml:space="preserve">BU5YB</t>
  </si>
  <si>
    <t xml:space="preserve">WOS:000920916603096</t>
  </si>
  <si>
    <t xml:space="preserve">Azad, N; Behmanesh, J; Rezaverdinejad, V; Khodaverdiloo, H; Thompson, SE; Mallants, D; Ramos, TB; He, HL</t>
  </si>
  <si>
    <t xml:space="preserve">Azad, Nasrin; Behmanesh, Javad; Rezaverdinejad, Vahid; Khodaverdiloo, Habib; Thompson, Sally E.; Mallants, Dirk; Ramos, Tiago B.; He, Hailong</t>
  </si>
  <si>
    <t xml:space="preserve">CNN deep learning performance in estimating nitrate uptake by maize and root zone losses under surface drip irrigation</t>
  </si>
  <si>
    <t xml:space="preserve">Convolutional neural networks; Deep learning; HYDRUS-2D; Model emulation</t>
  </si>
  <si>
    <t xml:space="preserve">HIGH FERTIGATION FREQUENCY; GREENHOUSE-GAS EMISSIONS; NITROGEN MANAGEMENT; WATER; MODEL; SIMULATION; CROP; SOIL; GROUNDWATER; FIELD</t>
  </si>
  <si>
    <t xml:space="preserve">Optimal fertigation regimes will minimize the leaching of agrochemicals while providing crops with sufficient nutrition for growth. A comprehensive objective function of optimization involves minimizing (i) difference between weekly plant nitrogen uptake and requirement and (ii) nitrate losses (nitrate leaching and accumulated nitrate in the root zone). Coupling a simulation model to an optimization algorithm for obtaining the objective function variables (N plant uptake and nitrate losses) typically requires long runtimes as the simulation model is repeatedly applied over iterations of the optimization algorithm. One attractive way to reduce the programming and computational demands associated with optimization is to construct a simpler, faster, but sufficiently accurate emulator of the simulation model based on machine-learning model. This study assessed the performance of convolutional neural networks (CNN) in modelling nitrate uptake by maize and estimation of nitrate losses in surface drip irrigation in three texturally different soils. To do this, the CNN was trained on output of the simulation model HYDRUS-2D. Various combinations of parameters influencing daily nitrate uptake (daily potential crop evapotranspiration, irrigation water and injected fertilizer amount) were evaluated as model inputs. Results indicated that daily nitrate uptake at any time t was predicted best with inputs of daily potential evapotranspiration at time t, irrigation and fertilizer amounts of the previous 1-7 days and the previous day's nitrate uptake amount. Estimated nitrate losses for constant weekly fertigation (CWF) were about 32% in sandy loam and 38.5% in sandy clay loam soil. Variable weekly fertigation (VWF) reduced the nitrate losses to 24.5% in sandy loam and 31.5% in sandy clay loam soil, while losses in loam soil were intermediate to these. The study demonstrates that CNN estimation of nitrate uptake and root zone losses can be widely used in optimization of fertigation management.</t>
  </si>
  <si>
    <t xml:space="preserve">[Azad, Nasrin; He, Hailong] Northwest A&amp;F Univ, Coll Nat Resources &amp; Environm, Xianyang 712100, Shaanxi, Peoples R China; [Behmanesh, Javad; Rezaverdinejad, Vahid] Urmia Univ, Dept Water Engn, Orumiyeh, Iran; [Khodaverdiloo, Habib] Univ Queensland, Sch Agr &amp; Food Sci, Brisbane, Qld, Australia; [Thompson, Sally E.] Univ Western Australia, Dept Civil Environm &amp; Min Engn, Perth, Australia; [Mallants, Dirk] CSIRO Environm, Adelaide, SA, Australia; [Ramos, Tiago B.] Univ Lisbon, Inst Super Tecn IST, Marine Environm &amp; Technol Ctr, Lisbon, Portugal; [He, Hailong] Northwest A&amp;F Univ, Key Lab Plant Nutr &amp; Agrienvironm Northwest China, Minist Agr, Yangling 712100, Peoples R China; [He, Hailong] Northwest A&amp;F Univ, Inst Soil &amp; Water Conservat, State Key Lab Soil Eros &amp; Dryland Farming Loess Pl, CAS &amp;MWR, Yangling 712100, Peoples R China</t>
  </si>
  <si>
    <t xml:space="preserve">Northwest A&amp;F University - China; Urmia University; University of Queensland; University of Western Australia; Commonwealth Scientific &amp; Industrial Research Organisation (CSIRO); Universidade de Lisboa; Northwest A&amp;F University - China; Ministry of Agriculture &amp; Rural Affairs; Northwest A&amp;F University - China; Chinese Academy of Sciences; Institute of Soil &amp; Water Conservation (ISWC), CAS</t>
  </si>
  <si>
    <t xml:space="preserve">He, HL (corresponding author), Northwest A&amp;F Univ, Coll Nat Resources &amp; Environm, Xianyang 712100, Shaanxi, Peoples R China.;He, HL (corresponding author), Northwest A&amp;F Univ, Key Lab Plant Nutr &amp; Agrienvironm Northwest China, Minist Agr, Yangling 712100, Peoples R China.;He, HL (corresponding author), Northwest A&amp;F Univ, Inst Soil &amp; Water Conservat, State Key Lab Soil Eros &amp; Dryland Farming Loess Pl, CAS &amp;MWR, Yangling 712100, Peoples R China.</t>
  </si>
  <si>
    <t xml:space="preserve">hailong.he@hotmail.com</t>
  </si>
  <si>
    <t xml:space="preserve">Thompson, Sally/J-7615-2012; Azad, Nasrin/AAP-4081-2020; Ramos, Tiago/D-6758-2013; Mallants, Dirk/A-5727-2012</t>
  </si>
  <si>
    <t xml:space="preserve">Ramos, Tiago/0000-0002-7823-4048; Thompson, Sally/0000-0003-4618-5066; Mallants, Dirk/0000-0001-7282-1981</t>
  </si>
  <si>
    <t xml:space="preserve">National Natural Science Foundation of China [42177291]; High-End Foreign Experts Project from the Ministry of Science and Technology [G2021172006L, G2022172040L]; 111 project of the Ministry of Education of China [B12007]</t>
  </si>
  <si>
    <t xml:space="preserve">National Natural Science Foundation of China(National Natural Science Foundation of China (NSFC)); High-End Foreign Experts Project from the Ministry of Science and Technology; 111 project of the Ministry of Education of China(Ministry of Education, China - 111 Project)</t>
  </si>
  <si>
    <t xml:space="preserve">Funding for this research was provided in part by the National Natural Science Foundation of China (42177291) , High-End Foreign Experts Project from the Ministry of Science and Technology (G2021172006L and G2022172040L) , and the 111 project of the Ministry of Education of China (B12007) .</t>
  </si>
  <si>
    <t xml:space="preserve">10.1016/j.jhydrol.2023.130148</t>
  </si>
  <si>
    <t xml:space="preserve">W4QK5</t>
  </si>
  <si>
    <t xml:space="preserve">WOS:001091484900001</t>
  </si>
  <si>
    <t xml:space="preserve">Farooque, AA; Afzaal, H; Abbas, F; Bos, M; Maqsood, J; Wang, X; Hussain, N</t>
  </si>
  <si>
    <t xml:space="preserve">Farooque, Aitazaz Ahsan; Afzaal, Hassan; Abbas, Farhat; Bos, Melanie; Maqsood, Junaid; Wang, Xander; Hussain, Nazar</t>
  </si>
  <si>
    <t xml:space="preserve">Forecasting daily evapotranspiration using artificial neural networks for sustainable irrigation scheduling</t>
  </si>
  <si>
    <t xml:space="preserve">IRRIGATION SCIENCE</t>
  </si>
  <si>
    <t xml:space="preserve">REFERENCE CROP EVAPOTRANSPIRATION; EVAPORATION; MODEL; WATER</t>
  </si>
  <si>
    <t xml:space="preserve">Evapotranspiration (ETo) forecasts can play an important role in irrigation scheduling and water resource management. Three state-of-the-art deep learning models, including long short-term memory (LSTM), one-dimensional convolutional neural networks (1D-CNN), and convolutional LSTM (ConvLSTM), were tested to forecast ETo on a daily time scale for seven days period. Daily air temperature (maximum, minimum and mean values), solar radiation, relative humidity, and wind speed data were collected for the 2011-2017 period from three weather stations (Harrington, North Cape, and Saint Peters) across Prince Edward Island (PEI), Canada. The relative importance method was used to determine the best-suited input variables for the models. The deep learning models were evaluated with the walk-forward validation technique using statistical measures of root mean square error (RMSE) and coefficient of determination (R-2). The FAO Penman-Monteith modified equation (FAO-56) was used as the reference method for comparison purposes. For calibration and validation evaluation in annually daily ETo forecasts, the hybrid ConvLSTM model recorded lower errors than CNN and LSTM with the lowest calibration and validation daily RMSE of 0.64 and 0.62, 0.81 and 0.81, and 0.81 and 0.70 mm/day for Harrington, North Cape, and Saint Peters weather stations, respectively. The robustness and accuracy of these forecasted models may help farmers, water resource managers, and irrigation planners with improved and sustainable water management at the basin level, and for irrigation scheduling at farm/field level.</t>
  </si>
  <si>
    <t xml:space="preserve">[Farooque, Aitazaz Ahsan; Afzaal, Hassan; Bos, Melanie; Maqsood, Junaid; Hussain, Nazar] Univ Prince Edward Isl, Fac Sustainable Design Engn, Charlottetown, PE C1A 4P3, Canada; [Farooque, Aitazaz Ahsan; Abbas, Farhat; Wang, Xander] Univ Prince Edward Isl, Sch Climate Change &amp; Adaptat, Charlottetown, PE C1A 4P3, Canada</t>
  </si>
  <si>
    <t xml:space="preserve">University of Prince Edward Island; University of Prince Edward Island</t>
  </si>
  <si>
    <t xml:space="preserve">Farooque, AA (corresponding author), Univ Prince Edward Isl, Fac Sustainable Design Engn, Charlottetown, PE C1A 4P3, Canada.;Farooque, AA; Abbas, F (corresponding author), Univ Prince Edward Isl, Sch Climate Change &amp; Adaptat, Charlottetown, PE C1A 4P3, Canada.</t>
  </si>
  <si>
    <t xml:space="preserve">afarooque@upei.ca; fabbas@upei.ca</t>
  </si>
  <si>
    <t xml:space="preserve">Afzaal, Hassan/AAR-2459-2020; Wang, Xander/Q-9659-2018</t>
  </si>
  <si>
    <t xml:space="preserve">Wang, Xander/0000-0002-3718-3416; Abbas, Farhat/0000-0002-2032-8527</t>
  </si>
  <si>
    <t xml:space="preserve">0342-7188</t>
  </si>
  <si>
    <t xml:space="preserve">1432-1319</t>
  </si>
  <si>
    <t xml:space="preserve">IRRIGATION SCI</t>
  </si>
  <si>
    <t xml:space="preserve">Irrig. Sci.</t>
  </si>
  <si>
    <t xml:space="preserve">10.1007/s00271-021-00751-1</t>
  </si>
  <si>
    <t xml:space="preserve">YO9OE</t>
  </si>
  <si>
    <t xml:space="preserve">WOS:000710598400001</t>
  </si>
  <si>
    <t xml:space="preserve">Wei, YM; Wang, RC; Feng, P</t>
  </si>
  <si>
    <t xml:space="preserve">Wei, Yiming; Wang, Renchao; Feng, Ping</t>
  </si>
  <si>
    <t xml:space="preserve">Improving Hydrological Modeling with Hybrid Models: A Comparative Study of Different Mechanisms for Coupling Deep Learning Models with Process-based Models</t>
  </si>
  <si>
    <t xml:space="preserve">LSTM; HBV; Streamflow simulation; Actual evapotranspiration; Calibration; Data length</t>
  </si>
  <si>
    <t xml:space="preserve">CALIBRATION</t>
  </si>
  <si>
    <t xml:space="preserve">Accurate hydrological modeling is crucial for water resources management. Process-based models (PBMs) are physically interpretable yet cannot fully utilize large datasets. Deep learning models, especially Long Short-Term Memory (LSTM) networks, have exhibited remarkable simulation accuracy but lack physical interpretability. To integrate the strengths of PBMs and LSTM, this paper develops three hybrid models (HLUDC, HLBDC, and HLBDCT) by coupling LSTM with the HBV model. HLUDC incorporates the output of HBV into LSTM to enhance modeling capability. HLBDC connects the HBV model to an LSTM that estimates the parameters of HBV. HLBDCT further introduces time-varying parameters. Notably, the possible limitation of these models in data-scarce basins is unclear, as all models are trained with available observations. Therefore, we further evaluate the impact of the training data length on model stability. The hybrid models are applied to the daily streamflow simulation in the Jialing River Basin. The results indicate that the hybrid models effectively enhance streamflow simulation compared to benchmark models. HLBDCT performs the best with a 2.44%-13.43% improvement in Nash-Sutcliffe efficiency coefficient over HBV and LSTM, followed by HLBDC, while HLUDC performs the least. HLBDCT also performed well in simulating extreme flow. Both HLBDCT and HLBDC accurately estimate actual evapotranspiration without being trained on it, demonstrating their robust physical coherence. Furthermore, HBV, HLBDC, and HLBDCT exhibit higher stability when trained with different lengths of data compared to HLUDC and LSTM. Overall, this study provides a better understanding of the potential for using hybrid models to enhance hydrological simulation accuracy.</t>
  </si>
  <si>
    <t xml:space="preserve">[Wei, Yiming; Wang, Renchao; Feng, Ping] Tianjin Univ, State Key Lab Hydraul Engn Intelligent Construct &amp;, Tianjin 300350, Peoples R China</t>
  </si>
  <si>
    <t xml:space="preserve">Tianjin University</t>
  </si>
  <si>
    <t xml:space="preserve">Wei, YM (corresponding author), Tianjin Univ, State Key Lab Hydraul Engn Intelligent Construct &amp;, Tianjin 300350, Peoples R China.</t>
  </si>
  <si>
    <t xml:space="preserve">hydroleon@tju.edu.cn; renchaowang@tju.edu.cn; fengping@tju.edu.cn</t>
  </si>
  <si>
    <t xml:space="preserve">Yiming, Wei/0000-0001-7261-2952</t>
  </si>
  <si>
    <t xml:space="preserve">10.1007/s11269-024-03780-5</t>
  </si>
  <si>
    <t xml:space="preserve">MX8H9</t>
  </si>
  <si>
    <t xml:space="preserve">WOS:001159919700001</t>
  </si>
  <si>
    <t xml:space="preserve">Karbasi, M; Jamei, M; Ali, M; Malik, A; Yaseen, ZM</t>
  </si>
  <si>
    <t xml:space="preserve">Karbasi, Masoud; Jamei, Mehdi; Ali, Mumtaz; Malik, Anurag; Yaseen, Zaher Mundher</t>
  </si>
  <si>
    <t xml:space="preserve">Forecasting weekly reference evapotranspiration using Auto Encoder Decoder Bidirectional LSTM model hybridized with a Boruta-CatBoost input optimizer</t>
  </si>
  <si>
    <t xml:space="preserve">Reference evapotranspiration; Forecasting; Bi-LSTM; Boruta-Catboost; Auto Decoder Encoder; FAO-56 Penman-Monteith</t>
  </si>
  <si>
    <t xml:space="preserve">REFERENCE CROP EVAPOTRANSPIRATION; GAUSSIAN PROCESS REGRESSION; LIMITED METEOROLOGICAL DATA; NEURAL-NETWORKS; MULTISTEP; ALGORITHM; SVM</t>
  </si>
  <si>
    <t xml:space="preserve">Reference evapotranspiration (ETo) is one of the most important and influential components in optimizing agricultural water consumption and water resources management. In the present study, an efficient deep learning model, Auto Encode Decoder Bidirectional Long Short-Term Memory (AED-BiLSTM), was applied for the first time in forecasting 1-3 weeks ahead of weekly ETo. Three meteorological stations, including Kermanshah (semiarid), Nowshahr (very humid), and Yazd (arid), which have different climates, were investigated and evaluated. For this purpose, a statistical period of 20 years (2000 to 2019), of which 15 years (2000-2014) for training and the final five years (2015-2015) for model testing were considered. The generalized regression neural network (GRNN) and extreme gradient boosting (XGBoost) machine learning models were used to compare the performance of the newly developed model. A novel CatBoost-Boruta algorithm was used to determine the critical lags in the forecasting process. The results showed that the newly developed model (AED-BiLSTM) in all three meteorological stations had higher ability and accuracy in forecasting weekly ETo than the GRNN and XGBoost models. The outcomes of testing phase in Kermanshah station ascertained that the AED-BiLSTM in terms of (ETo(t + 1): R (correlation coefficient) = 0.9835, RMSE (root mean square error, mm/week) = 3.4597; ETo(t + 2): R = 0.9805, RMSE = 3.7215; ETo(t + 3): R = 0.9795, RMSE = 3.8857) outperformed the other models. In Nowshahr station AED-BiLSTM model had higher accuracy in terms of (ETo(t + 1): R = 0.9057, RMSE = 4.6786; ETo(t + 2): R = 0.9036, RMSE = 4.7697; ETo(t + 3): R = 0.9024, RMSE = 4.8437). Also, in Yazd station AEDBiLSTM perform better than other models in terms of (ETo(t + 1): R = 0.9827, RMSE = 3.1319; ETo(t + 2): R = 0.9800, RMSE = 3.3998; ETo(t + 3): R = 0.9774, RMSE = 3.5679). The XGBoost and GRNN models performed better after the AED-BiLSTM model, respectively. The effect of climate type on the accuracy of the models showed that the models have higher efficiency and accuracy in arid and semi-arid climates.</t>
  </si>
  <si>
    <t xml:space="preserve">[Karbasi, Masoud] Univ Zanjan, Fac Agr, Water Engn Dept, Zanjan, Iran; [Jamei, Mehdi] Shahid Chamran Univ Ahvaz, Fac Engn, Shohadaye Hoveizeh Campus Technol, Dashte Azadegan, Iran; [Ali, Mumtaz] Deakin Univ, Deakin SWU Joint Res Ctr Big Data, Sch Informat Technol, Geelong, Vic 3125, Australia; [Malik, Anurag] Punjab Agr Univ, Reg Res Stn, Bathinda, Punjab, India; [Yaseen, Zaher Mundher] Univ Kebangsaan Malaysia, Fac Sci &amp; Technol, Dept Earth Sci &amp; Environm, Bangi 43600, Selangor, Malaysia; [Yaseen, Zaher Mundher] Univ Southern Queensland, Sch Math Phys &amp; Comp, USQs Adv Data Analyt Res Grp, Toowoomba, Qld 4350, Australia; [Yaseen, Zaher Mundher] Al Ayen Univ, Sci Res Ctr, New Era &amp; Dev Civil Engn Res Grp, Thi Qar 64001, Iraq</t>
  </si>
  <si>
    <t xml:space="preserve">University Zanjan; Shahid Chamran University of Ahvaz; Deakin University; Punjab Agricultural University; Universiti Kebangsaan Malaysia; University of Southern Queensland; Al-Ayen University</t>
  </si>
  <si>
    <t xml:space="preserve">Karbasi, M (corresponding author), Univ Zanjan, Fac Agr, Water Engn Dept, Zanjan, Iran.;Jamei, M (corresponding author), Shahid Chamran Univ Ahvaz, Fac Engn, Shohadaye Hoveizeh Campus Technol, Dashte Azadegan, Iran.</t>
  </si>
  <si>
    <t xml:space="preserve">M.karbasi@znu.ac.ir; yaseen@ukm.edu.my</t>
  </si>
  <si>
    <t xml:space="preserve">Jamei, Mehdi/V-3832-2019; Malik, Anurag/AAF-5402-2020; Yaseen, Zaher/G-7029-2018; Ali, Mumtaz/AAF-8685-2020; Karbasi, Masoud/Y-8622-2018</t>
  </si>
  <si>
    <t xml:space="preserve">Malik, Anurag/0000-0002-0298-5777; Yaseen, Zaher/0000-0003-3647-7137; Ali, Mumtaz/0000-0002-6975-5159; Karbasi, Masoud/0000-0002-9012-8280</t>
  </si>
  <si>
    <t xml:space="preserve">10.1016/j.compag.2022.107121</t>
  </si>
  <si>
    <t xml:space="preserve">2N7XV</t>
  </si>
  <si>
    <t xml:space="preserve">WOS:000818589000001</t>
  </si>
  <si>
    <t xml:space="preserve">Niu, XH; Wei, XK; Tian, W; Wang, GJ; Zhu, WH</t>
  </si>
  <si>
    <t xml:space="preserve">Niu, Xianghua; Wei, Xikun; Tian, Wei; Wang, Guojie; Zhu, Wenhui</t>
  </si>
  <si>
    <t xml:space="preserve">The Future Change in Evaporation Based on the CMIP6 Merged Data Generated by Deep-Learning Method in China</t>
  </si>
  <si>
    <t xml:space="preserve">downscaling; evaporation; deep-learning; climate change</t>
  </si>
  <si>
    <t xml:space="preserve">REGIONAL CLIMATE MODEL; PRECIPITATION; EVAPOTRANSPIRATION; UNCERTAINTY; TEMPERATURE; TRENDS; IMPACT</t>
  </si>
  <si>
    <t xml:space="preserve">Land evaporation (LET) is an important variable in climate change, water cycle and water resources management. Mastering the projected changes in LET is significant for crop water requirements and the energy cycle. The global climate model (GCM) is a vital tool for future climate change research. However, the GCMs have low spatial resolution and relatively high errors. We use a deep learning (DL)-based model to deal with this problem. The DL approach can downscale the model data and merge simultaneously. We applied the DL approach to a suit of models from the Coupled Model Intercomparison Project 6th edition (CMIP6) LET data. From the result of all the evaluation metrics, the DL merged data greatly improved in both spatial and time dimensions. The mean RMSE is 5.85 mm and the correlation is 0.95 between the DL merged data and reference data (historical reliable evaporation data). The future LET evidently increases in four scenarios (SSP1-2.6, SSP2-4.5, SSP3-7.0, and SSP5-8.5), and the upward intensity rises from the low to high emission scenarios. The highest increasing regions are in the Tibet Plateau and the south of China and the trend is larger than 10 mm/decade in the high scenarios. From the seasonal point of view, the increasing trend in spring and summer is far larger than for autumn and winter. The Tibet Plateau and the northeast of China have the largest upward trend in the spring of SSP5-8.5, higher than 1.6 mm/decade.</t>
  </si>
  <si>
    <t xml:space="preserve">[Niu, Xianghua; Zhu, Wenhui] Beijing Inst Meteorol Applicat, Beijing 100029, Peoples R China; [Niu, Xianghua; Zhu, Wenhui] Natl Key Lab Geog Informat Engn, Xian 710054, Peoples R China; [Wei, Xikun; Wang, Guojie] Nanjing Univ Informat Sci &amp; Technol NUIST, Sch Geog Sci, Nanjing 210044, Peoples R China; [Tian, Wei] Nanjing Univ Informat Sci &amp; Technol NUIST, Sch Comp Sci, Nanjing 210044, Peoples R China</t>
  </si>
  <si>
    <t xml:space="preserve">Nanjing University of Information Science &amp; Technology; Nanjing University of Information Science &amp; Technology</t>
  </si>
  <si>
    <t xml:space="preserve">Niu, XH (corresponding author), Beijing Inst Meteorol Applicat, Beijing 100029, Peoples R China.;Niu, XH (corresponding author), Natl Key Lab Geog Informat Engn, Xian 710054, Peoples R China.</t>
  </si>
  <si>
    <t xml:space="preserve">nxh0322@126.com</t>
  </si>
  <si>
    <t xml:space="preserve">Zhu, Wenhui/ABF-4937-2021</t>
  </si>
  <si>
    <t xml:space="preserve">Wang, Guojie/0000-0002-8613-0003</t>
  </si>
  <si>
    <t xml:space="preserve">173 National Basic Research Program of China [2020-JCJQ-ZD-087-01]</t>
  </si>
  <si>
    <t xml:space="preserve">173 National Basic Research Program of China</t>
  </si>
  <si>
    <t xml:space="preserve">Thiswork is funded by the 173National Basic Research Programof China (2020-JCJQ-ZD-087-01).</t>
  </si>
  <si>
    <t xml:space="preserve">10.3390/w14182800</t>
  </si>
  <si>
    <t xml:space="preserve">4R9FC</t>
  </si>
  <si>
    <t xml:space="preserve">WOS:000857059400001</t>
  </si>
  <si>
    <t xml:space="preserve">Zhong, LH; Hu, L; Zhou, H; Tao, X</t>
  </si>
  <si>
    <t xml:space="preserve">Zhong, Liheng; Hu, Lina; Zhou, Hang; Tao, Xin</t>
  </si>
  <si>
    <t xml:space="preserve">Deep learning based winter wheat mapping using statistical data as ground references in Kansas and northern Texas, US</t>
  </si>
  <si>
    <t xml:space="preserve">Crop classification; Deep learning; Artificial neural network; Convolutional neural network; MODIS; Winter wheat; USDA Quick Status</t>
  </si>
  <si>
    <t xml:space="preserve">TIME-SERIES; CROP CLASSIFICATION; ECONOMIC-MODELS; NEURAL-NETWORKS; ENERGY-BALANCE; LAND-COVER; CORN-BELT; MODIS; EVAPOTRANSPIRATION; AUTOENCODER</t>
  </si>
  <si>
    <t xml:space="preserve">Winter wheat is a major staple crop and it is critical to monitor winter wheat production using efficient and automated means. This study proposed a novel approach to produce winter wheat maps using statistics as the training targets of supervised classification. Deep neural network architectures were built to link remotely sensed image series to the harvested areas of individual administrative units. After training, the resultant maps were generated using the activations on a middle layer of the deep model. The direct use of statistical data to some extent alleviates the shortage of ground samples in classification tasks and provides an opportunity to utilize a wealth of statistical records to improve land use mapping. The experiments were carried out in Kansas and Northern Texas during 2001-2017. For each study area the goal was to create winter maps that are consistent with USDA county-level statistics of harvested areas. The trained deep models automatically identified the seasonal pattern of winter wheat pixels without using pixel-level reference data. The winter wheat maps were compared with the Cropland Data Layer (CDL) for years when the CDL is available. In Kansas where the winter wheat extent of the CDL has high reported accuracy and agrees well with county statistics, the maps produced from the deep model was evaluated using the CDL as an independent test set. Northern Texas was selected as an example where the winter wheat area of the CDL is very different from official statistics, and the maps by the deep model enabled a map-to-map comparison with the CDL to highlight the areas of discrepancy. Visual representation of the deep model behaviors and recognized patterns show that deep learning is an automated and robust means to handle the variability of winter wheat seasonality without the need of manual feature engineering and intensive ground data collection. Showing the possibility of generating maps solely from regional statistics, the proposed deep learning approach has great potential to fill the historical gaps of conventional sample-based classification and extend applications to areas where only regional statistics are available. The flexible deep network architecture can be fused with various statistical datasets to fully employ existing sources of data and knowledge.</t>
  </si>
  <si>
    <t xml:space="preserve">[Zhong, Liheng] Descartes Labs Inc, San Francisco, CA 94107 USA; [Hu, Lina] Tsinghua Univ, Dept Sociol, Beijing 100084, Peoples R China; [Zhou, Hang] Descartes Labs Inc, Santa Fe, NM 87501 USA; [Tao, Xin] SUNY Buffalo, Dept Geog, Buffalo, NY 14261 USA</t>
  </si>
  <si>
    <t xml:space="preserve">Tsinghua University; State University of New York (SUNY) System; University at Buffalo, SUNY</t>
  </si>
  <si>
    <t xml:space="preserve">Zhong, LH (corresponding author), Room 233,1416 9th St, Sacramento, CA 95814 USA.</t>
  </si>
  <si>
    <t xml:space="preserve">lihengzhong@berkeley.edu</t>
  </si>
  <si>
    <t xml:space="preserve">Tao, Xin/F-7993-2017</t>
  </si>
  <si>
    <t xml:space="preserve">Tao, Xin/0000-0002-5107-9068; Zhong, Liheng/0000-0002-8161-9168</t>
  </si>
  <si>
    <t xml:space="preserve">10.1016/j.rse.2019.111411</t>
  </si>
  <si>
    <t xml:space="preserve">JO5EE</t>
  </si>
  <si>
    <t xml:space="preserve">WOS:000497601000043</t>
  </si>
  <si>
    <t xml:space="preserve">Mehr, AD; Ghiasi, AR; Yaseen, ZM; Sorman, AU; Abualigah, L</t>
  </si>
  <si>
    <t xml:space="preserve">Mehr, Ali Danandeh; Ghiasi, Amir Rikhtehgar; Yaseen, Zaher Mundher; Sorman, Ali Unal; Abualigah, Laith</t>
  </si>
  <si>
    <t xml:space="preserve">A novel intelligent deep learning predictive model for meteorological drought forecasting</t>
  </si>
  <si>
    <t xml:space="preserve">JOURNAL OF AMBIENT INTELLIGENCE AND HUMANIZED COMPUTING</t>
  </si>
  <si>
    <t xml:space="preserve">Deep learning; Long short-term memory; Drought forecasting; Convolutional networks</t>
  </si>
  <si>
    <t xml:space="preserve">The advancements of artificial intelligence models have demonstrated notable progress in the field of hydrological forecasting. However, predictions of extreme climate events are still a challenging task. This paper presents the development and verification procedures of a new hybrid intelligent model, namely convolutional long short-term memory (CNN-LSTM) for short-term meteorological drought forecasting. The CNN-LSTM conjugates the long short-term memory (LSTM) network with a convolutional neural network (CNN) as the feature extractor. The new model was implemented to forecast multi-temporal drought indices, three-month and six-month standardized precipitation evapotranspiration (SPEI-3 and SPEI-6), at two case study points located in Ankara province, Turkey. Statistical accuracy measures, graphical inspections, and comparison with benchmark models, including genetic programming, artificial neural networks, LSTM, and CNN, were considered to verify the efficiency of the proposed model. The results showed that the CNN-LSTM outperformed all the benchmarks. In quantitative visualization, it attained minimal root mean square error (RMSE = 0.75 and 0.43) for the SPEI-3 and SPEI-6 at Beypazari station and (RMSE = 0.73 and 0.53) for the SPEI-3 and SPEI-6 at Nallihan station over the testing periods. The proposed hybrid model was a promising and reliable modeling approach for the SPEI prediction and increased our knowledge about meteorological drought patterns.</t>
  </si>
  <si>
    <t xml:space="preserve">[Mehr, Ali Danandeh] Antalya Bilim Univ, Civil Engn Dept, Antalya, Turkey; [Ghiasi, Amir Rikhtehgar] Antalya Bilim Univ, Elect Engn Dept, Antalya, Turkey; [Yaseen, Zaher Mundher] South Ural State Univ, Inst Architecture &amp; Construct, Dept Urban Planning Engn Networks &amp; Syst, 76 Lenin Prospect, Chelyabinsk 454080, Russia; [Yaseen, Zaher Mundher] Al Ayen Univ, Sci Res Ctr, New Era &amp; Dev Civil Engn Res Grp, Thi Qar 64001, Iraq; [Yaseen, Zaher Mundher] Asia Univ, Coll Creat Design, Taichung, Taiwan; [Sorman, Ali Unal] Middle East Tech Univ, Civil Engn Dept, Ankara, Turkey; [Abualigah, Laith] Amman Arab Univ, Fac Comp Sci &amp; Informat, Amman 11953, Jordan; [Abualigah, Laith] Univ Sains Malaysia, Sch Comp Sci, George Town 11800, Malaysia</t>
  </si>
  <si>
    <t xml:space="preserve">Antalya Bilim University; Antalya Bilim University; South Ural State University; Al-Ayen University; Asia University Taiwan; Middle East Technical University; Universiti Sains Malaysia</t>
  </si>
  <si>
    <t xml:space="preserve">Yaseen, ZM (corresponding author), South Ural State Univ, Inst Architecture &amp; Construct, Dept Urban Planning Engn Networks &amp; Syst, 76 Lenin Prospect, Chelyabinsk 454080, Russia.;Yaseen, ZM (corresponding author), Al Ayen Univ, Sci Res Ctr, New Era &amp; Dev Civil Engn Res Grp, Thi Qar 64001, Iraq.;Yaseen, ZM (corresponding author), Asia Univ, Coll Creat Design, Taichung, Taiwan.;Abualigah, L (corresponding author), Amman Arab Univ, Fac Comp Sci &amp; Informat, Amman 11953, Jordan.;Abualigah, L (corresponding author), Univ Sains Malaysia, Sch Comp Sci, George Town 11800, Malaysia.</t>
  </si>
  <si>
    <t xml:space="preserve">ali.danandeh@antalya.edu.tr; amir.ghiasi@antalya.edu.tr; Zaheryaseen88@gmail.com; ausorman@gmail.com; aligah.2020@gmail.com</t>
  </si>
  <si>
    <t xml:space="preserve">Abualigah, Laith/ABC-9695-2020; SORMAN, ALI/K-2686-2019; DANANDEH MEHR, ALI/S-9321-2017; Yaseen, Zaher/G-7029-2018; Abualigah, Laith/Q-2185-2016</t>
  </si>
  <si>
    <t xml:space="preserve">Yaseen, Zaher/0000-0003-3647-7137; Abualigah, Laith/0000-0002-2203-4549</t>
  </si>
  <si>
    <t xml:space="preserve">1868-5137</t>
  </si>
  <si>
    <t xml:space="preserve">1868-5145</t>
  </si>
  <si>
    <t xml:space="preserve">J AMB INTEL HUM COMP</t>
  </si>
  <si>
    <t xml:space="preserve">J. Ambient Intell. Humaniz. Comput.</t>
  </si>
  <si>
    <t xml:space="preserve">2022 JAN 24</t>
  </si>
  <si>
    <t xml:space="preserve">10.1007/s12652-022-03701-7</t>
  </si>
  <si>
    <t xml:space="preserve">Computer Science, Artificial Intelligence; Computer Science, Information Systems; Telecommunications</t>
  </si>
  <si>
    <t xml:space="preserve">Computer Science; Telecommunications</t>
  </si>
  <si>
    <t xml:space="preserve">YL3CW</t>
  </si>
  <si>
    <t xml:space="preserve">WOS:000745773600001</t>
  </si>
  <si>
    <t xml:space="preserve">Nyamane, S; Abd Elbasit, MAM; Obagbuwa, IC</t>
  </si>
  <si>
    <t xml:space="preserve">Nyamane, Seipati; Abd Elbasit, Mohamed A. M.; Obagbuwa, Ibidun Christiana</t>
  </si>
  <si>
    <t xml:space="preserve">Harnessing Deep Learning for Meteorological Drought Forecasts in the Northern Cape, South Africa</t>
  </si>
  <si>
    <t xml:space="preserve">INTERNATIONAL JOURNAL OF INTELLIGENT SYSTEMS</t>
  </si>
  <si>
    <t xml:space="preserve">convolutional neural networks; drought; long short-term memory; meteorological forecasting; standardized precipitation evapotranspiration index</t>
  </si>
  <si>
    <t xml:space="preserve">PREDICTION; MODEL; SPEI</t>
  </si>
  <si>
    <t xml:space="preserve">The National Disaster Management Center has declared a drought disaster in the Northern Cape, South Africa, due to persistent dry conditions that impact regions such as the Western, Eastern, and Northern Cape provinces. Accurate drought predictions are vital for decision-making and planning in vulnerable areas. This study introduces a hybrid intelligence model, combining long short-term memory (LSTM) and convolutional neural networks (CNNs), to forecast short-term meteorological droughts using the Standardized Precipitation Evapotranspiration Index (SPEI). Applied to Kimberley and Upington in the Northern Cape, the model predicts 1-month and 3-month SPEI indices (SPEI-1 and SPEI-3). The hybrid model's performance, compared to benchmark models such as artificial neural networks (ANNs), LSTM, and CNN, is measured through statistical analysis. In Kimberley, the CNN-LSTM model displayed a robust positive correlation of 0.901573 and a low mean absolute error (MAE) of 0.082513. Similarly, in Upington, the CNN-LSTM model exhibited strong performance, achieving a correlation coefficient of 0.894805 and a MAE of 0.085212. These results highlight the model's remarkable precision and effectiveness in predicting drought conditions in both regions, underscoring its superiority over other forecasting techniques. SPEI, incorporating potential evapotranspiration and rainfall, is superior for drought analysis amidst climate change. The findings enhance understanding of drought patterns and aid mitigation efforts. The CNN-LSTM hybrid model demonstrated noteworthy results, outperforming ANN, CNN, and LSTM, emphasizing its potential for precise meteorological drought predictions.</t>
  </si>
  <si>
    <t xml:space="preserve">[Nyamane, Seipati; Obagbuwa, Ibidun Christiana] Sol Plaatje Univ, Dept Comp Sci &amp; Informat Technol, Kimberley, South Africa; [Abd Elbasit, Mohamed A. M.] Sol Plaatje Univ, Dept Phys &amp; Earth Sci, Kimberley, South Africa</t>
  </si>
  <si>
    <t xml:space="preserve">Obagbuwa, IC (corresponding author), Sol Plaatje Univ, Dept Comp Sci &amp; Informat Technol, Kimberley, South Africa.</t>
  </si>
  <si>
    <t xml:space="preserve">201727501@spu.ac.za; mohamed.ahmed@spu.ac.za; ibidun.obagbuwa@spu.ac.za</t>
  </si>
  <si>
    <t xml:space="preserve">Obagbuwa, Ibidun/AAO-9993-2020; Elbasit, Mohamed/C-3135-2009</t>
  </si>
  <si>
    <t xml:space="preserve">Abd Elbasit, Mohamed A. M./0000-0003-4762-3355; Obagbuwa, Ibidun Christiana/0000-0002-7965-2823</t>
  </si>
  <si>
    <t xml:space="preserve">Te National e-Science Postgraduate Teaching and Training Platform (NEPTTP)</t>
  </si>
  <si>
    <t xml:space="preserve">Tis research was supported by Te National e-Science Postgraduate Teaching and Training Platform (NEPTTP).</t>
  </si>
  <si>
    <t xml:space="preserve">0884-8173</t>
  </si>
  <si>
    <t xml:space="preserve">1098-111X</t>
  </si>
  <si>
    <t xml:space="preserve">INT J INTELL SYST</t>
  </si>
  <si>
    <t xml:space="preserve">Int. J. Intell. Syst.</t>
  </si>
  <si>
    <t xml:space="preserve">OCT 30</t>
  </si>
  <si>
    <t xml:space="preserve">10.1155/2024/7562587</t>
  </si>
  <si>
    <t xml:space="preserve">L4Z7P</t>
  </si>
  <si>
    <t xml:space="preserve">WOS:001350821000002</t>
  </si>
  <si>
    <t xml:space="preserve">Martin, N; Yang, CB</t>
  </si>
  <si>
    <t xml:space="preserve">Martin, Nick; Yang, Changbing</t>
  </si>
  <si>
    <t xml:space="preserve">Statistical learning of water budget outcomes accounting for target and feature</t>
  </si>
  <si>
    <t xml:space="preserve">Uncertainty analysis; Deep learning; Machine learning; Power transformation; Long short-term memory networks (LSTM); Entity-aware long short-term memory networks; (EA-LSTM)</t>
  </si>
  <si>
    <t xml:space="preserve">EVAPOTRANSPIRATION; PRECIPITATION; UNCERTAINTY</t>
  </si>
  <si>
    <t xml:space="preserve">Statistical learning seeks to learn statistics-based rules for data analysis tasks from known examples of inputs, or features, and corresponding outcomes and includes machine learning (ML) and deep learning (DL) algorithms. Data sets that are noisy, include significant uncertainty, and have extreme values hinder the learning process. In this study, aquifer recharge predictors are developed using four, random forest or gradient boosting ML methods and Long Short-Term Memory (LSTM) networks, a DL method to: (1) examine predictive skill when trained using noisy and uncertain data and (2) identify advantages of statistical learning implementations for prediction of water budget outcomes relative to process-based water budget calculations. Recharge was selected as the learning outcome because it is not observed and inherently uncertain. Precipitation, potential evapotranspiration (PET), and river discharge are the features, or inputs, and are calculated, or modelled, values and are not directly observed; consequently, they are expected to be noisy and uncertain because of contamination with measurement and model error. A common-sense baseline is developed and implemented to account for uncertainty and noise in outcomes for training and validation; the baseline provides delineation of a lower goodness-of-fit threshold that identifies when trained ML and DL models generate prediction skill and an upper goodness-of-fit threshold above which the models are learning to reproduce noise and bias. For statistical learning regression implementations, features and outcomes need to be transformed to be Gaussian-like. Inherent variability and extreme events in precipitation, discharge, and recharge data sets require power transformation, or at least scaling of logarithms, to enhance predictive skill. Identified advantages to statistical learning of water budget outcomes are the ability to use dimensionless trends for features and to represent a complex study site with the same level of effort as a simple site.</t>
  </si>
  <si>
    <t xml:space="preserve">[Martin, Nick] Southwest Res Inst, 6220 Culebra Rd, San Antonio, TX 78238 USA; [Yang, Changbing] Edwards Aquifer Author, 1615 North St Marys St, San Antonio, TX 78215 USA</t>
  </si>
  <si>
    <t xml:space="preserve">Southwest Research Institute</t>
  </si>
  <si>
    <t xml:space="preserve">Martin, N (corresponding author), Southwest Res Inst, 6220 Culebra Rd, San Antonio, TX 78238 USA.</t>
  </si>
  <si>
    <t xml:space="preserve">nick.martin@alumni.stanford.edu</t>
  </si>
  <si>
    <t xml:space="preserve">LI, yue/KHC-6771-2024</t>
  </si>
  <si>
    <t xml:space="preserve">Martin, Nicholas/0000-0002-6432-7390</t>
  </si>
  <si>
    <t xml:space="preserve">Southwest Research Institute(R)~(SwRI) , Internal Research and Development Grant [15-R6209]</t>
  </si>
  <si>
    <t xml:space="preserve">Southwest Research Institute(R)~(SwRI) , Internal Research and Development Grant</t>
  </si>
  <si>
    <t xml:space="preserve">The LSTM-, common-sense baseline-, and transformation-related portions of this research were funded by Southwest Research Institute (R)&amp; nbsp;(SwRI) , Internal Research and Development Grant 15-R6209. The authors would like to acknowledge the guidance of two anonymous reviewers that provided beneficial suggestions that improved the quality of this paper.</t>
  </si>
  <si>
    <t xml:space="preserve">10.1016/j.jhydrol.2023.129946</t>
  </si>
  <si>
    <t xml:space="preserve">JUL 2023</t>
  </si>
  <si>
    <t xml:space="preserve">P2CM7</t>
  </si>
  <si>
    <t xml:space="preserve">WOS:001048771700001</t>
  </si>
  <si>
    <t xml:space="preserve">Wang, YL; Shi, LS; Hu, Y; Hu, XL; Song, WX; Wang, LJ</t>
  </si>
  <si>
    <t xml:space="preserve">Wang, Yanling; Shi, Liangsheng; Hu, Yaan; Hu, Xiaolong; Song, Wenxiang; Wang, Lijun</t>
  </si>
  <si>
    <t xml:space="preserve">A comprehensive study of deep learning for soil moisture prediction</t>
  </si>
  <si>
    <t xml:space="preserve">NEURAL-NETWORKS; MODEL; EVAPOTRANSPIRATION; IRRIGATION; CATCHMENT; ALGORITHM; SURFACE</t>
  </si>
  <si>
    <t xml:space="preserve">Soil moisture plays a crucial role in the hydrological cycle, but accurately predicting soil moisture presents challenges due to the nonlinearity of soil water transport and the variability of boundary conditions. Deep learning has emerged as a promising approach for simulating soil moisture dynamics. In this study, we explore 10 different network structures to uncover their data utilization mechanisms and to maximize the potential of deep learning for soil moisture prediction, including three basic feature extractors and seven diverse hybrid structures, six of which are applied to soil moisture prediction for the first time. We compare the predictive abilities and computational costs of the models across different soil textures and depths systematically. Furthermore, we exploit the interpretability of the models to gain insights into their workings and attempt to advance our understanding of deep learning in soil moisture dynamics. For soil moisture forecasting, our results demonstrate that the temporal modeling capability of long short-term memory (LSTM) is well suited. Furthermore, the improved accuracy achieved by feature attention LSTM (FA-LSTM) and the generative-adversarial-network-based LSTM (GAN-LSTM), along with the Shapley (SHAP) additive explanations analysis, help us discover the effectiveness of attention mechanisms and the benefits of adversarial training in feature extraction. These findings provide effective network design principles. The Shapley values also reveal varying data leveraging approaches among different models. The t -distributed stochastic neighbor embedding ( t -SNE) visualization illustrates differences in encoded features across models. In summary, our comprehensive study provides insights into soil moisture prediction and highlights the importance of the appropriate model design for specific soil moisture prediction tasks. We also hope this work serves as a reference for deep learning studies in other hydrology problems. The codes of 3 machine learning and 10 deep learning models are open source.</t>
  </si>
  <si>
    <t xml:space="preserve">[Wang, Yanling; Shi, Liangsheng; Hu, Xiaolong; Song, Wenxiang; Wang, Lijun] Wuhan Univ, State Key Lab Water Resources Engn &amp; Management, Wuhan, Peoples R China; [Hu, Yaan] Nanjing Hydraul Res Inst, State Key Lab Hydrol Water Resources &amp; Hydraul Eng, Nanjing, Peoples R China</t>
  </si>
  <si>
    <t xml:space="preserve">Wuhan University; Nanjing Hydraulic Research Institute</t>
  </si>
  <si>
    <t xml:space="preserve">Wang, Yanling/N-5854-2019</t>
  </si>
  <si>
    <t xml:space="preserve">Song, Wenxiang/0000-0002-9834-7197</t>
  </si>
  <si>
    <t xml:space="preserve">National Key Research and Development Program of China Stem Cell and Translational Research; NASA</t>
  </si>
  <si>
    <t xml:space="preserve">National Key Research and Development Program of China Stem Cell and Translational Research(National Key Research &amp; Development Program of China); NASA(National Aeronautics &amp; Space Administration (NASA))</t>
  </si>
  <si>
    <t xml:space="preserve">The authors acknowledge ISMN and NASA for data support; the editor, Fadji Zaouna Maina; Sarah Kunze; and the two anonymous reviewers.</t>
  </si>
  <si>
    <t xml:space="preserve">FEB 27</t>
  </si>
  <si>
    <t xml:space="preserve">10.5194/hess-28-917-2024</t>
  </si>
  <si>
    <t xml:space="preserve">LY9O0</t>
  </si>
  <si>
    <t xml:space="preserve">WOS:001190492500001</t>
  </si>
  <si>
    <t xml:space="preserve">Zhang, YH; Xie, DL; Tian, W; Zhao, HJ; Geng, ST; Lu, HY; Ma, GY; Huang, J; Sian, KTCLK</t>
  </si>
  <si>
    <t xml:space="preserve">Zhang, Yonghong; Xie, Donglin; Tian, Wei; Zhao, Huajun; Geng, Sutong; Lu, Huanyu; Ma, Guangyi; Huang, Jie; Sian, Kenny Thiam Choy Lim Kam</t>
  </si>
  <si>
    <t xml:space="preserve">Construction of an Integrated Drought Monitoring Model Based on Deep Learning Algorithms</t>
  </si>
  <si>
    <t xml:space="preserve">drought monitoring; Xinjiang; MODIS; ConvLSTM</t>
  </si>
  <si>
    <t xml:space="preserve">INDEX; IMPACT; CHINA; MODIS; XINJIANG; MACHINE</t>
  </si>
  <si>
    <t xml:space="preserve">Drought is one of the major global natural disasters, and appropriate monitoring systems are essential to reveal drought trends. In this regard, deep learning is a very promising approach for characterizing the non-linear nature of drought factors. We used multi-source remote sensing data such as the Moderate Resolution Imaging Spectroradiometer (MODIS) and Climate Hazards Group Infrared Precipitation with Station (CHIRPS) data to integrate drought impact factors such as precipitation, vegetation, temperature, and soil moisture. The application of convolutional long short-term memory (ConvLSTM) to construct an integrated drought monitoring model was proposed and tested, using the Xinjiang Uygur Autonomous Region as an example. To better compare the monitoring performance of ConvLSTM models, three other classical deep learning models and three classical machine learning models were also used for comparison. The results show that the composite drought index (CDI) output by the ConvLSTM model had a consistent high correlation with the drought rating of the multi-scale standardized precipitation evapotranspiration index (SPEI). The correlation coefficients between the CDI and the multi-scale standardized precipitation index (SPI) were all above 0.5 (p &lt; 0.01), which was highly significant, and the correlation coefficient between CDI-1 and the monthly soil relative humidity at a 10 cm depth was above 0.45 (p &lt; 0.01), which was well correlated. In addition, the spatial distribution of the CDI-6 simulated by the model was highly correlated with the degree of drought expressed by the SPEI-6 observations at the stations. This study provides a new approach for integrated regional drought monitoring.</t>
  </si>
  <si>
    <t xml:space="preserve">[Zhang, Yonghong; Xie, Donglin; Zhao, Huajun; Geng, Sutong; Lu, Huanyu; Huang, Jie] Nanjing Univ Informat Sci &amp; Technol, Sch Automation, Nanjing 210044, Peoples R China; [Tian, Wei] Nanjing Univ Informat Sci &amp; Technol, Sch Comp Sci, Nanjing 210044, Peoples R China; [Ma, Guangyi] Nanjing Univ Informat Sci &amp; Technol, Sch Elect &amp; Informat Engn, Nanjing 210044, Peoples R China; [Sian, Kenny Thiam Choy Lim Kam] Wuxi Univ, Sch Atmospher Sci &amp; Remote Sensing, Wuxi 214100, Peoples R China</t>
  </si>
  <si>
    <t xml:space="preserve">Nanjing University of Information Science &amp; Technology; Nanjing University of Information Science &amp; Technology; Nanjing University of Information Science &amp; Technology; Wuxi University</t>
  </si>
  <si>
    <t xml:space="preserve">Zhang, YH (corresponding author), Nanjing Univ Informat Sci &amp; Technol, Sch Automation, Nanjing 210044, Peoples R China.</t>
  </si>
  <si>
    <t xml:space="preserve">zyh@nuist.edu.cn</t>
  </si>
  <si>
    <t xml:space="preserve">Zhang, Yonghong/IXE-1205-2023; Lim Kam Sian, Kenny/AAW-8241-2021</t>
  </si>
  <si>
    <t xml:space="preserve">Tian, Wei/0000-0001-8113-3718; Geng, Sutong/0009-0002-5163-8656; Zhang, Yonghong/0000-0003-3011-3113; xie, donglin/0000-0002-3955-986X</t>
  </si>
  <si>
    <t xml:space="preserve">10.3390/rs15030667</t>
  </si>
  <si>
    <t xml:space="preserve">8U8ET</t>
  </si>
  <si>
    <t xml:space="preserve">WOS:000930179000001</t>
  </si>
  <si>
    <t xml:space="preserve">Moghaddasi, M; Moradi, M; Ghaleni, MM; Yaseen, ZM</t>
  </si>
  <si>
    <t xml:space="preserve">Moghaddasi, Mahnoosh; Moradi, Mansour; Ghaleni, Mahdi Mohammadi; Yaseen, Zaher Mundher</t>
  </si>
  <si>
    <t xml:space="preserve">Reinforcing long lead time drought forecasting with a novel hybrid deep learning model: a case study in Iran</t>
  </si>
  <si>
    <t xml:space="preserve">Deep feedforward natural networks (DFFNN); War strategy optimization (WSO); Feature selection; SPEI; Evolutionary algorithm</t>
  </si>
  <si>
    <t xml:space="preserve">PREDICTION; ALGORITHM</t>
  </si>
  <si>
    <t xml:space="preserve">Drought assessment is inherently complex, particularly under the influences of climate change, which complicates long-term forecasting. This study introduces a novel hybrid deep learning model, Deep Feedforward Natural Networks (DFFNN), enhanced by War Strategy Optimization (WSO), aimed at forecasting the Standardized Precipitation Evapotranspiration Index (SPEI) for lead times of one, three, six, nine, and twelve months. Key parameters of the DFFNN, including the number of neurons and layers, learning rate, training function, and weight initialization, were optimized using the WSO algorithm. The model's performance was validated against two established optimizers: Particle Swarm Optimization (PSO) and Genetic Algorithm (GA). Evaluations were conducted at two synoptic stations with distinct climatic conditions in Iran. Results demonstrated that the WSO-DFFNN model achieved superior performance for SPEI 12 (t + 1) with a correlation coefficient (r) of 0.9961 and Normalized Root Mean Square Error (NRMSE) of 0.1028; for SPEI 12 (t + 3) with r = 0.8856 and NRMSE = 0.1833; for SPEI 12 (t + 6) with r = 0.8573 and NRMSE = 0.2203; for SPEI 12 (t + 9) with r = 0.7951 and NRMSE = 0.2479; and for SPEI 12 (t + 12) with r = 0.7840 and NRMSE = 0.3279 at the Chabahar station. Additionally, the WSO-DFFNN model outperformed for SPEI 12 (t + 1) with r = 0.9118 and NRMSE = 0.1704; for SPEI 12 (t + 3) with r = 0.8386 and NRMSE = 0.2048; for SPEI 12 (t + 6) with r = 0.7602 and NRMSE = 0.2919; for SPEI 12 (t + 9) with r = 0.6379 and NRMSE = 0.2843; and for SPEI 12 (t + 12) with r = 0.6044 and NRMSE = 0.3463 at the Anzali station. The results obtained from this study have the potential to improve drought management strategies.</t>
  </si>
  <si>
    <t xml:space="preserve">[Moghaddasi, Mahnoosh; Ghaleni, Mahdi Mohammadi] Arak Univ, Fac Agr &amp; Environm, Dept Water Sci &amp; Engn, Arak 3815688138, Iran; [Moghaddasi, Mahnoosh; Ghaleni, Mahdi Mohammadi] Arak Univ, Res Inst Water Sci &amp; Engn, Arak, Iran; [Moradi, Mansour] Natl Univ Skills NUS, Dept Elect Engn, Tehran, Iran; [Yaseen, Zaher Mundher] King Fahd Univ Petr &amp; Minerals, Civil &amp; Environm Engn Dept, Dhahran 31261, Saudi Arabia; [Yaseen, Zaher Mundher] King Fahd Univ Petr &amp; Minerals, Interdisciplinary Res Ctr Membranes &amp; Water Secur, Dhahran 31261, Saudi Arabia</t>
  </si>
  <si>
    <t xml:space="preserve">Arak University; Arak University; King Fahd University of Petroleum &amp; Minerals; King Fahd University of Petroleum &amp; Minerals</t>
  </si>
  <si>
    <t xml:space="preserve">Moghaddasi, M (corresponding author), Arak Univ, Fac Agr &amp; Environm, Dept Water Sci &amp; Engn, Arak 3815688138, Iran.;Moghaddasi, M (corresponding author), Arak Univ, Res Inst Water Sci &amp; Engn, Arak, Iran.</t>
  </si>
  <si>
    <t xml:space="preserve">mah_moghaddasi@hotmail.com; mansour.moradi.ir@gmail.com; m-mohammadighaleni@araku.ac.ir; zaheryaseen88@gmail.com</t>
  </si>
  <si>
    <t xml:space="preserve">10.1007/s13201-025-02377-6</t>
  </si>
  <si>
    <t xml:space="preserve">X4G6R</t>
  </si>
  <si>
    <t xml:space="preserve">WOS:001424958500005</t>
  </si>
</sst>
</file>

<file path=xl/styles.xml><?xml version="1.0" encoding="utf-8"?>
<styleSheet xmlns="http://schemas.openxmlformats.org/spreadsheetml/2006/main">
  <numFmts count="2">
    <numFmt numFmtId="164" formatCode="General"/>
    <numFmt numFmtId="165" formatCode="General"/>
  </numFmts>
  <fonts count="12">
    <font>
      <sz val="11"/>
      <color theme="1"/>
      <name val="Aptos Narrow"/>
      <family val="2"/>
      <charset val="1"/>
    </font>
    <font>
      <sz val="10"/>
      <name val="Arial"/>
      <family val="0"/>
    </font>
    <font>
      <sz val="10"/>
      <name val="Arial"/>
      <family val="0"/>
    </font>
    <font>
      <sz val="10"/>
      <name val="Arial"/>
      <family val="0"/>
    </font>
    <font>
      <sz val="10"/>
      <name val="Arial"/>
      <family val="2"/>
      <charset val="1"/>
    </font>
    <font>
      <sz val="10"/>
      <color rgb="FF000000"/>
      <name val="Source Sans Pro"/>
      <family val="2"/>
      <charset val="1"/>
    </font>
    <font>
      <u val="single"/>
      <sz val="10"/>
      <color theme="10"/>
      <name val="Arial"/>
      <family val="2"/>
      <charset val="1"/>
    </font>
    <font>
      <sz val="11"/>
      <color theme="1"/>
      <name val="Noto Sans CJK SC"/>
      <family val="2"/>
      <charset val="1"/>
    </font>
    <font>
      <sz val="10"/>
      <name val="Arial"/>
      <family val="2"/>
    </font>
    <font>
      <sz val="9"/>
      <color rgb="FF000000"/>
      <name val="Tahoma"/>
      <family val="2"/>
      <charset val="1"/>
    </font>
    <font>
      <sz val="9"/>
      <color rgb="FF000000"/>
      <name val="Tahoma"/>
      <family val="0"/>
      <charset val="1"/>
    </font>
    <font>
      <u val="single"/>
      <sz val="9"/>
      <color rgb="FF000000"/>
      <name val="Tahoma"/>
      <family val="2"/>
      <charset val="1"/>
    </font>
  </fonts>
  <fills count="27">
    <fill>
      <patternFill patternType="none"/>
    </fill>
    <fill>
      <patternFill patternType="gray125"/>
    </fill>
    <fill>
      <patternFill patternType="solid">
        <fgColor theme="8" tint="0.5999"/>
        <bgColor rgb="FFF6C6AD"/>
      </patternFill>
    </fill>
    <fill>
      <patternFill patternType="solid">
        <fgColor theme="1" tint="0.4999"/>
        <bgColor rgb="FF467886"/>
      </patternFill>
    </fill>
    <fill>
      <patternFill patternType="solid">
        <fgColor theme="5" tint="0.7999"/>
        <bgColor rgb="FFE8E8E8"/>
      </patternFill>
    </fill>
    <fill>
      <patternFill patternType="solid">
        <fgColor theme="6" tint="0.7999"/>
        <bgColor rgb="FFD9F2D0"/>
      </patternFill>
    </fill>
    <fill>
      <patternFill patternType="solid">
        <fgColor theme="8" tint="0.7999"/>
        <bgColor rgb="FFD9D9D9"/>
      </patternFill>
    </fill>
    <fill>
      <patternFill patternType="solid">
        <fgColor theme="9" tint="0.7999"/>
        <bgColor rgb="FFC2F1C8"/>
      </patternFill>
    </fill>
    <fill>
      <patternFill patternType="solid">
        <fgColor theme="0" tint="-0.15"/>
        <bgColor rgb="FFE8E8E8"/>
      </patternFill>
    </fill>
    <fill>
      <patternFill patternType="solid">
        <fgColor theme="9" tint="0.3999"/>
        <bgColor rgb="FF92D050"/>
      </patternFill>
    </fill>
    <fill>
      <patternFill patternType="solid">
        <fgColor theme="3" tint="0.7499"/>
        <bgColor rgb="FFAEAEAE"/>
      </patternFill>
    </fill>
    <fill>
      <patternFill patternType="solid">
        <fgColor theme="5" tint="0.5999"/>
        <bgColor rgb="FFF2CFEE"/>
      </patternFill>
    </fill>
    <fill>
      <patternFill patternType="solid">
        <fgColor theme="9" tint="0.5999"/>
        <bgColor rgb="FFC2F1C8"/>
      </patternFill>
    </fill>
    <fill>
      <patternFill patternType="solid">
        <fgColor rgb="FF00B0F0"/>
        <bgColor rgb="FF46B1E1"/>
      </patternFill>
    </fill>
    <fill>
      <patternFill patternType="solid">
        <fgColor theme="8"/>
        <bgColor rgb="FF993366"/>
      </patternFill>
    </fill>
    <fill>
      <patternFill patternType="solid">
        <fgColor rgb="FFFFFF00"/>
        <bgColor rgb="FFFFC000"/>
      </patternFill>
    </fill>
    <fill>
      <patternFill patternType="solid">
        <fgColor theme="2"/>
        <bgColor rgb="FFFBE3D6"/>
      </patternFill>
    </fill>
    <fill>
      <patternFill patternType="solid">
        <fgColor theme="0" tint="-0.35"/>
        <bgColor rgb="FFAEAEAE"/>
      </patternFill>
    </fill>
    <fill>
      <patternFill patternType="solid">
        <fgColor theme="3" tint="0.4999"/>
        <bgColor rgb="FF46B1E1"/>
      </patternFill>
    </fill>
    <fill>
      <patternFill patternType="solid">
        <fgColor theme="9" tint="-0.25"/>
        <bgColor rgb="FF008000"/>
      </patternFill>
    </fill>
    <fill>
      <patternFill patternType="solid">
        <fgColor theme="3" tint="0.2499"/>
        <bgColor rgb="FF467886"/>
      </patternFill>
    </fill>
    <fill>
      <patternFill patternType="solid">
        <fgColor theme="0"/>
        <bgColor rgb="FFE8E8E8"/>
      </patternFill>
    </fill>
    <fill>
      <patternFill patternType="solid">
        <fgColor theme="7" tint="0.7999"/>
        <bgColor rgb="FFD9F2D0"/>
      </patternFill>
    </fill>
    <fill>
      <patternFill patternType="solid">
        <fgColor theme="2" tint="-0.25"/>
        <bgColor rgb="FFA6A6A6"/>
      </patternFill>
    </fill>
    <fill>
      <patternFill patternType="solid">
        <fgColor rgb="FFFFC000"/>
        <bgColor rgb="FFFF9900"/>
      </patternFill>
    </fill>
    <fill>
      <patternFill patternType="solid">
        <fgColor theme="4" tint="0.3999"/>
        <bgColor rgb="FF4E95D9"/>
      </patternFill>
    </fill>
    <fill>
      <patternFill patternType="solid">
        <fgColor rgb="FF92D050"/>
        <bgColor rgb="FF8ED973"/>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4" fillId="5" borderId="1" xfId="0" applyFont="true" applyBorder="tru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center" vertical="bottom" textRotation="0" wrapText="false" indent="0" shrinkToFit="false"/>
      <protection locked="true" hidden="false"/>
    </xf>
    <xf numFmtId="164" fontId="4" fillId="7" borderId="1" xfId="0" applyFont="true" applyBorder="true" applyAlignment="true" applyProtection="true">
      <alignment horizontal="center" vertical="bottom" textRotation="0" wrapText="false" indent="0" shrinkToFit="false"/>
      <protection locked="true" hidden="false"/>
    </xf>
    <xf numFmtId="164" fontId="0" fillId="8" borderId="1" xfId="0" applyFont="true" applyBorder="true" applyAlignment="true" applyProtection="true">
      <alignment horizontal="center" vertical="bottom" textRotation="0" wrapText="false" indent="0" shrinkToFit="false"/>
      <protection locked="true" hidden="false"/>
    </xf>
    <xf numFmtId="164" fontId="4" fillId="8" borderId="1" xfId="0" applyFont="true" applyBorder="true" applyAlignment="true" applyProtection="true">
      <alignment horizontal="center" vertical="bottom" textRotation="0" wrapText="false" indent="0" shrinkToFit="false"/>
      <protection locked="true" hidden="false"/>
    </xf>
    <xf numFmtId="164" fontId="4" fillId="9" borderId="1" xfId="0" applyFont="true" applyBorder="true" applyAlignment="true" applyProtection="true">
      <alignment horizontal="center" vertical="bottom" textRotation="0" wrapText="false" indent="0" shrinkToFit="false"/>
      <protection locked="true" hidden="false"/>
    </xf>
    <xf numFmtId="164" fontId="4" fillId="10" borderId="1" xfId="0" applyFont="true" applyBorder="true" applyAlignment="true" applyProtection="true">
      <alignment horizontal="center" vertical="bottom" textRotation="0" wrapText="false" indent="0" shrinkToFit="false"/>
      <protection locked="true" hidden="false"/>
    </xf>
    <xf numFmtId="164" fontId="0" fillId="10" borderId="1" xfId="0" applyFont="true" applyBorder="true" applyAlignment="true" applyProtection="true">
      <alignment horizontal="center" vertical="bottom" textRotation="0" wrapText="false" indent="0" shrinkToFit="false"/>
      <protection locked="true" hidden="false"/>
    </xf>
    <xf numFmtId="164" fontId="5" fillId="10" borderId="1" xfId="0" applyFont="true" applyBorder="true" applyAlignment="true" applyProtection="true">
      <alignment horizontal="center" vertical="bottom" textRotation="0" wrapText="false" indent="0" shrinkToFit="false"/>
      <protection locked="true" hidden="false"/>
    </xf>
    <xf numFmtId="164" fontId="0" fillId="11" borderId="1" xfId="0" applyFont="true" applyBorder="true" applyAlignment="true" applyProtection="true">
      <alignment horizontal="center" vertical="bottom" textRotation="0" wrapText="false" indent="0" shrinkToFit="false"/>
      <protection locked="true" hidden="false"/>
    </xf>
    <xf numFmtId="164" fontId="4" fillId="11" borderId="1" xfId="0" applyFont="true" applyBorder="true" applyAlignment="true" applyProtection="true">
      <alignment horizontal="center" vertical="bottom" textRotation="0" wrapText="false" indent="0" shrinkToFit="false"/>
      <protection locked="true" hidden="false"/>
    </xf>
    <xf numFmtId="164" fontId="4" fillId="12" borderId="1" xfId="0" applyFont="true" applyBorder="true" applyAlignment="true" applyProtection="true">
      <alignment horizontal="center" vertical="bottom" textRotation="0" wrapText="false" indent="0" shrinkToFit="false"/>
      <protection locked="true" hidden="false"/>
    </xf>
    <xf numFmtId="164" fontId="0" fillId="12" borderId="1" xfId="0" applyFont="true" applyBorder="true" applyAlignment="true" applyProtection="true">
      <alignment horizontal="center" vertical="bottom" textRotation="0" wrapText="false" indent="0" shrinkToFit="false"/>
      <protection locked="true" hidden="false"/>
    </xf>
    <xf numFmtId="164" fontId="4" fillId="13" borderId="1" xfId="0" applyFont="true" applyBorder="true" applyAlignment="true" applyProtection="true">
      <alignment horizontal="center" vertical="bottom" textRotation="0" wrapText="false" indent="0" shrinkToFit="false"/>
      <protection locked="true" hidden="false"/>
    </xf>
    <xf numFmtId="164" fontId="4" fillId="14" borderId="1" xfId="0" applyFont="true" applyBorder="true" applyAlignment="true" applyProtection="true">
      <alignment horizontal="center" vertical="bottom" textRotation="0" wrapText="false" indent="0" shrinkToFit="false"/>
      <protection locked="true" hidden="false"/>
    </xf>
    <xf numFmtId="164" fontId="4" fillId="15" borderId="1" xfId="0" applyFont="true" applyBorder="true" applyAlignment="true" applyProtection="true">
      <alignment horizontal="center" vertical="bottom" textRotation="0" wrapText="false" indent="0" shrinkToFit="false"/>
      <protection locked="true" hidden="false"/>
    </xf>
    <xf numFmtId="164" fontId="0" fillId="15" borderId="1" xfId="0" applyFont="true" applyBorder="true" applyAlignment="true" applyProtection="true">
      <alignment horizontal="center" vertical="bottom" textRotation="0" wrapText="false" indent="0" shrinkToFit="false"/>
      <protection locked="true" hidden="false"/>
    </xf>
    <xf numFmtId="164" fontId="0" fillId="16" borderId="1" xfId="0" applyFont="true" applyBorder="true" applyAlignment="true" applyProtection="true">
      <alignment horizontal="center" vertical="bottom" textRotation="0" wrapText="false" indent="0" shrinkToFit="false"/>
      <protection locked="true" hidden="false"/>
    </xf>
    <xf numFmtId="164" fontId="4" fillId="17" borderId="1" xfId="0" applyFont="true" applyBorder="true" applyAlignment="true" applyProtection="true">
      <alignment horizontal="center" vertical="bottom" textRotation="0" wrapText="false" indent="0" shrinkToFit="false"/>
      <protection locked="true" hidden="false"/>
    </xf>
    <xf numFmtId="164" fontId="4" fillId="18" borderId="1" xfId="0" applyFont="true" applyBorder="true" applyAlignment="true" applyProtection="true">
      <alignment horizontal="center" vertical="bottom" textRotation="0" wrapText="false" indent="0" shrinkToFit="false"/>
      <protection locked="true" hidden="false"/>
    </xf>
    <xf numFmtId="164" fontId="4" fillId="19" borderId="1" xfId="0" applyFont="true" applyBorder="true" applyAlignment="true" applyProtection="true">
      <alignment horizontal="center" vertical="bottom" textRotation="0" wrapText="false" indent="0" shrinkToFit="false"/>
      <protection locked="true" hidden="false"/>
    </xf>
    <xf numFmtId="164" fontId="4" fillId="20" borderId="1" xfId="0" applyFont="true" applyBorder="true" applyAlignment="true" applyProtection="true">
      <alignment horizontal="center" vertical="bottom" textRotation="0" wrapText="false" indent="0" shrinkToFit="false"/>
      <protection locked="true" hidden="false"/>
    </xf>
    <xf numFmtId="164" fontId="4" fillId="21" borderId="1" xfId="0" applyFont="true" applyBorder="true" applyAlignment="true" applyProtection="true">
      <alignment horizontal="center" vertical="bottom" textRotation="0" wrapText="false" indent="0" shrinkToFit="false"/>
      <protection locked="true" hidden="false"/>
    </xf>
    <xf numFmtId="164" fontId="4" fillId="22" borderId="1" xfId="0" applyFont="true" applyBorder="true" applyAlignment="true" applyProtection="true">
      <alignment horizontal="center" vertical="bottom" textRotation="0" wrapText="false" indent="0" shrinkToFit="false"/>
      <protection locked="true" hidden="false"/>
    </xf>
    <xf numFmtId="164" fontId="0" fillId="22" borderId="1" xfId="0" applyFont="true" applyBorder="true" applyAlignment="true" applyProtection="true">
      <alignment horizontal="center" vertical="bottom" textRotation="0" wrapText="false" indent="0" shrinkToFit="false"/>
      <protection locked="true" hidden="false"/>
    </xf>
    <xf numFmtId="164" fontId="0" fillId="23" borderId="1" xfId="0" applyFont="true" applyBorder="true" applyAlignment="true" applyProtection="true">
      <alignment horizontal="center" vertical="bottom" textRotation="0" wrapText="false" indent="0" shrinkToFit="false"/>
      <protection locked="true" hidden="false"/>
    </xf>
    <xf numFmtId="164" fontId="0" fillId="23" borderId="2" xfId="0" applyFont="true" applyBorder="true" applyAlignment="true" applyProtection="true">
      <alignment horizontal="center" vertical="bottom" textRotation="0" wrapText="false" indent="0" shrinkToFit="false"/>
      <protection locked="true" hidden="false"/>
    </xf>
    <xf numFmtId="164" fontId="0" fillId="24" borderId="1" xfId="0" applyFont="true" applyBorder="true" applyAlignment="true" applyProtection="true">
      <alignment horizontal="general" vertical="bottom" textRotation="0" wrapText="false" indent="0" shrinkToFit="false"/>
      <protection locked="true" hidden="false"/>
    </xf>
    <xf numFmtId="165" fontId="4" fillId="24" borderId="1" xfId="0" applyFont="true" applyBorder="true" applyAlignment="true" applyProtection="true">
      <alignment horizontal="center" vertical="bottom" textRotation="0" wrapText="false" indent="0" shrinkToFit="false"/>
      <protection locked="true" hidden="false"/>
    </xf>
    <xf numFmtId="164" fontId="0" fillId="24" borderId="1" xfId="0" applyFont="false" applyBorder="true" applyAlignment="true" applyProtection="true">
      <alignment horizontal="center" vertical="bottom" textRotation="0" wrapText="false" indent="0" shrinkToFit="false"/>
      <protection locked="true" hidden="false"/>
    </xf>
    <xf numFmtId="164" fontId="4" fillId="24" borderId="1" xfId="0" applyFont="true" applyBorder="true" applyAlignment="true" applyProtection="true">
      <alignment horizontal="center" vertical="bottom" textRotation="0" wrapText="false" indent="0" shrinkToFit="false"/>
      <protection locked="true" hidden="false"/>
    </xf>
    <xf numFmtId="165" fontId="0" fillId="24" borderId="1" xfId="0" applyFont="false" applyBorder="true" applyAlignment="true" applyProtection="true">
      <alignment horizontal="center" vertical="bottom" textRotation="0" wrapText="false" indent="0" shrinkToFit="false"/>
      <protection locked="true" hidden="false"/>
    </xf>
    <xf numFmtId="164" fontId="0" fillId="24" borderId="2" xfId="0" applyFont="false" applyBorder="true" applyAlignment="true" applyProtection="true">
      <alignment horizontal="center" vertical="bottom" textRotation="0" wrapText="false" indent="0" shrinkToFit="false"/>
      <protection locked="true" hidden="false"/>
    </xf>
    <xf numFmtId="164" fontId="6" fillId="24" borderId="1" xfId="20" applyFont="true" applyBorder="true" applyAlignment="true" applyProtection="true">
      <alignment horizontal="general" vertical="bottom" textRotation="0" wrapText="false" indent="0" shrinkToFit="false"/>
      <protection locked="true" hidden="false"/>
    </xf>
    <xf numFmtId="164" fontId="4" fillId="24" borderId="2" xfId="0" applyFont="true" applyBorder="true" applyAlignment="true" applyProtection="true">
      <alignment horizontal="center" vertical="bottom" textRotation="0" wrapText="false" indent="0" shrinkToFit="false"/>
      <protection locked="true" hidden="false"/>
    </xf>
    <xf numFmtId="164" fontId="0" fillId="25" borderId="1" xfId="0" applyFont="true" applyBorder="true" applyAlignment="true" applyProtection="true">
      <alignment horizontal="general" vertical="bottom" textRotation="0" wrapText="false" indent="0" shrinkToFit="false"/>
      <protection locked="true" hidden="false"/>
    </xf>
    <xf numFmtId="164" fontId="4" fillId="25" borderId="1" xfId="0" applyFont="true" applyBorder="true" applyAlignment="true" applyProtection="true">
      <alignment horizontal="center" vertical="bottom" textRotation="0" wrapText="false" indent="0" shrinkToFit="false"/>
      <protection locked="true" hidden="false"/>
    </xf>
    <xf numFmtId="164" fontId="0" fillId="25" borderId="1" xfId="0" applyFont="false" applyBorder="true" applyAlignment="true" applyProtection="true">
      <alignment horizontal="center" vertical="bottom" textRotation="0" wrapText="false" indent="0" shrinkToFit="false"/>
      <protection locked="true" hidden="false"/>
    </xf>
    <xf numFmtId="165" fontId="4" fillId="25" borderId="1" xfId="0" applyFont="true" applyBorder="true" applyAlignment="true" applyProtection="true">
      <alignment horizontal="center" vertical="bottom" textRotation="0" wrapText="false" indent="0" shrinkToFit="false"/>
      <protection locked="true" hidden="false"/>
    </xf>
    <xf numFmtId="165" fontId="4" fillId="25" borderId="2" xfId="0" applyFont="true" applyBorder="true" applyAlignment="true" applyProtection="true">
      <alignment horizontal="center" vertical="bottom" textRotation="0" wrapText="false" indent="0" shrinkToFit="false"/>
      <protection locked="true" hidden="false"/>
    </xf>
    <xf numFmtId="165" fontId="4" fillId="24" borderId="2" xfId="0" applyFont="true" applyBorder="true" applyAlignment="true" applyProtection="true">
      <alignment horizontal="center" vertical="bottom" textRotation="0" wrapText="false" indent="0" shrinkToFit="false"/>
      <protection locked="true" hidden="false"/>
    </xf>
    <xf numFmtId="164" fontId="7" fillId="24" borderId="1" xfId="0" applyFont="true" applyBorder="true" applyAlignment="true" applyProtection="true">
      <alignment horizontal="general" vertical="bottom" textRotation="0" wrapText="false" indent="0" shrinkToFit="false"/>
      <protection locked="true" hidden="false"/>
    </xf>
    <xf numFmtId="165" fontId="0" fillId="25" borderId="1" xfId="0" applyFont="false" applyBorder="true" applyAlignment="true" applyProtection="true">
      <alignment horizontal="center" vertical="bottom" textRotation="0" wrapText="false" indent="0" shrinkToFit="false"/>
      <protection locked="true" hidden="false"/>
    </xf>
    <xf numFmtId="164" fontId="0" fillId="26" borderId="1" xfId="0" applyFont="true" applyBorder="true" applyAlignment="true" applyProtection="true">
      <alignment horizontal="general" vertical="bottom" textRotation="0" wrapText="false" indent="0" shrinkToFit="false"/>
      <protection locked="true" hidden="false"/>
    </xf>
    <xf numFmtId="165" fontId="0" fillId="26" borderId="1" xfId="0" applyFont="false" applyBorder="true" applyAlignment="true" applyProtection="true">
      <alignment horizontal="center" vertical="bottom" textRotation="0" wrapText="false" indent="0" shrinkToFit="false"/>
      <protection locked="true" hidden="false"/>
    </xf>
    <xf numFmtId="164" fontId="0" fillId="26" borderId="1" xfId="0" applyFont="false" applyBorder="tru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AEAE"/>
      <rgbColor rgb="FF7F7F7F"/>
      <rgbColor rgb="FFB4E5A2"/>
      <rgbColor rgb="FFA02B93"/>
      <rgbColor rgb="FFFBE3D6"/>
      <rgbColor rgb="FFCAEEFB"/>
      <rgbColor rgb="FF660066"/>
      <rgbColor rgb="FFFF8080"/>
      <rgbColor rgb="FF215F9A"/>
      <rgbColor rgb="FFD9D9D9"/>
      <rgbColor rgb="FF000080"/>
      <rgbColor rgb="FFFF00FF"/>
      <rgbColor rgb="FF8ED973"/>
      <rgbColor rgb="FF00FFFF"/>
      <rgbColor rgb="FF800080"/>
      <rgbColor rgb="FF800000"/>
      <rgbColor rgb="FF008080"/>
      <rgbColor rgb="FF0000FF"/>
      <rgbColor rgb="FF00B0F0"/>
      <rgbColor rgb="FFD9F2D0"/>
      <rgbColor rgb="FFC2F1C8"/>
      <rgbColor rgb="FFE8E8E8"/>
      <rgbColor rgb="FFA6CAEC"/>
      <rgbColor rgb="FFE59EDD"/>
      <rgbColor rgb="FFF2CFEE"/>
      <rgbColor rgb="FFF6C6AD"/>
      <rgbColor rgb="FF4E95D9"/>
      <rgbColor rgb="FF46B1E1"/>
      <rgbColor rgb="FF92D050"/>
      <rgbColor rgb="FFFFC000"/>
      <rgbColor rgb="FFFF9900"/>
      <rgbColor rgb="FFFF6600"/>
      <rgbColor rgb="FF467886"/>
      <rgbColor rgb="FFA6A6A6"/>
      <rgbColor rgb="FF003366"/>
      <rgbColor rgb="FF3A7D2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i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
              <a:schemeClr val="phClr">
                <a:lumMod val="105000"/>
                <a:tint val="73000"/>
              </a:schemeClr>
            </a:gs>
            <a:gs pos="100">
              <a:schemeClr val="phClr">
                <a:lumMod val="105000"/>
                <a:tint val="81000"/>
              </a:schemeClr>
            </a:gs>
          </a:gsLst>
          <a:lin ang="5400000" scaled="0"/>
          <a:tileRect l="0" t="0" r="0" b="0"/>
        </a:gradFill>
        <a:gradFill>
          <a:gsLst>
            <a:gs pos="0">
              <a:schemeClr val="phClr">
                <a:lumMod val="102000"/>
                <a:tint val="94000"/>
              </a:schemeClr>
            </a:gs>
            <a:gs pos="50">
              <a:schemeClr val="phClr">
                <a:lumMod val="100000"/>
                <a:shade val="100000"/>
              </a:schemeClr>
            </a:gs>
            <a:gs pos="100">
              <a:schemeClr val="phClr">
                <a:lumMod val="99000"/>
                <a:shade val="78000"/>
              </a:schemeClr>
            </a:gs>
          </a:gsLst>
          <a:lin ang="5400000" scaled="0"/>
          <a:tileRect l="0" t="0" r="0" b="0"/>
        </a:gradFill>
      </a:fillStyleLst>
      <a:lnStyleLst>
        <a:ln w="12700" cap="flat" cmpd="sng" algn="ctr">
          <a:prstDash val="solid"/>
          <a:miter lim="800"/>
        </a:ln>
        <a:ln w="19050" cap="flat" cmpd="sng" algn="ctr">
          <a:prstDash val="solid"/>
          <a:miter lim="800"/>
        </a:ln>
        <a:ln w="25400" cap="flat" cmpd="sng" algn="ctr">
          <a:prstDash val="solid"/>
          <a:miter lim="8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
              <a:schemeClr val="phClr">
                <a:tint val="98000"/>
                <a:shade val="90000"/>
                <a:lumMod val="103000"/>
              </a:schemeClr>
            </a:gs>
            <a:gs pos="1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U158"/>
  <sheetViews>
    <sheetView showFormulas="false" showGridLines="true" showRowColHeaders="true" showZeros="true" rightToLeft="false" tabSelected="true" showOutlineSymbols="true" defaultGridColor="true" view="normal" topLeftCell="KM1" colorId="64" zoomScale="84" zoomScaleNormal="84" zoomScalePageLayoutView="100" workbookViewId="0">
      <pane xSplit="0" ySplit="1" topLeftCell="A160" activePane="bottomLeft" state="frozen"/>
      <selection pane="topLeft" activeCell="KM1" activeCellId="0" sqref="KM1"/>
      <selection pane="bottomLeft" activeCell="IL158" activeCellId="0" sqref="IL158"/>
    </sheetView>
  </sheetViews>
  <sheetFormatPr defaultColWidth="8.59765625" defaultRowHeight="14.4" zeroHeight="false" outlineLevelRow="0" outlineLevelCol="0"/>
  <cols>
    <col collapsed="false" customWidth="true" hidden="false" outlineLevel="0" max="1" min="1" style="1" width="14.56"/>
    <col collapsed="false" customWidth="true" hidden="false" outlineLevel="0" max="2" min="2" style="1" width="7.22"/>
    <col collapsed="false" customWidth="true" hidden="false" outlineLevel="0" max="3" min="3" style="1" width="11.55"/>
    <col collapsed="false" customWidth="true" hidden="false" outlineLevel="0" max="4" min="4" style="1" width="10.89"/>
    <col collapsed="false" customWidth="true" hidden="false" outlineLevel="0" max="5" min="5" style="1" width="17"/>
    <col collapsed="false" customWidth="true" hidden="false" outlineLevel="0" max="6" min="6" style="1" width="15.78"/>
    <col collapsed="false" customWidth="true" hidden="false" outlineLevel="0" max="7" min="7" style="1" width="9.89"/>
    <col collapsed="false" customWidth="true" hidden="false" outlineLevel="0" max="8" min="8" style="1" width="10.34"/>
    <col collapsed="false" customWidth="true" hidden="false" outlineLevel="0" max="9" min="9" style="1" width="8.67"/>
    <col collapsed="false" customWidth="true" hidden="false" outlineLevel="0" max="10" min="10" style="1" width="13.44"/>
    <col collapsed="false" customWidth="true" hidden="false" outlineLevel="0" max="11" min="11" style="1" width="14.22"/>
    <col collapsed="false" customWidth="true" hidden="false" outlineLevel="0" max="12" min="12" style="1" width="14.67"/>
    <col collapsed="false" customWidth="true" hidden="false" outlineLevel="0" max="13" min="13" style="1" width="17.89"/>
    <col collapsed="false" customWidth="true" hidden="false" outlineLevel="0" max="14" min="14" style="1" width="17.56"/>
    <col collapsed="false" customWidth="true" hidden="false" outlineLevel="0" max="15" min="15" style="1" width="14.44"/>
    <col collapsed="false" customWidth="true" hidden="false" outlineLevel="0" max="16" min="16" style="1" width="12.45"/>
    <col collapsed="false" customWidth="true" hidden="false" outlineLevel="0" max="17" min="17" style="1" width="7.78"/>
    <col collapsed="false" customWidth="true" hidden="false" outlineLevel="0" max="19" min="18" style="1" width="9.44"/>
    <col collapsed="false" customWidth="true" hidden="false" outlineLevel="0" max="20" min="20" style="1" width="15.67"/>
    <col collapsed="false" customWidth="true" hidden="false" outlineLevel="0" max="21" min="21" style="1" width="14.34"/>
    <col collapsed="false" customWidth="true" hidden="false" outlineLevel="0" max="22" min="22" style="1" width="13.11"/>
    <col collapsed="false" customWidth="true" hidden="false" outlineLevel="0" max="23" min="23" style="1" width="7.22"/>
    <col collapsed="false" customWidth="true" hidden="false" outlineLevel="0" max="24" min="24" style="1" width="11.45"/>
    <col collapsed="false" customWidth="true" hidden="false" outlineLevel="0" max="25" min="25" style="1" width="20.78"/>
    <col collapsed="false" customWidth="true" hidden="false" outlineLevel="0" max="26" min="26" style="1" width="10.89"/>
    <col collapsed="false" customWidth="true" hidden="false" outlineLevel="0" max="27" min="27" style="1" width="19.22"/>
    <col collapsed="false" customWidth="true" hidden="false" outlineLevel="0" max="28" min="28" style="1" width="19.33"/>
    <col collapsed="false" customWidth="true" hidden="false" outlineLevel="0" max="29" min="29" style="1" width="22.44"/>
    <col collapsed="false" customWidth="true" hidden="false" outlineLevel="0" max="30" min="30" style="1" width="18"/>
    <col collapsed="false" customWidth="true" hidden="false" outlineLevel="0" max="31" min="31" style="1" width="20.45"/>
    <col collapsed="false" customWidth="true" hidden="false" outlineLevel="0" max="33" min="33" style="1" width="11.89"/>
    <col collapsed="false" customWidth="true" hidden="false" outlineLevel="0" max="34" min="34" style="1" width="15.55"/>
    <col collapsed="false" customWidth="true" hidden="false" outlineLevel="0" max="35" min="35" style="1" width="4.78"/>
    <col collapsed="false" customWidth="true" hidden="false" outlineLevel="0" max="36" min="36" style="1" width="5.78"/>
    <col collapsed="false" customWidth="true" hidden="false" outlineLevel="0" max="37" min="37" style="1" width="4.89"/>
    <col collapsed="false" customWidth="true" hidden="false" outlineLevel="0" max="38" min="38" style="1" width="17.33"/>
    <col collapsed="false" customWidth="true" hidden="false" outlineLevel="0" max="39" min="39" style="1" width="20.45"/>
    <col collapsed="false" customWidth="true" hidden="false" outlineLevel="0" max="40" min="40" style="1" width="14.22"/>
    <col collapsed="false" customWidth="true" hidden="false" outlineLevel="0" max="41" min="41" style="1" width="14.11"/>
    <col collapsed="false" customWidth="true" hidden="false" outlineLevel="0" max="42" min="42" style="1" width="7.11"/>
    <col collapsed="false" customWidth="true" hidden="false" outlineLevel="0" max="43" min="43" style="1" width="5.22"/>
    <col collapsed="false" customWidth="true" hidden="false" outlineLevel="0" max="44" min="44" style="1" width="11.22"/>
    <col collapsed="false" customWidth="true" hidden="false" outlineLevel="0" max="45" min="45" style="1" width="9.11"/>
    <col collapsed="false" customWidth="true" hidden="false" outlineLevel="0" max="46" min="46" style="1" width="8.33"/>
    <col collapsed="false" customWidth="true" hidden="false" outlineLevel="0" max="47" min="47" style="1" width="13.22"/>
    <col collapsed="false" customWidth="true" hidden="false" outlineLevel="0" max="48" min="48" style="1" width="4"/>
    <col collapsed="false" customWidth="true" hidden="false" outlineLevel="0" max="49" min="49" style="1" width="7.55"/>
    <col collapsed="false" customWidth="true" hidden="false" outlineLevel="0" max="50" min="50" style="1" width="15.33"/>
    <col collapsed="false" customWidth="true" hidden="false" outlineLevel="0" max="51" min="51" style="1" width="14.78"/>
    <col collapsed="false" customWidth="true" hidden="false" outlineLevel="0" max="52" min="52" style="1" width="13.78"/>
    <col collapsed="false" customWidth="true" hidden="false" outlineLevel="0" max="53" min="53" style="1" width="18.11"/>
    <col collapsed="false" customWidth="true" hidden="false" outlineLevel="0" max="54" min="54" style="1" width="13.78"/>
    <col collapsed="false" customWidth="true" hidden="false" outlineLevel="0" max="55" min="55" style="1" width="10.56"/>
    <col collapsed="false" customWidth="true" hidden="false" outlineLevel="0" max="56" min="56" style="1" width="9.44"/>
    <col collapsed="false" customWidth="true" hidden="false" outlineLevel="0" max="57" min="57" style="1" width="22.56"/>
    <col collapsed="false" customWidth="true" hidden="false" outlineLevel="0" max="58" min="58" style="1" width="12"/>
    <col collapsed="false" customWidth="true" hidden="false" outlineLevel="0" max="59" min="59" style="1" width="16.67"/>
    <col collapsed="false" customWidth="true" hidden="false" outlineLevel="0" max="60" min="60" style="1" width="29.56"/>
    <col collapsed="false" customWidth="true" hidden="false" outlineLevel="0" max="62" min="61" style="1" width="6"/>
    <col collapsed="false" customWidth="true" hidden="false" outlineLevel="0" max="63" min="63" style="1" width="7.6"/>
    <col collapsed="false" customWidth="true" hidden="false" outlineLevel="0" max="64" min="64" style="1" width="5.86"/>
    <col collapsed="false" customWidth="true" hidden="false" outlineLevel="0" max="67" min="65" style="1" width="6"/>
    <col collapsed="false" customWidth="true" hidden="false" outlineLevel="0" max="68" min="68" style="1" width="5.86"/>
    <col collapsed="false" customWidth="true" hidden="false" outlineLevel="0" max="69" min="69" style="1" width="6.29"/>
    <col collapsed="false" customWidth="true" hidden="false" outlineLevel="0" max="70" min="70" style="1" width="6"/>
    <col collapsed="false" customWidth="true" hidden="false" outlineLevel="0" max="71" min="71" style="1" width="7.02"/>
    <col collapsed="false" customWidth="true" hidden="false" outlineLevel="0" max="72" min="72" style="1" width="6"/>
    <col collapsed="false" customWidth="true" hidden="false" outlineLevel="0" max="73" min="73" style="1" width="6.44"/>
    <col collapsed="false" customWidth="true" hidden="false" outlineLevel="0" max="74" min="74" style="1" width="8.92"/>
    <col collapsed="false" customWidth="true" hidden="false" outlineLevel="0" max="75" min="75" style="1" width="9.5"/>
    <col collapsed="false" customWidth="true" hidden="false" outlineLevel="0" max="78" min="76" style="1" width="6"/>
    <col collapsed="false" customWidth="true" hidden="false" outlineLevel="0" max="79" min="79" style="1" width="10.37"/>
    <col collapsed="false" customWidth="true" hidden="false" outlineLevel="0" max="80" min="80" style="1" width="8.48"/>
    <col collapsed="false" customWidth="true" hidden="false" outlineLevel="0" max="81" min="81" style="1" width="7.17"/>
    <col collapsed="false" customWidth="true" hidden="false" outlineLevel="0" max="85" min="82" style="1" width="5.86"/>
    <col collapsed="false" customWidth="true" hidden="false" outlineLevel="0" max="86" min="86" style="1" width="16.36"/>
    <col collapsed="false" customWidth="true" hidden="false" outlineLevel="0" max="87" min="87" style="1" width="6.14"/>
    <col collapsed="false" customWidth="true" hidden="false" outlineLevel="0" max="88" min="88" style="1" width="5.86"/>
    <col collapsed="false" customWidth="true" hidden="false" outlineLevel="0" max="89" min="89" style="1" width="6.29"/>
    <col collapsed="false" customWidth="true" hidden="false" outlineLevel="0" max="90" min="90" style="1" width="6.44"/>
    <col collapsed="false" customWidth="true" hidden="false" outlineLevel="0" max="91" min="91" style="1" width="6"/>
    <col collapsed="false" customWidth="true" hidden="false" outlineLevel="0" max="94" min="92" style="1" width="5.86"/>
    <col collapsed="false" customWidth="true" hidden="false" outlineLevel="0" max="95" min="95" style="1" width="6"/>
    <col collapsed="false" customWidth="true" hidden="false" outlineLevel="0" max="96" min="96" style="1" width="5.86"/>
    <col collapsed="false" customWidth="true" hidden="false" outlineLevel="0" max="97" min="97" style="1" width="6"/>
    <col collapsed="false" customWidth="true" hidden="false" outlineLevel="0" max="98" min="98" style="1" width="5.86"/>
    <col collapsed="false" customWidth="true" hidden="false" outlineLevel="0" max="99" min="99" style="1" width="6.88"/>
    <col collapsed="false" customWidth="true" hidden="false" outlineLevel="0" max="100" min="100" style="1" width="7.02"/>
    <col collapsed="false" customWidth="true" hidden="false" outlineLevel="0" max="101" min="101" style="1" width="6"/>
    <col collapsed="false" customWidth="true" hidden="false" outlineLevel="0" max="102" min="102" style="1" width="5.86"/>
    <col collapsed="false" customWidth="true" hidden="false" outlineLevel="0" max="105" min="103" style="1" width="6"/>
    <col collapsed="false" customWidth="true" hidden="false" outlineLevel="0" max="106" min="106" style="1" width="5.86"/>
    <col collapsed="false" customWidth="true" hidden="false" outlineLevel="0" max="107" min="107" style="1" width="7.17"/>
    <col collapsed="false" customWidth="true" hidden="false" outlineLevel="0" max="108" min="108" style="1" width="8.33"/>
    <col collapsed="false" customWidth="true" hidden="false" outlineLevel="0" max="109" min="109" style="1" width="5.86"/>
    <col collapsed="false" customWidth="true" hidden="false" outlineLevel="0" max="110" min="110" style="1" width="6.14"/>
    <col collapsed="false" customWidth="true" hidden="false" outlineLevel="0" max="111" min="111" style="1" width="5.86"/>
    <col collapsed="false" customWidth="true" hidden="false" outlineLevel="0" max="112" min="112" style="1" width="6"/>
    <col collapsed="false" customWidth="true" hidden="false" outlineLevel="0" max="113" min="113" style="1" width="5.86"/>
    <col collapsed="false" customWidth="true" hidden="false" outlineLevel="0" max="114" min="114" style="1" width="7.46"/>
    <col collapsed="false" customWidth="true" hidden="false" outlineLevel="0" max="115" min="115" style="1" width="5.86"/>
    <col collapsed="false" customWidth="true" hidden="false" outlineLevel="0" max="117" min="116" style="1" width="6.29"/>
    <col collapsed="false" customWidth="true" hidden="false" outlineLevel="0" max="118" min="118" style="1" width="7.02"/>
    <col collapsed="false" customWidth="true" hidden="false" outlineLevel="0" max="120" min="119" style="1" width="5.86"/>
    <col collapsed="false" customWidth="true" hidden="false" outlineLevel="0" max="121" min="121" style="1" width="6.88"/>
    <col collapsed="false" customWidth="true" hidden="false" outlineLevel="0" max="123" min="122" style="1" width="5.86"/>
    <col collapsed="false" customWidth="true" hidden="false" outlineLevel="0" max="125" min="124" style="1" width="6"/>
    <col collapsed="false" customWidth="true" hidden="false" outlineLevel="0" max="126" min="126" style="1" width="5.86"/>
    <col collapsed="false" customWidth="true" hidden="false" outlineLevel="0" max="127" min="127" style="1" width="6"/>
    <col collapsed="false" customWidth="true" hidden="false" outlineLevel="0" max="129" min="128" style="1" width="5.86"/>
    <col collapsed="false" customWidth="true" hidden="false" outlineLevel="0" max="130" min="130" style="1" width="6.88"/>
    <col collapsed="false" customWidth="true" hidden="false" outlineLevel="0" max="132" min="131" style="1" width="6"/>
    <col collapsed="false" customWidth="true" hidden="false" outlineLevel="0" max="133" min="133" style="1" width="6.14"/>
    <col collapsed="false" customWidth="true" hidden="false" outlineLevel="0" max="134" min="134" style="1" width="5.86"/>
    <col collapsed="false" customWidth="true" hidden="false" outlineLevel="0" max="135" min="135" style="1" width="7.75"/>
    <col collapsed="false" customWidth="true" hidden="false" outlineLevel="0" max="136" min="136" style="1" width="5.86"/>
    <col collapsed="false" customWidth="true" hidden="false" outlineLevel="0" max="137" min="137" style="1" width="6"/>
    <col collapsed="false" customWidth="true" hidden="false" outlineLevel="0" max="138" min="138" style="1" width="5.86"/>
    <col collapsed="false" customWidth="true" hidden="false" outlineLevel="0" max="139" min="139" style="1" width="6"/>
    <col collapsed="false" customWidth="true" hidden="false" outlineLevel="0" max="140" min="140" style="1" width="6.29"/>
    <col collapsed="false" customWidth="true" hidden="false" outlineLevel="0" max="141" min="141" style="1" width="5.86"/>
    <col collapsed="false" customWidth="true" hidden="false" outlineLevel="0" max="144" min="142" style="1" width="6"/>
    <col collapsed="false" customWidth="true" hidden="false" outlineLevel="0" max="145" min="145" style="1" width="6.73"/>
    <col collapsed="false" customWidth="true" hidden="false" outlineLevel="0" max="149" min="146" style="1" width="5.86"/>
    <col collapsed="false" customWidth="true" hidden="false" outlineLevel="0" max="151" min="150" style="1" width="7.17"/>
    <col collapsed="false" customWidth="true" hidden="false" outlineLevel="0" max="152" min="152" style="1" width="5.86"/>
    <col collapsed="false" customWidth="true" hidden="false" outlineLevel="0" max="153" min="153" style="1" width="6"/>
    <col collapsed="false" customWidth="true" hidden="false" outlineLevel="0" max="154" min="154" style="1" width="5.86"/>
    <col collapsed="false" customWidth="true" hidden="false" outlineLevel="0" max="155" min="155" style="1" width="6"/>
    <col collapsed="false" customWidth="true" hidden="false" outlineLevel="0" max="158" min="156" style="1" width="5.86"/>
    <col collapsed="false" customWidth="true" hidden="false" outlineLevel="0" max="159" min="159" style="1" width="6"/>
    <col collapsed="false" customWidth="true" hidden="false" outlineLevel="0" max="161" min="160" style="1" width="5.86"/>
    <col collapsed="false" customWidth="true" hidden="false" outlineLevel="0" max="162" min="162" style="0" width="8.33"/>
    <col collapsed="false" customWidth="true" hidden="false" outlineLevel="0" max="163" min="163" style="1" width="8.04"/>
    <col collapsed="false" customWidth="true" hidden="false" outlineLevel="0" max="164" min="164" style="0" width="8.04"/>
    <col collapsed="false" customWidth="true" hidden="false" outlineLevel="0" max="166" min="165" style="1" width="5.86"/>
    <col collapsed="false" customWidth="true" hidden="false" outlineLevel="0" max="167" min="167" style="1" width="6.73"/>
    <col collapsed="false" customWidth="true" hidden="false" outlineLevel="0" max="169" min="168" style="1" width="8.48"/>
    <col collapsed="false" customWidth="true" hidden="false" outlineLevel="0" max="170" min="170" style="1" width="7.02"/>
    <col collapsed="false" customWidth="true" hidden="false" outlineLevel="0" max="171" min="171" style="1" width="20.15"/>
    <col collapsed="false" customWidth="true" hidden="false" outlineLevel="0" max="172" min="172" style="1" width="6.73"/>
    <col collapsed="false" customWidth="true" hidden="false" outlineLevel="0" max="173" min="173" style="1" width="6.14"/>
    <col collapsed="false" customWidth="true" hidden="false" outlineLevel="0" max="174" min="174" style="1" width="6.88"/>
    <col collapsed="false" customWidth="true" hidden="false" outlineLevel="0" max="175" min="175" style="1" width="6.73"/>
    <col collapsed="false" customWidth="true" hidden="false" outlineLevel="0" max="176" min="176" style="1" width="7.17"/>
    <col collapsed="false" customWidth="true" hidden="false" outlineLevel="0" max="177" min="177" style="1" width="6.58"/>
    <col collapsed="false" customWidth="true" hidden="false" outlineLevel="0" max="178" min="178" style="1" width="11.25"/>
    <col collapsed="false" customWidth="true" hidden="false" outlineLevel="0" max="179" min="179" style="1" width="6.29"/>
    <col collapsed="false" customWidth="true" hidden="false" outlineLevel="0" max="180" min="180" style="1" width="5.86"/>
    <col collapsed="false" customWidth="true" hidden="false" outlineLevel="0" max="181" min="181" style="1" width="6.73"/>
    <col collapsed="false" customWidth="true" hidden="false" outlineLevel="0" max="182" min="182" style="1" width="5.86"/>
    <col collapsed="false" customWidth="true" hidden="false" outlineLevel="0" max="183" min="183" style="1" width="6"/>
    <col collapsed="false" customWidth="true" hidden="false" outlineLevel="0" max="184" min="184" style="1" width="9.65"/>
    <col collapsed="false" customWidth="true" hidden="false" outlineLevel="0" max="185" min="185" style="1" width="6"/>
    <col collapsed="false" customWidth="true" hidden="false" outlineLevel="0" max="186" min="186" style="1" width="8.04"/>
    <col collapsed="false" customWidth="true" hidden="false" outlineLevel="0" max="187" min="187" style="1" width="6.73"/>
    <col collapsed="false" customWidth="true" hidden="false" outlineLevel="0" max="188" min="188" style="1" width="6.88"/>
    <col collapsed="false" customWidth="true" hidden="false" outlineLevel="0" max="189" min="189" style="1" width="6.58"/>
    <col collapsed="false" customWidth="true" hidden="false" outlineLevel="0" max="190" min="190" style="1" width="9.5"/>
    <col collapsed="false" customWidth="true" hidden="false" outlineLevel="0" max="191" min="191" style="1" width="6.58"/>
    <col collapsed="false" customWidth="true" hidden="false" outlineLevel="0" max="192" min="192" style="1" width="14.02"/>
    <col collapsed="false" customWidth="true" hidden="false" outlineLevel="0" max="193" min="193" style="1" width="6.29"/>
    <col collapsed="false" customWidth="true" hidden="false" outlineLevel="0" max="194" min="194" style="1" width="7.46"/>
    <col collapsed="false" customWidth="true" hidden="false" outlineLevel="0" max="195" min="195" style="1" width="5.86"/>
    <col collapsed="false" customWidth="true" hidden="false" outlineLevel="0" max="196" min="196" style="1" width="9.36"/>
    <col collapsed="false" customWidth="true" hidden="false" outlineLevel="0" max="197" min="197" style="1" width="7.46"/>
    <col collapsed="false" customWidth="true" hidden="false" outlineLevel="0" max="198" min="198" style="1" width="7.02"/>
    <col collapsed="false" customWidth="true" hidden="false" outlineLevel="0" max="199" min="199" style="1" width="6.58"/>
    <col collapsed="false" customWidth="true" hidden="false" outlineLevel="0" max="200" min="200" style="1" width="7.6"/>
    <col collapsed="false" customWidth="true" hidden="false" outlineLevel="0" max="201" min="201" style="1" width="7.02"/>
    <col collapsed="false" customWidth="true" hidden="false" outlineLevel="0" max="202" min="202" style="1" width="11.83"/>
    <col collapsed="false" customWidth="true" hidden="false" outlineLevel="0" max="203" min="203" style="1" width="6"/>
    <col collapsed="false" customWidth="true" hidden="false" outlineLevel="0" max="204" min="204" style="1" width="5.86"/>
    <col collapsed="false" customWidth="true" hidden="false" outlineLevel="0" max="205" min="205" style="1" width="9.5"/>
    <col collapsed="false" customWidth="true" hidden="false" outlineLevel="0" max="206" min="206" style="1" width="8.77"/>
    <col collapsed="false" customWidth="true" hidden="false" outlineLevel="0" max="207" min="207" style="1" width="7.9"/>
    <col collapsed="false" customWidth="true" hidden="false" outlineLevel="0" max="208" min="208" style="1" width="5.86"/>
    <col collapsed="false" customWidth="true" hidden="false" outlineLevel="0" max="209" min="209" style="1" width="6"/>
    <col collapsed="false" customWidth="true" hidden="false" outlineLevel="0" max="210" min="210" style="1" width="9.21"/>
    <col collapsed="false" customWidth="true" hidden="false" outlineLevel="0" max="211" min="211" style="1" width="6.29"/>
    <col collapsed="false" customWidth="true" hidden="false" outlineLevel="0" max="212" min="212" style="1" width="6"/>
    <col collapsed="false" customWidth="true" hidden="false" outlineLevel="0" max="213" min="213" style="1" width="6.44"/>
    <col collapsed="false" customWidth="true" hidden="false" outlineLevel="0" max="214" min="214" style="1" width="7.17"/>
    <col collapsed="false" customWidth="true" hidden="false" outlineLevel="0" max="215" min="215" style="1" width="6.88"/>
    <col collapsed="false" customWidth="true" hidden="false" outlineLevel="0" max="216" min="216" style="1" width="6.14"/>
    <col collapsed="false" customWidth="true" hidden="false" outlineLevel="0" max="217" min="217" style="1" width="6"/>
    <col collapsed="false" customWidth="true" hidden="false" outlineLevel="0" max="218" min="218" style="1" width="5.86"/>
    <col collapsed="false" customWidth="true" hidden="false" outlineLevel="0" max="219" min="219" style="2" width="12.56"/>
    <col collapsed="false" customWidth="true" hidden="false" outlineLevel="0" max="220" min="220" style="0" width="8.48"/>
    <col collapsed="false" customWidth="true" hidden="false" outlineLevel="0" max="221" min="221" style="1" width="13.73"/>
    <col collapsed="false" customWidth="true" hidden="false" outlineLevel="0" max="222" min="222" style="1" width="7.9"/>
    <col collapsed="false" customWidth="true" hidden="false" outlineLevel="0" max="224" min="223" style="1" width="9.21"/>
    <col collapsed="false" customWidth="true" hidden="false" outlineLevel="0" max="225" min="225" style="1" width="5.86"/>
    <col collapsed="false" customWidth="true" hidden="false" outlineLevel="0" max="226" min="226" style="1" width="7.02"/>
    <col collapsed="false" customWidth="true" hidden="false" outlineLevel="0" max="228" min="227" style="1" width="5.86"/>
    <col collapsed="false" customWidth="true" hidden="false" outlineLevel="0" max="229" min="229" style="1" width="11.25"/>
    <col collapsed="false" customWidth="true" hidden="false" outlineLevel="0" max="230" min="230" style="1" width="8.04"/>
    <col collapsed="false" customWidth="true" hidden="false" outlineLevel="0" max="234" min="231" style="1" width="5.86"/>
    <col collapsed="false" customWidth="true" hidden="false" outlineLevel="0" max="235" min="235" style="1" width="7.02"/>
    <col collapsed="false" customWidth="true" hidden="false" outlineLevel="0" max="236" min="236" style="1" width="7.6"/>
    <col collapsed="false" customWidth="true" hidden="false" outlineLevel="0" max="238" min="237" style="1" width="6"/>
    <col collapsed="false" customWidth="true" hidden="false" outlineLevel="0" max="239" min="239" style="0" width="8.04"/>
    <col collapsed="false" customWidth="true" hidden="false" outlineLevel="0" max="240" min="240" style="1" width="6"/>
    <col collapsed="false" customWidth="true" hidden="false" outlineLevel="0" max="241" min="241" style="1" width="10.23"/>
    <col collapsed="false" customWidth="true" hidden="false" outlineLevel="0" max="242" min="242" style="1" width="7.6"/>
    <col collapsed="false" customWidth="true" hidden="false" outlineLevel="0" max="243" min="243" style="1" width="9.8"/>
    <col collapsed="false" customWidth="true" hidden="false" outlineLevel="0" max="244" min="244" style="1" width="5.86"/>
    <col collapsed="false" customWidth="true" hidden="false" outlineLevel="0" max="245" min="245" style="1" width="7.17"/>
    <col collapsed="false" customWidth="true" hidden="false" outlineLevel="0" max="246" min="246" style="1" width="5.86"/>
    <col collapsed="false" customWidth="false" hidden="false" outlineLevel="0" max="247" min="247" style="1" width="8.63"/>
    <col collapsed="false" customWidth="true" hidden="false" outlineLevel="0" max="248" min="248" style="0" width="8.33"/>
    <col collapsed="false" customWidth="true" hidden="false" outlineLevel="0" max="249" min="249" style="1" width="7.75"/>
    <col collapsed="false" customWidth="true" hidden="false" outlineLevel="0" max="250" min="250" style="1" width="5.86"/>
    <col collapsed="false" customWidth="true" hidden="false" outlineLevel="0" max="251" min="251" style="1" width="7.46"/>
    <col collapsed="false" customWidth="true" hidden="false" outlineLevel="0" max="252" min="252" style="1" width="6"/>
    <col collapsed="false" customWidth="true" hidden="false" outlineLevel="0" max="253" min="253" style="1" width="6.44"/>
    <col collapsed="false" customWidth="true" hidden="false" outlineLevel="0" max="254" min="254" style="1" width="7.02"/>
    <col collapsed="false" customWidth="true" hidden="false" outlineLevel="0" max="255" min="255" style="1" width="6.29"/>
    <col collapsed="false" customWidth="true" hidden="false" outlineLevel="0" max="256" min="256" style="1" width="5.86"/>
    <col collapsed="false" customWidth="true" hidden="false" outlineLevel="0" max="257" min="257" style="1" width="8.19"/>
    <col collapsed="false" customWidth="true" hidden="false" outlineLevel="0" max="258" min="258" style="1" width="6.58"/>
    <col collapsed="false" customWidth="true" hidden="false" outlineLevel="0" max="259" min="259" style="1" width="7.75"/>
    <col collapsed="false" customWidth="true" hidden="false" outlineLevel="0" max="260" min="260" style="1" width="6"/>
    <col collapsed="false" customWidth="true" hidden="false" outlineLevel="0" max="261" min="261" style="1" width="7.46"/>
    <col collapsed="false" customWidth="true" hidden="false" outlineLevel="0" max="262" min="262" style="1" width="6.58"/>
    <col collapsed="false" customWidth="true" hidden="false" outlineLevel="0" max="263" min="263" style="1" width="5.86"/>
    <col collapsed="false" customWidth="true" hidden="false" outlineLevel="0" max="264" min="264" style="1" width="6"/>
    <col collapsed="false" customWidth="true" hidden="false" outlineLevel="0" max="265" min="265" style="1" width="10.09"/>
    <col collapsed="false" customWidth="true" hidden="false" outlineLevel="0" max="266" min="266" style="1" width="7.31"/>
    <col collapsed="false" customWidth="true" hidden="false" outlineLevel="0" max="267" min="267" style="1" width="7.17"/>
    <col collapsed="false" customWidth="true" hidden="false" outlineLevel="0" max="268" min="268" style="1" width="6"/>
    <col collapsed="false" customWidth="true" hidden="false" outlineLevel="0" max="269" min="269" style="1" width="11.4"/>
    <col collapsed="false" customWidth="true" hidden="false" outlineLevel="0" max="270" min="270" style="1" width="11.69"/>
    <col collapsed="false" customWidth="true" hidden="false" outlineLevel="0" max="271" min="271" style="1" width="5.86"/>
    <col collapsed="false" customWidth="true" hidden="false" outlineLevel="0" max="272" min="272" style="1" width="7.31"/>
    <col collapsed="false" customWidth="true" hidden="false" outlineLevel="0" max="273" min="273" style="1" width="16.22"/>
    <col collapsed="false" customWidth="true" hidden="false" outlineLevel="0" max="274" min="274" style="1" width="11.98"/>
    <col collapsed="false" customWidth="true" hidden="false" outlineLevel="0" max="275" min="275" style="1" width="9.5"/>
    <col collapsed="false" customWidth="true" hidden="false" outlineLevel="0" max="276" min="276" style="1" width="9.8"/>
    <col collapsed="false" customWidth="true" hidden="false" outlineLevel="0" max="277" min="277" style="0" width="8.04"/>
    <col collapsed="false" customWidth="true" hidden="false" outlineLevel="0" max="278" min="278" style="1" width="8.77"/>
    <col collapsed="false" customWidth="true" hidden="false" outlineLevel="0" max="279" min="279" style="1" width="7.02"/>
    <col collapsed="false" customWidth="true" hidden="false" outlineLevel="0" max="280" min="280" style="1" width="17.67"/>
    <col collapsed="false" customWidth="true" hidden="false" outlineLevel="0" max="281" min="281" style="1" width="10.82"/>
    <col collapsed="false" customWidth="true" hidden="false" outlineLevel="0" max="287" min="282" style="1" width="5.86"/>
    <col collapsed="false" customWidth="true" hidden="false" outlineLevel="0" max="288" min="288" style="1" width="7.9"/>
    <col collapsed="false" customWidth="true" hidden="false" outlineLevel="0" max="292" min="289" style="1" width="5.86"/>
    <col collapsed="false" customWidth="true" hidden="false" outlineLevel="0" max="293" min="293" style="1" width="14.17"/>
    <col collapsed="false" customWidth="true" hidden="false" outlineLevel="0" max="294" min="294" style="1" width="8.48"/>
    <col collapsed="false" customWidth="true" hidden="false" outlineLevel="0" max="295" min="295" style="1" width="8.77"/>
    <col collapsed="false" customWidth="true" hidden="false" outlineLevel="0" max="296" min="296" style="1" width="11.1"/>
    <col collapsed="false" customWidth="true" hidden="false" outlineLevel="0" max="297" min="297" style="1" width="10.09"/>
    <col collapsed="false" customWidth="true" hidden="false" outlineLevel="0" max="298" min="298" style="1" width="13.73"/>
    <col collapsed="false" customWidth="true" hidden="false" outlineLevel="0" max="299" min="299" style="0" width="8.19"/>
    <col collapsed="false" customWidth="true" hidden="false" outlineLevel="0" max="301" min="300" style="1" width="5.86"/>
    <col collapsed="false" customWidth="true" hidden="false" outlineLevel="0" max="302" min="302" style="1" width="8.77"/>
    <col collapsed="false" customWidth="true" hidden="false" outlineLevel="0" max="303" min="303" style="1" width="7.6"/>
    <col collapsed="false" customWidth="true" hidden="false" outlineLevel="0" max="304" min="304" style="1" width="9.36"/>
    <col collapsed="false" customWidth="true" hidden="false" outlineLevel="0" max="305" min="305" style="1" width="6"/>
    <col collapsed="false" customWidth="true" hidden="false" outlineLevel="0" max="306" min="306" style="1" width="8.48"/>
    <col collapsed="false" customWidth="true" hidden="false" outlineLevel="0" max="307" min="307" style="1" width="6.73"/>
    <col collapsed="false" customWidth="true" hidden="false" outlineLevel="0" max="16384" min="16384" style="1" width="10.16"/>
  </cols>
  <sheetData>
    <row r="1" customFormat="false" ht="14.4" hidden="false" customHeight="false" outlineLevel="0" collapsed="false">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5" t="s">
        <v>60</v>
      </c>
      <c r="BJ1" s="6" t="s">
        <v>61</v>
      </c>
      <c r="BK1" s="7" t="s">
        <v>62</v>
      </c>
      <c r="BL1" s="5" t="s">
        <v>63</v>
      </c>
      <c r="BM1" s="5" t="s">
        <v>64</v>
      </c>
      <c r="BN1" s="5" t="s">
        <v>65</v>
      </c>
      <c r="BO1" s="7" t="s">
        <v>66</v>
      </c>
      <c r="BP1" s="8" t="s">
        <v>67</v>
      </c>
      <c r="BQ1" s="8" t="s">
        <v>68</v>
      </c>
      <c r="BR1" s="8" t="s">
        <v>69</v>
      </c>
      <c r="BS1" s="9" t="s">
        <v>70</v>
      </c>
      <c r="BT1" s="8" t="s">
        <v>71</v>
      </c>
      <c r="BU1" s="8" t="s">
        <v>72</v>
      </c>
      <c r="BV1" s="9" t="s">
        <v>73</v>
      </c>
      <c r="BW1" s="8" t="s">
        <v>74</v>
      </c>
      <c r="BX1" s="8" t="s">
        <v>75</v>
      </c>
      <c r="BY1" s="10" t="s">
        <v>76</v>
      </c>
      <c r="BZ1" s="10" t="s">
        <v>77</v>
      </c>
      <c r="CA1" s="11" t="s">
        <v>78</v>
      </c>
      <c r="CB1" s="11" t="s">
        <v>79</v>
      </c>
      <c r="CC1" s="11" t="s">
        <v>80</v>
      </c>
      <c r="CD1" s="12" t="s">
        <v>81</v>
      </c>
      <c r="CE1" s="12" t="s">
        <v>82</v>
      </c>
      <c r="CF1" s="12" t="s">
        <v>83</v>
      </c>
      <c r="CG1" s="13" t="s">
        <v>84</v>
      </c>
      <c r="CH1" s="14" t="s">
        <v>85</v>
      </c>
      <c r="CI1" s="14" t="s">
        <v>86</v>
      </c>
      <c r="CJ1" s="14" t="s">
        <v>87</v>
      </c>
      <c r="CK1" s="14" t="s">
        <v>88</v>
      </c>
      <c r="CL1" s="14" t="s">
        <v>89</v>
      </c>
      <c r="CM1" s="14" t="s">
        <v>90</v>
      </c>
      <c r="CN1" s="14" t="s">
        <v>91</v>
      </c>
      <c r="CO1" s="14" t="s">
        <v>92</v>
      </c>
      <c r="CP1" s="14" t="s">
        <v>93</v>
      </c>
      <c r="CQ1" s="14" t="s">
        <v>94</v>
      </c>
      <c r="CR1" s="14" t="s">
        <v>95</v>
      </c>
      <c r="CS1" s="15" t="s">
        <v>96</v>
      </c>
      <c r="CT1" s="15" t="s">
        <v>97</v>
      </c>
      <c r="CU1" s="15" t="s">
        <v>98</v>
      </c>
      <c r="CV1" s="15" t="s">
        <v>99</v>
      </c>
      <c r="CW1" s="15" t="s">
        <v>100</v>
      </c>
      <c r="CX1" s="15" t="s">
        <v>101</v>
      </c>
      <c r="CY1" s="15" t="s">
        <v>102</v>
      </c>
      <c r="CZ1" s="15" t="s">
        <v>103</v>
      </c>
      <c r="DA1" s="15" t="s">
        <v>104</v>
      </c>
      <c r="DB1" s="15" t="s">
        <v>105</v>
      </c>
      <c r="DC1" s="15" t="s">
        <v>106</v>
      </c>
      <c r="DD1" s="15" t="s">
        <v>107</v>
      </c>
      <c r="DE1" s="16" t="s">
        <v>108</v>
      </c>
      <c r="DF1" s="17" t="s">
        <v>109</v>
      </c>
      <c r="DG1" s="16" t="s">
        <v>110</v>
      </c>
      <c r="DH1" s="16" t="s">
        <v>111</v>
      </c>
      <c r="DI1" s="16" t="s">
        <v>112</v>
      </c>
      <c r="DJ1" s="18" t="s">
        <v>113</v>
      </c>
      <c r="DK1" s="16" t="s">
        <v>111</v>
      </c>
      <c r="DL1" s="16" t="s">
        <v>114</v>
      </c>
      <c r="DM1" s="17" t="s">
        <v>115</v>
      </c>
      <c r="DN1" s="18" t="s">
        <v>116</v>
      </c>
      <c r="DO1" s="17" t="s">
        <v>117</v>
      </c>
      <c r="DP1" s="16" t="s">
        <v>118</v>
      </c>
      <c r="DQ1" s="16" t="s">
        <v>119</v>
      </c>
      <c r="DR1" s="16" t="s">
        <v>120</v>
      </c>
      <c r="DS1" s="16" t="s">
        <v>121</v>
      </c>
      <c r="DT1" s="19" t="s">
        <v>122</v>
      </c>
      <c r="DU1" s="20" t="s">
        <v>123</v>
      </c>
      <c r="DV1" s="21" t="s">
        <v>124</v>
      </c>
      <c r="DW1" s="21" t="s">
        <v>125</v>
      </c>
      <c r="DX1" s="22" t="s">
        <v>126</v>
      </c>
      <c r="DY1" s="22" t="s">
        <v>127</v>
      </c>
      <c r="DZ1" s="21" t="s">
        <v>128</v>
      </c>
      <c r="EA1" s="23" t="s">
        <v>129</v>
      </c>
      <c r="EB1" s="23" t="s">
        <v>130</v>
      </c>
      <c r="EC1" s="23" t="s">
        <v>131</v>
      </c>
      <c r="ED1" s="24" t="s">
        <v>132</v>
      </c>
      <c r="EE1" s="24" t="s">
        <v>133</v>
      </c>
      <c r="EF1" s="24" t="s">
        <v>134</v>
      </c>
      <c r="EG1" s="24" t="s">
        <v>135</v>
      </c>
      <c r="EH1" s="24" t="s">
        <v>136</v>
      </c>
      <c r="EI1" s="25" t="s">
        <v>137</v>
      </c>
      <c r="EJ1" s="26" t="s">
        <v>138</v>
      </c>
      <c r="EK1" s="25" t="s">
        <v>139</v>
      </c>
      <c r="EL1" s="25" t="s">
        <v>140</v>
      </c>
      <c r="EM1" s="25" t="s">
        <v>141</v>
      </c>
      <c r="EN1" s="25" t="s">
        <v>142</v>
      </c>
      <c r="EO1" s="25" t="s">
        <v>143</v>
      </c>
      <c r="EP1" s="27" t="s">
        <v>144</v>
      </c>
      <c r="EQ1" s="27" t="s">
        <v>145</v>
      </c>
      <c r="ER1" s="27" t="s">
        <v>146</v>
      </c>
      <c r="ES1" s="27" t="s">
        <v>147</v>
      </c>
      <c r="ET1" s="23" t="s">
        <v>148</v>
      </c>
      <c r="EU1" s="23" t="s">
        <v>149</v>
      </c>
      <c r="EV1" s="23" t="s">
        <v>150</v>
      </c>
      <c r="EW1" s="23" t="s">
        <v>151</v>
      </c>
      <c r="EX1" s="28" t="s">
        <v>152</v>
      </c>
      <c r="EY1" s="28" t="s">
        <v>153</v>
      </c>
      <c r="EZ1" s="28" t="s">
        <v>154</v>
      </c>
      <c r="FA1" s="28" t="s">
        <v>155</v>
      </c>
      <c r="FB1" s="29" t="s">
        <v>156</v>
      </c>
      <c r="FC1" s="29" t="s">
        <v>157</v>
      </c>
      <c r="FD1" s="29" t="s">
        <v>158</v>
      </c>
      <c r="FE1" s="29" t="s">
        <v>159</v>
      </c>
      <c r="FF1" s="30" t="s">
        <v>160</v>
      </c>
      <c r="FG1" s="30" t="s">
        <v>161</v>
      </c>
      <c r="FH1" s="30" t="s">
        <v>162</v>
      </c>
      <c r="FI1" s="30" t="s">
        <v>163</v>
      </c>
      <c r="FJ1" s="30" t="s">
        <v>164</v>
      </c>
      <c r="FK1" s="15" t="s">
        <v>165</v>
      </c>
      <c r="FL1" s="15" t="s">
        <v>166</v>
      </c>
      <c r="FM1" s="15" t="s">
        <v>167</v>
      </c>
      <c r="FN1" s="15" t="s">
        <v>168</v>
      </c>
      <c r="FO1" s="15" t="s">
        <v>169</v>
      </c>
      <c r="FP1" s="15" t="s">
        <v>170</v>
      </c>
      <c r="FQ1" s="15" t="s">
        <v>171</v>
      </c>
      <c r="FR1" s="15" t="s">
        <v>172</v>
      </c>
      <c r="FS1" s="15" t="s">
        <v>173</v>
      </c>
      <c r="FT1" s="15" t="s">
        <v>174</v>
      </c>
      <c r="FU1" s="15" t="s">
        <v>175</v>
      </c>
      <c r="FV1" s="15" t="s">
        <v>176</v>
      </c>
      <c r="FW1" s="15" t="s">
        <v>177</v>
      </c>
      <c r="FX1" s="15" t="s">
        <v>178</v>
      </c>
      <c r="FY1" s="15" t="s">
        <v>179</v>
      </c>
      <c r="FZ1" s="15" t="s">
        <v>180</v>
      </c>
      <c r="GA1" s="15" t="s">
        <v>181</v>
      </c>
      <c r="GB1" s="15" t="s">
        <v>182</v>
      </c>
      <c r="GC1" s="29" t="s">
        <v>183</v>
      </c>
      <c r="GD1" s="29" t="s">
        <v>184</v>
      </c>
      <c r="GE1" s="29" t="s">
        <v>185</v>
      </c>
      <c r="GF1" s="29" t="s">
        <v>186</v>
      </c>
      <c r="GG1" s="29" t="s">
        <v>187</v>
      </c>
      <c r="GH1" s="29" t="s">
        <v>188</v>
      </c>
      <c r="GI1" s="29" t="s">
        <v>189</v>
      </c>
      <c r="GJ1" s="29" t="s">
        <v>190</v>
      </c>
      <c r="GK1" s="29" t="s">
        <v>191</v>
      </c>
      <c r="GL1" s="29" t="s">
        <v>192</v>
      </c>
      <c r="GM1" s="29" t="s">
        <v>193</v>
      </c>
      <c r="GN1" s="29" t="s">
        <v>194</v>
      </c>
      <c r="GO1" s="29" t="s">
        <v>195</v>
      </c>
      <c r="GP1" s="29" t="s">
        <v>196</v>
      </c>
      <c r="GQ1" s="29" t="s">
        <v>197</v>
      </c>
      <c r="GR1" s="29" t="s">
        <v>198</v>
      </c>
      <c r="GS1" s="29" t="s">
        <v>199</v>
      </c>
      <c r="GT1" s="29" t="s">
        <v>200</v>
      </c>
      <c r="GU1" s="29" t="s">
        <v>201</v>
      </c>
      <c r="GV1" s="29" t="s">
        <v>202</v>
      </c>
      <c r="GW1" s="29" t="s">
        <v>203</v>
      </c>
      <c r="GX1" s="30" t="s">
        <v>204</v>
      </c>
      <c r="GY1" s="30" t="s">
        <v>205</v>
      </c>
      <c r="GZ1" s="30" t="s">
        <v>206</v>
      </c>
      <c r="HA1" s="30" t="s">
        <v>207</v>
      </c>
      <c r="HB1" s="30" t="s">
        <v>208</v>
      </c>
      <c r="HC1" s="30" t="s">
        <v>209</v>
      </c>
      <c r="HD1" s="30" t="s">
        <v>210</v>
      </c>
      <c r="HE1" s="30" t="s">
        <v>211</v>
      </c>
      <c r="HF1" s="30" t="s">
        <v>212</v>
      </c>
      <c r="HG1" s="30" t="s">
        <v>213</v>
      </c>
      <c r="HH1" s="30" t="s">
        <v>214</v>
      </c>
      <c r="HI1" s="30" t="s">
        <v>215</v>
      </c>
      <c r="HJ1" s="30" t="s">
        <v>216</v>
      </c>
      <c r="HK1" s="30" t="s">
        <v>217</v>
      </c>
      <c r="HL1" s="30" t="s">
        <v>218</v>
      </c>
      <c r="HM1" s="30" t="s">
        <v>219</v>
      </c>
      <c r="HN1" s="31" t="s">
        <v>220</v>
      </c>
      <c r="HO1" s="31" t="s">
        <v>221</v>
      </c>
      <c r="HP1" s="31" t="s">
        <v>222</v>
      </c>
      <c r="HQ1" s="31" t="s">
        <v>223</v>
      </c>
      <c r="HR1" s="31" t="s">
        <v>224</v>
      </c>
      <c r="HS1" s="31" t="s">
        <v>225</v>
      </c>
      <c r="HT1" s="31" t="s">
        <v>226</v>
      </c>
      <c r="HU1" s="31" t="s">
        <v>227</v>
      </c>
      <c r="HV1" s="31" t="s">
        <v>228</v>
      </c>
      <c r="HW1" s="31" t="s">
        <v>229</v>
      </c>
      <c r="HX1" s="20" t="s">
        <v>230</v>
      </c>
      <c r="HY1" s="20" t="s">
        <v>231</v>
      </c>
      <c r="HZ1" s="20" t="s">
        <v>232</v>
      </c>
      <c r="IA1" s="20" t="s">
        <v>233</v>
      </c>
      <c r="IB1" s="20" t="s">
        <v>234</v>
      </c>
      <c r="IC1" s="20" t="s">
        <v>235</v>
      </c>
      <c r="ID1" s="20" t="s">
        <v>236</v>
      </c>
      <c r="IE1" s="20" t="s">
        <v>237</v>
      </c>
      <c r="IF1" s="20" t="s">
        <v>238</v>
      </c>
      <c r="IG1" s="20" t="s">
        <v>239</v>
      </c>
      <c r="IH1" s="20" t="s">
        <v>240</v>
      </c>
      <c r="II1" s="20" t="s">
        <v>241</v>
      </c>
      <c r="IJ1" s="20" t="s">
        <v>242</v>
      </c>
      <c r="IK1" s="20" t="s">
        <v>243</v>
      </c>
      <c r="IL1" s="20" t="s">
        <v>244</v>
      </c>
      <c r="IM1" s="20" t="s">
        <v>245</v>
      </c>
      <c r="IN1" s="20" t="s">
        <v>246</v>
      </c>
      <c r="IO1" s="20" t="s">
        <v>247</v>
      </c>
      <c r="IP1" s="20" t="s">
        <v>248</v>
      </c>
      <c r="IQ1" s="20" t="s">
        <v>249</v>
      </c>
      <c r="IR1" s="20" t="s">
        <v>250</v>
      </c>
      <c r="IS1" s="20" t="s">
        <v>251</v>
      </c>
      <c r="IT1" s="20" t="s">
        <v>252</v>
      </c>
      <c r="IU1" s="20" t="s">
        <v>253</v>
      </c>
      <c r="IV1" s="20" t="s">
        <v>254</v>
      </c>
      <c r="IW1" s="20" t="s">
        <v>255</v>
      </c>
      <c r="IX1" s="20" t="s">
        <v>256</v>
      </c>
      <c r="IY1" s="20" t="s">
        <v>257</v>
      </c>
      <c r="IZ1" s="20" t="s">
        <v>258</v>
      </c>
      <c r="JA1" s="20" t="s">
        <v>259</v>
      </c>
      <c r="JB1" s="20" t="s">
        <v>260</v>
      </c>
      <c r="JC1" s="20" t="s">
        <v>261</v>
      </c>
      <c r="JD1" s="20" t="s">
        <v>262</v>
      </c>
      <c r="JE1" s="20" t="s">
        <v>263</v>
      </c>
      <c r="JF1" s="20" t="s">
        <v>264</v>
      </c>
      <c r="JG1" s="20" t="s">
        <v>265</v>
      </c>
      <c r="JH1" s="20" t="s">
        <v>266</v>
      </c>
      <c r="JI1" s="20" t="s">
        <v>267</v>
      </c>
      <c r="JJ1" s="20" t="s">
        <v>268</v>
      </c>
      <c r="JK1" s="20" t="s">
        <v>269</v>
      </c>
      <c r="JL1" s="20" t="s">
        <v>270</v>
      </c>
      <c r="JM1" s="20" t="s">
        <v>271</v>
      </c>
      <c r="JN1" s="20" t="s">
        <v>272</v>
      </c>
      <c r="JO1" s="20" t="s">
        <v>273</v>
      </c>
      <c r="JP1" s="20" t="s">
        <v>274</v>
      </c>
      <c r="JQ1" s="20" t="s">
        <v>275</v>
      </c>
      <c r="JR1" s="20" t="s">
        <v>276</v>
      </c>
      <c r="JS1" s="20" t="s">
        <v>277</v>
      </c>
      <c r="JT1" s="32" t="s">
        <v>278</v>
      </c>
      <c r="JU1" s="32" t="s">
        <v>279</v>
      </c>
      <c r="JV1" s="21" t="s">
        <v>280</v>
      </c>
      <c r="JW1" s="21" t="s">
        <v>281</v>
      </c>
      <c r="JX1" s="21" t="s">
        <v>282</v>
      </c>
      <c r="JY1" s="21" t="s">
        <v>283</v>
      </c>
      <c r="JZ1" s="21" t="s">
        <v>284</v>
      </c>
      <c r="KA1" s="21" t="s">
        <v>285</v>
      </c>
      <c r="KB1" s="21" t="s">
        <v>286</v>
      </c>
      <c r="KC1" s="21" t="s">
        <v>287</v>
      </c>
      <c r="KD1" s="21" t="s">
        <v>288</v>
      </c>
      <c r="KE1" s="21" t="s">
        <v>289</v>
      </c>
      <c r="KF1" s="21" t="s">
        <v>290</v>
      </c>
      <c r="KG1" s="21" t="s">
        <v>291</v>
      </c>
      <c r="KH1" s="21" t="s">
        <v>292</v>
      </c>
      <c r="KI1" s="21" t="s">
        <v>293</v>
      </c>
      <c r="KJ1" s="21" t="s">
        <v>294</v>
      </c>
      <c r="KK1" s="21" t="s">
        <v>295</v>
      </c>
      <c r="KL1" s="21" t="s">
        <v>296</v>
      </c>
      <c r="KM1" s="21" t="s">
        <v>297</v>
      </c>
      <c r="KN1" s="21" t="s">
        <v>298</v>
      </c>
      <c r="KO1" s="21" t="s">
        <v>299</v>
      </c>
      <c r="KP1" s="33" t="s">
        <v>300</v>
      </c>
      <c r="KQ1" s="33" t="s">
        <v>301</v>
      </c>
      <c r="KR1" s="34" t="s">
        <v>302</v>
      </c>
      <c r="KS1" s="35" t="s">
        <v>303</v>
      </c>
      <c r="KT1" s="35" t="s">
        <v>304</v>
      </c>
      <c r="KU1" s="36" t="s">
        <v>266</v>
      </c>
    </row>
    <row r="2" customFormat="false" ht="14.4" hidden="false" customHeight="false" outlineLevel="0" collapsed="false">
      <c r="A2" s="37" t="s">
        <v>305</v>
      </c>
      <c r="B2" s="37" t="s">
        <v>306</v>
      </c>
      <c r="C2" s="37"/>
      <c r="D2" s="37"/>
      <c r="E2" s="37"/>
      <c r="F2" s="37" t="s">
        <v>307</v>
      </c>
      <c r="G2" s="37" t="s">
        <v>308</v>
      </c>
      <c r="H2" s="37" t="s">
        <v>309</v>
      </c>
      <c r="I2" s="37" t="s">
        <v>310</v>
      </c>
      <c r="J2" s="37" t="s">
        <v>311</v>
      </c>
      <c r="K2" s="37"/>
      <c r="L2" s="37"/>
      <c r="M2" s="37"/>
      <c r="N2" s="37"/>
      <c r="O2" s="37" t="s">
        <v>312</v>
      </c>
      <c r="P2" s="37" t="s">
        <v>313</v>
      </c>
      <c r="Q2" s="37" t="s">
        <v>314</v>
      </c>
      <c r="R2" s="37" t="s">
        <v>315</v>
      </c>
      <c r="S2" s="37" t="s">
        <v>316</v>
      </c>
      <c r="T2" s="37" t="s">
        <v>317</v>
      </c>
      <c r="U2" s="37" t="s">
        <v>318</v>
      </c>
      <c r="V2" s="37" t="s">
        <v>319</v>
      </c>
      <c r="W2" s="37" t="s">
        <v>320</v>
      </c>
      <c r="X2" s="37"/>
      <c r="Y2" s="37"/>
      <c r="Z2" s="37"/>
      <c r="AA2" s="37" t="n">
        <v>95</v>
      </c>
      <c r="AB2" s="37" t="n">
        <v>0</v>
      </c>
      <c r="AC2" s="37" t="n">
        <v>0</v>
      </c>
      <c r="AD2" s="37" t="n">
        <v>5</v>
      </c>
      <c r="AE2" s="37" t="n">
        <v>5</v>
      </c>
      <c r="AF2" s="37" t="s">
        <v>321</v>
      </c>
      <c r="AG2" s="37" t="s">
        <v>322</v>
      </c>
      <c r="AH2" s="37" t="s">
        <v>323</v>
      </c>
      <c r="AI2" s="37" t="s">
        <v>324</v>
      </c>
      <c r="AJ2" s="37" t="s">
        <v>325</v>
      </c>
      <c r="AK2" s="37"/>
      <c r="AL2" s="37" t="s">
        <v>326</v>
      </c>
      <c r="AM2" s="37" t="s">
        <v>327</v>
      </c>
      <c r="AN2" s="37" t="s">
        <v>328</v>
      </c>
      <c r="AO2" s="37" t="n">
        <v>2025</v>
      </c>
      <c r="AP2" s="37" t="n">
        <v>18</v>
      </c>
      <c r="AQ2" s="37" t="n">
        <v>1</v>
      </c>
      <c r="AR2" s="37"/>
      <c r="AS2" s="37"/>
      <c r="AT2" s="37"/>
      <c r="AU2" s="37" t="n">
        <v>4</v>
      </c>
      <c r="AV2" s="37" t="s">
        <v>329</v>
      </c>
      <c r="AW2" s="37" t="str">
        <f aca="false">HYPERLINK("http://dx.doi.org/10.1007/s12145-024-01616-9","http://dx.doi.org/10.1007/s12145-024-01616-9")</f>
        <v>http://dx.doi.org/10.1007/s12145-024-01616-9</v>
      </c>
      <c r="AX2" s="37"/>
      <c r="AY2" s="37" t="n">
        <v>17</v>
      </c>
      <c r="AZ2" s="37" t="s">
        <v>330</v>
      </c>
      <c r="BA2" s="37" t="s">
        <v>331</v>
      </c>
      <c r="BB2" s="37" t="s">
        <v>332</v>
      </c>
      <c r="BC2" s="37" t="s">
        <v>333</v>
      </c>
      <c r="BD2" s="37"/>
      <c r="BE2" s="37"/>
      <c r="BF2" s="37" t="s">
        <v>334</v>
      </c>
      <c r="BG2" s="37" t="s">
        <v>335</v>
      </c>
      <c r="BH2" s="37" t="str">
        <f aca="false">HYPERLINK("https%3A%2F%2Fwww.webofscience.com%2Fwos%2Fwoscc%2Ffull-record%2FWOS:001372600700003","View Full Record in Web of Science")</f>
        <v>View Full Record in Web of Science</v>
      </c>
      <c r="BI2" s="38" t="b">
        <f aca="false">TRUE()</f>
        <v>1</v>
      </c>
      <c r="BJ2" s="39"/>
      <c r="BK2" s="39"/>
      <c r="BL2" s="40"/>
      <c r="BM2" s="40"/>
      <c r="BN2" s="40"/>
      <c r="BO2" s="39"/>
      <c r="BP2" s="39"/>
      <c r="BQ2" s="39"/>
      <c r="BR2" s="37"/>
      <c r="BS2" s="38" t="b">
        <f aca="false">TRUE()</f>
        <v>1</v>
      </c>
      <c r="BT2" s="38" t="b">
        <f aca="false">TRUE()</f>
        <v>1</v>
      </c>
      <c r="BU2" s="40"/>
      <c r="BV2" s="40"/>
      <c r="BW2" s="39"/>
      <c r="BX2" s="40"/>
      <c r="BY2" s="38" t="b">
        <f aca="false">TRUE()</f>
        <v>1</v>
      </c>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40"/>
      <c r="DK2" s="39"/>
      <c r="DL2" s="39"/>
      <c r="DM2" s="39"/>
      <c r="DN2" s="40"/>
      <c r="DO2" s="39"/>
      <c r="DP2" s="39"/>
      <c r="DQ2" s="39"/>
      <c r="DR2" s="39"/>
      <c r="DS2" s="39"/>
      <c r="DT2" s="39"/>
      <c r="DU2" s="39"/>
      <c r="DV2" s="39"/>
      <c r="DW2" s="39"/>
      <c r="DX2" s="39"/>
      <c r="DY2" s="39"/>
      <c r="DZ2" s="39"/>
      <c r="EA2" s="38" t="b">
        <f aca="false">TRUE()</f>
        <v>1</v>
      </c>
      <c r="EB2" s="38" t="b">
        <f aca="false">TRUE()</f>
        <v>1</v>
      </c>
      <c r="EC2" s="40"/>
      <c r="ED2" s="39"/>
      <c r="EE2" s="40"/>
      <c r="EF2" s="37"/>
      <c r="EG2" s="39"/>
      <c r="EH2" s="39"/>
      <c r="EI2" s="38" t="b">
        <f aca="false">TRUE()</f>
        <v>1</v>
      </c>
      <c r="EJ2" s="39"/>
      <c r="EK2" s="40"/>
      <c r="EL2" s="40"/>
      <c r="EM2" s="40"/>
      <c r="EN2" s="40"/>
      <c r="EO2" s="40"/>
      <c r="EP2" s="39"/>
      <c r="EQ2" s="39"/>
      <c r="ER2" s="40"/>
      <c r="ES2" s="40"/>
      <c r="ET2" s="40"/>
      <c r="EU2" s="40"/>
      <c r="EV2" s="40"/>
      <c r="EW2" s="37"/>
      <c r="EX2" s="40"/>
      <c r="EY2" s="38" t="b">
        <f aca="false">TRUE()</f>
        <v>1</v>
      </c>
      <c r="EZ2" s="39"/>
      <c r="FA2" s="40"/>
      <c r="FB2" s="40"/>
      <c r="FC2" s="39"/>
      <c r="FD2" s="39"/>
      <c r="FE2" s="40"/>
      <c r="FF2" s="39"/>
      <c r="FG2" s="39"/>
      <c r="FH2" s="39"/>
      <c r="FI2" s="39"/>
      <c r="FJ2" s="39"/>
      <c r="FK2" s="40" t="s">
        <v>336</v>
      </c>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38" t="b">
        <f aca="false">TRUE()</f>
        <v>1</v>
      </c>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0"/>
      <c r="JL2" s="40"/>
      <c r="JM2" s="40"/>
      <c r="JN2" s="40"/>
      <c r="JO2" s="40"/>
      <c r="JP2" s="40"/>
      <c r="JQ2" s="40"/>
      <c r="JR2" s="40"/>
      <c r="JS2" s="40"/>
      <c r="JT2" s="38" t="b">
        <f aca="false">TRUE()</f>
        <v>1</v>
      </c>
      <c r="JU2" s="40"/>
      <c r="JV2" s="40"/>
      <c r="JW2" s="40"/>
      <c r="JX2" s="40"/>
      <c r="JY2" s="40"/>
      <c r="JZ2" s="40"/>
      <c r="KA2" s="40"/>
      <c r="KB2" s="40"/>
      <c r="KC2" s="40"/>
      <c r="KD2" s="40"/>
      <c r="KE2" s="40"/>
      <c r="KF2" s="40"/>
      <c r="KG2" s="40"/>
      <c r="KH2" s="40"/>
      <c r="KI2" s="40"/>
      <c r="KJ2" s="38" t="b">
        <f aca="false">TRUE()</f>
        <v>1</v>
      </c>
      <c r="KK2" s="40"/>
      <c r="KL2" s="40"/>
      <c r="KM2" s="40"/>
      <c r="KN2" s="40"/>
      <c r="KO2" s="40"/>
      <c r="KP2" s="38" t="b">
        <f aca="false">TRUE()</f>
        <v>1</v>
      </c>
      <c r="KQ2" s="40"/>
      <c r="KR2" s="39"/>
      <c r="KS2" s="39"/>
      <c r="KT2" s="41" t="b">
        <f aca="false">TRUE()</f>
        <v>1</v>
      </c>
      <c r="KU2" s="42"/>
    </row>
    <row r="3" customFormat="false" ht="14.4" hidden="false" customHeight="false" outlineLevel="0" collapsed="false">
      <c r="A3" s="37" t="s">
        <v>305</v>
      </c>
      <c r="B3" s="37" t="s">
        <v>337</v>
      </c>
      <c r="C3" s="37"/>
      <c r="D3" s="37"/>
      <c r="E3" s="37"/>
      <c r="F3" s="37" t="s">
        <v>338</v>
      </c>
      <c r="G3" s="37" t="s">
        <v>339</v>
      </c>
      <c r="H3" s="37" t="s">
        <v>340</v>
      </c>
      <c r="I3" s="37" t="s">
        <v>310</v>
      </c>
      <c r="J3" s="37" t="s">
        <v>311</v>
      </c>
      <c r="K3" s="37"/>
      <c r="L3" s="37"/>
      <c r="M3" s="37"/>
      <c r="N3" s="37"/>
      <c r="O3" s="37" t="s">
        <v>341</v>
      </c>
      <c r="P3" s="37" t="s">
        <v>342</v>
      </c>
      <c r="Q3" s="37" t="s">
        <v>343</v>
      </c>
      <c r="R3" s="37" t="s">
        <v>344</v>
      </c>
      <c r="S3" s="37" t="s">
        <v>345</v>
      </c>
      <c r="T3" s="37" t="s">
        <v>346</v>
      </c>
      <c r="U3" s="37" t="s">
        <v>347</v>
      </c>
      <c r="V3" s="37" t="s">
        <v>348</v>
      </c>
      <c r="W3" s="37" t="s">
        <v>349</v>
      </c>
      <c r="X3" s="37" t="s">
        <v>350</v>
      </c>
      <c r="Y3" s="37" t="s">
        <v>351</v>
      </c>
      <c r="Z3" s="37" t="s">
        <v>352</v>
      </c>
      <c r="AA3" s="37" t="n">
        <v>86</v>
      </c>
      <c r="AB3" s="37" t="n">
        <v>31</v>
      </c>
      <c r="AC3" s="37" t="n">
        <v>32</v>
      </c>
      <c r="AD3" s="37" t="n">
        <v>14</v>
      </c>
      <c r="AE3" s="37" t="n">
        <v>100</v>
      </c>
      <c r="AF3" s="37" t="s">
        <v>353</v>
      </c>
      <c r="AG3" s="37" t="s">
        <v>354</v>
      </c>
      <c r="AH3" s="37" t="s">
        <v>355</v>
      </c>
      <c r="AI3" s="37" t="s">
        <v>356</v>
      </c>
      <c r="AJ3" s="37" t="s">
        <v>357</v>
      </c>
      <c r="AK3" s="37"/>
      <c r="AL3" s="37" t="s">
        <v>358</v>
      </c>
      <c r="AM3" s="37" t="s">
        <v>359</v>
      </c>
      <c r="AN3" s="37" t="s">
        <v>132</v>
      </c>
      <c r="AO3" s="37" t="n">
        <v>2022</v>
      </c>
      <c r="AP3" s="37" t="n">
        <v>612</v>
      </c>
      <c r="AQ3" s="37"/>
      <c r="AR3" s="37" t="s">
        <v>360</v>
      </c>
      <c r="AS3" s="37"/>
      <c r="AT3" s="37"/>
      <c r="AU3" s="37" t="n">
        <v>128078</v>
      </c>
      <c r="AV3" s="37" t="s">
        <v>361</v>
      </c>
      <c r="AW3" s="37" t="str">
        <f aca="false">HYPERLINK("http://dx.doi.org/10.1016/j.jhydrol.2022.128078","http://dx.doi.org/10.1016/j.jhydrol.2022.128078")</f>
        <v>http://dx.doi.org/10.1016/j.jhydrol.2022.128078</v>
      </c>
      <c r="AX3" s="37"/>
      <c r="AY3" s="37" t="n">
        <v>16</v>
      </c>
      <c r="AZ3" s="37" t="s">
        <v>362</v>
      </c>
      <c r="BA3" s="37" t="s">
        <v>331</v>
      </c>
      <c r="BB3" s="37" t="s">
        <v>363</v>
      </c>
      <c r="BC3" s="37" t="s">
        <v>364</v>
      </c>
      <c r="BD3" s="37"/>
      <c r="BE3" s="37" t="s">
        <v>365</v>
      </c>
      <c r="BF3" s="37" t="s">
        <v>334</v>
      </c>
      <c r="BG3" s="37" t="s">
        <v>366</v>
      </c>
      <c r="BH3" s="43" t="str">
        <f aca="false">HYPERLINK("https%3A%2F%2Fwww.webofscience.com%2Fwos%2Fwoscc%2Ffull-record%2FWOS:000833519900005","View Full Record in Web of Science")</f>
        <v>View Full Record in Web of Science</v>
      </c>
      <c r="BI3" s="40" t="s">
        <v>336</v>
      </c>
      <c r="BJ3" s="39"/>
      <c r="BK3" s="39"/>
      <c r="BL3" s="40"/>
      <c r="BM3" s="40"/>
      <c r="BN3" s="40"/>
      <c r="BO3" s="39"/>
      <c r="BP3" s="40"/>
      <c r="BQ3" s="40"/>
      <c r="BR3" s="38" t="b">
        <f aca="false">TRUE()</f>
        <v>1</v>
      </c>
      <c r="BS3" s="39"/>
      <c r="BT3" s="39"/>
      <c r="BU3" s="39"/>
      <c r="BV3" s="39"/>
      <c r="BW3" s="38" t="b">
        <f aca="false">TRUE()</f>
        <v>1</v>
      </c>
      <c r="BX3" s="39"/>
      <c r="BY3" s="40" t="s">
        <v>336</v>
      </c>
      <c r="BZ3" s="39"/>
      <c r="CA3" s="39"/>
      <c r="CB3" s="39"/>
      <c r="CC3" s="39"/>
      <c r="CD3" s="40"/>
      <c r="CE3" s="40"/>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40"/>
      <c r="DH3" s="39"/>
      <c r="DI3" s="39"/>
      <c r="DJ3" s="40"/>
      <c r="DK3" s="39"/>
      <c r="DL3" s="39"/>
      <c r="DM3" s="39"/>
      <c r="DN3" s="40"/>
      <c r="DO3" s="39"/>
      <c r="DP3" s="39"/>
      <c r="DQ3" s="39"/>
      <c r="DR3" s="39"/>
      <c r="DS3" s="39"/>
      <c r="DT3" s="39"/>
      <c r="DU3" s="39"/>
      <c r="DV3" s="40"/>
      <c r="DW3" s="39"/>
      <c r="DX3" s="39"/>
      <c r="DY3" s="39"/>
      <c r="DZ3" s="39"/>
      <c r="EA3" s="38" t="b">
        <f aca="false">TRUE()</f>
        <v>1</v>
      </c>
      <c r="EB3" s="39"/>
      <c r="EC3" s="40"/>
      <c r="ED3" s="40"/>
      <c r="EE3" s="40"/>
      <c r="EF3" s="40"/>
      <c r="EG3" s="39"/>
      <c r="EH3" s="39"/>
      <c r="EI3" s="39"/>
      <c r="EJ3" s="39"/>
      <c r="EK3" s="40"/>
      <c r="EL3" s="40"/>
      <c r="EM3" s="39"/>
      <c r="EN3" s="40"/>
      <c r="EO3" s="40"/>
      <c r="EP3" s="39"/>
      <c r="EQ3" s="41" t="b">
        <f aca="false">TRUE()</f>
        <v>1</v>
      </c>
      <c r="ER3" s="39"/>
      <c r="ES3" s="39"/>
      <c r="ET3" s="40"/>
      <c r="EU3" s="40"/>
      <c r="EV3" s="40"/>
      <c r="EW3" s="40"/>
      <c r="EX3" s="39"/>
      <c r="EY3" s="41" t="b">
        <f aca="false">TRUE()</f>
        <v>1</v>
      </c>
      <c r="EZ3" s="39"/>
      <c r="FA3" s="40"/>
      <c r="FB3" s="39"/>
      <c r="FC3" s="38" t="b">
        <f aca="false">TRUE()</f>
        <v>1</v>
      </c>
      <c r="FD3" s="40"/>
      <c r="FE3" s="40"/>
      <c r="FF3" s="39"/>
      <c r="FG3" s="39"/>
      <c r="FH3" s="39"/>
      <c r="FI3" s="39"/>
      <c r="FJ3" s="39"/>
      <c r="FK3" s="38" t="b">
        <f aca="false">TRUE()</f>
        <v>1</v>
      </c>
      <c r="FL3" s="40"/>
      <c r="FM3" s="40"/>
      <c r="FN3" s="40"/>
      <c r="FO3" s="40"/>
      <c r="FP3" s="40"/>
      <c r="FQ3" s="40"/>
      <c r="FR3" s="40"/>
      <c r="FS3" s="40"/>
      <c r="FT3" s="40"/>
      <c r="FU3" s="40"/>
      <c r="FV3" s="40"/>
      <c r="FW3" s="40"/>
      <c r="FX3" s="40"/>
      <c r="FY3" s="40"/>
      <c r="FZ3" s="40"/>
      <c r="GA3" s="40"/>
      <c r="GB3" s="40"/>
      <c r="GC3" s="40"/>
      <c r="GD3" s="40"/>
      <c r="GE3" s="40"/>
      <c r="GF3" s="40"/>
      <c r="GG3" s="40"/>
      <c r="GH3" s="38" t="b">
        <f aca="false">TRUE()</f>
        <v>1</v>
      </c>
      <c r="GI3" s="40"/>
      <c r="GJ3" s="40"/>
      <c r="GK3" s="40"/>
      <c r="GL3" s="40"/>
      <c r="GM3" s="40"/>
      <c r="GN3" s="40"/>
      <c r="GO3" s="40"/>
      <c r="GP3" s="40"/>
      <c r="GQ3" s="40"/>
      <c r="GR3" s="40"/>
      <c r="GS3" s="40"/>
      <c r="GT3" s="40"/>
      <c r="GU3" s="40"/>
      <c r="GV3" s="40"/>
      <c r="GW3" s="40"/>
      <c r="GX3" s="40"/>
      <c r="GY3" s="40"/>
      <c r="GZ3" s="40"/>
      <c r="HA3" s="40"/>
      <c r="HB3" s="40"/>
      <c r="HC3" s="40"/>
      <c r="HD3" s="40"/>
      <c r="HE3" s="40"/>
      <c r="HF3" s="40"/>
      <c r="HG3" s="40"/>
      <c r="HH3" s="40"/>
      <c r="HI3" s="40"/>
      <c r="HJ3" s="40"/>
      <c r="HK3" s="40"/>
      <c r="HL3" s="40"/>
      <c r="HM3" s="40"/>
      <c r="HN3" s="40"/>
      <c r="HO3" s="40"/>
      <c r="HP3" s="40"/>
      <c r="HQ3" s="40"/>
      <c r="HR3" s="40"/>
      <c r="HS3" s="40"/>
      <c r="HT3" s="40"/>
      <c r="HU3" s="40"/>
      <c r="HV3" s="40"/>
      <c r="HW3" s="40"/>
      <c r="HX3" s="40"/>
      <c r="HY3" s="40"/>
      <c r="HZ3" s="40"/>
      <c r="IA3" s="40"/>
      <c r="IB3" s="40"/>
      <c r="IC3" s="38" t="b">
        <f aca="false">TRUE()</f>
        <v>1</v>
      </c>
      <c r="ID3" s="40"/>
      <c r="IE3" s="40"/>
      <c r="IF3" s="40"/>
      <c r="IG3" s="40"/>
      <c r="IH3" s="40"/>
      <c r="II3" s="40"/>
      <c r="IJ3" s="40"/>
      <c r="IK3" s="40"/>
      <c r="IL3" s="40"/>
      <c r="IM3" s="40"/>
      <c r="IN3" s="40"/>
      <c r="IO3" s="40"/>
      <c r="IP3" s="40"/>
      <c r="IQ3" s="40"/>
      <c r="IR3" s="40"/>
      <c r="IS3" s="40"/>
      <c r="IT3" s="40"/>
      <c r="IU3" s="40"/>
      <c r="IV3" s="40"/>
      <c r="IW3" s="40"/>
      <c r="IX3" s="40"/>
      <c r="IY3" s="40"/>
      <c r="IZ3" s="40"/>
      <c r="JA3" s="40"/>
      <c r="JB3" s="40"/>
      <c r="JC3" s="40"/>
      <c r="JD3" s="40"/>
      <c r="JE3" s="40"/>
      <c r="JF3" s="40"/>
      <c r="JG3" s="40"/>
      <c r="JH3" s="40"/>
      <c r="JI3" s="40"/>
      <c r="JJ3" s="40"/>
      <c r="JK3" s="40"/>
      <c r="JL3" s="40"/>
      <c r="JM3" s="40"/>
      <c r="JN3" s="40"/>
      <c r="JO3" s="40"/>
      <c r="JP3" s="40"/>
      <c r="JQ3" s="40"/>
      <c r="JR3" s="40"/>
      <c r="JS3" s="39"/>
      <c r="JT3" s="38" t="b">
        <f aca="false">TRUE()</f>
        <v>1</v>
      </c>
      <c r="JU3" s="38" t="b">
        <f aca="false">TRUE()</f>
        <v>1</v>
      </c>
      <c r="JV3" s="40"/>
      <c r="JW3" s="40"/>
      <c r="JX3" s="40"/>
      <c r="JY3" s="40"/>
      <c r="JZ3" s="40"/>
      <c r="KA3" s="40"/>
      <c r="KB3" s="40"/>
      <c r="KC3" s="40"/>
      <c r="KD3" s="40"/>
      <c r="KE3" s="40"/>
      <c r="KF3" s="40"/>
      <c r="KG3" s="40"/>
      <c r="KH3" s="40"/>
      <c r="KI3" s="40"/>
      <c r="KJ3" s="40"/>
      <c r="KK3" s="40"/>
      <c r="KL3" s="40"/>
      <c r="KM3" s="40"/>
      <c r="KN3" s="40"/>
      <c r="KO3" s="40"/>
      <c r="KP3" s="41" t="b">
        <f aca="false">TRUE()</f>
        <v>1</v>
      </c>
      <c r="KQ3" s="39"/>
      <c r="KR3" s="40"/>
      <c r="KS3" s="40"/>
      <c r="KT3" s="38" t="b">
        <f aca="false">TRUE()</f>
        <v>1</v>
      </c>
      <c r="KU3" s="44"/>
    </row>
    <row r="4" customFormat="false" ht="14.4" hidden="false" customHeight="false" outlineLevel="0" collapsed="false">
      <c r="A4" s="37" t="s">
        <v>305</v>
      </c>
      <c r="B4" s="37" t="s">
        <v>367</v>
      </c>
      <c r="C4" s="37"/>
      <c r="D4" s="37"/>
      <c r="E4" s="37"/>
      <c r="F4" s="37" t="s">
        <v>368</v>
      </c>
      <c r="G4" s="37" t="s">
        <v>369</v>
      </c>
      <c r="H4" s="37" t="s">
        <v>340</v>
      </c>
      <c r="I4" s="37" t="s">
        <v>310</v>
      </c>
      <c r="J4" s="37" t="s">
        <v>311</v>
      </c>
      <c r="K4" s="37"/>
      <c r="L4" s="37"/>
      <c r="M4" s="37"/>
      <c r="N4" s="37"/>
      <c r="O4" s="37" t="s">
        <v>370</v>
      </c>
      <c r="P4" s="37" t="s">
        <v>371</v>
      </c>
      <c r="Q4" s="37" t="s">
        <v>372</v>
      </c>
      <c r="R4" s="37" t="s">
        <v>373</v>
      </c>
      <c r="S4" s="37" t="s">
        <v>374</v>
      </c>
      <c r="T4" s="37" t="s">
        <v>375</v>
      </c>
      <c r="U4" s="37" t="s">
        <v>376</v>
      </c>
      <c r="V4" s="37"/>
      <c r="W4" s="37"/>
      <c r="X4" s="37" t="s">
        <v>377</v>
      </c>
      <c r="Y4" s="37" t="s">
        <v>378</v>
      </c>
      <c r="Z4" s="37" t="s">
        <v>379</v>
      </c>
      <c r="AA4" s="37" t="n">
        <v>66</v>
      </c>
      <c r="AB4" s="37" t="n">
        <v>15</v>
      </c>
      <c r="AC4" s="37" t="n">
        <v>15</v>
      </c>
      <c r="AD4" s="37" t="n">
        <v>8</v>
      </c>
      <c r="AE4" s="37" t="n">
        <v>87</v>
      </c>
      <c r="AF4" s="37" t="s">
        <v>353</v>
      </c>
      <c r="AG4" s="37" t="s">
        <v>354</v>
      </c>
      <c r="AH4" s="37" t="s">
        <v>355</v>
      </c>
      <c r="AI4" s="37" t="s">
        <v>356</v>
      </c>
      <c r="AJ4" s="37" t="s">
        <v>357</v>
      </c>
      <c r="AK4" s="37"/>
      <c r="AL4" s="37" t="s">
        <v>358</v>
      </c>
      <c r="AM4" s="37" t="s">
        <v>359</v>
      </c>
      <c r="AN4" s="37" t="s">
        <v>380</v>
      </c>
      <c r="AO4" s="37" t="n">
        <v>2022</v>
      </c>
      <c r="AP4" s="37" t="n">
        <v>607</v>
      </c>
      <c r="AQ4" s="37"/>
      <c r="AR4" s="37"/>
      <c r="AS4" s="37"/>
      <c r="AT4" s="37"/>
      <c r="AU4" s="37" t="n">
        <v>127506</v>
      </c>
      <c r="AV4" s="37" t="s">
        <v>381</v>
      </c>
      <c r="AW4" s="37" t="str">
        <f aca="false">HYPERLINK("http://dx.doi.org/10.1016/j.jhydrol.2022.127506","http://dx.doi.org/10.1016/j.jhydrol.2022.127506")</f>
        <v>http://dx.doi.org/10.1016/j.jhydrol.2022.127506</v>
      </c>
      <c r="AX4" s="37" t="s">
        <v>382</v>
      </c>
      <c r="AY4" s="37" t="n">
        <v>21</v>
      </c>
      <c r="AZ4" s="37" t="s">
        <v>362</v>
      </c>
      <c r="BA4" s="37" t="s">
        <v>331</v>
      </c>
      <c r="BB4" s="37" t="s">
        <v>363</v>
      </c>
      <c r="BC4" s="37" t="s">
        <v>383</v>
      </c>
      <c r="BD4" s="37"/>
      <c r="BE4" s="37"/>
      <c r="BF4" s="37" t="s">
        <v>334</v>
      </c>
      <c r="BG4" s="37" t="s">
        <v>384</v>
      </c>
      <c r="BH4" s="37" t="str">
        <f aca="false">HYPERLINK("https%3A%2F%2Fwww.webofscience.com%2Fwos%2Fwoscc%2Ffull-record%2FWOS:000790501400004","View Full Record in Web of Science")</f>
        <v>View Full Record in Web of Science</v>
      </c>
      <c r="BI4" s="40" t="s">
        <v>336</v>
      </c>
      <c r="BJ4" s="39"/>
      <c r="BK4" s="39"/>
      <c r="BL4" s="40"/>
      <c r="BM4" s="40"/>
      <c r="BN4" s="40"/>
      <c r="BO4" s="39"/>
      <c r="BP4" s="39"/>
      <c r="BQ4" s="39"/>
      <c r="BR4" s="38" t="b">
        <f aca="false">TRUE()</f>
        <v>1</v>
      </c>
      <c r="BS4" s="39"/>
      <c r="BT4" s="39"/>
      <c r="BU4" s="39"/>
      <c r="BV4" s="39"/>
      <c r="BW4" s="39"/>
      <c r="BX4" s="39"/>
      <c r="BY4" s="37"/>
      <c r="BZ4" s="39"/>
      <c r="CA4" s="39"/>
      <c r="CB4" s="39"/>
      <c r="CC4" s="39"/>
      <c r="CD4" s="39"/>
      <c r="CE4" s="39"/>
      <c r="CF4" s="39"/>
      <c r="CG4" s="39"/>
      <c r="CH4" s="39"/>
      <c r="CI4" s="39"/>
      <c r="CJ4" s="39"/>
      <c r="CK4" s="39"/>
      <c r="CL4" s="39"/>
      <c r="CM4" s="39"/>
      <c r="CN4" s="39"/>
      <c r="CO4" s="39"/>
      <c r="CP4" s="39"/>
      <c r="CQ4" s="39"/>
      <c r="CR4" s="39"/>
      <c r="CS4" s="39"/>
      <c r="CT4" s="39"/>
      <c r="CU4" s="39"/>
      <c r="CV4" s="39"/>
      <c r="CW4" s="39"/>
      <c r="CX4" s="39"/>
      <c r="CY4" s="39"/>
      <c r="CZ4" s="39"/>
      <c r="DA4" s="39"/>
      <c r="DB4" s="39"/>
      <c r="DC4" s="39"/>
      <c r="DD4" s="39"/>
      <c r="DE4" s="39"/>
      <c r="DF4" s="39"/>
      <c r="DG4" s="39"/>
      <c r="DH4" s="39"/>
      <c r="DI4" s="39"/>
      <c r="DJ4" s="40"/>
      <c r="DK4" s="39"/>
      <c r="DL4" s="39"/>
      <c r="DM4" s="39"/>
      <c r="DN4" s="40"/>
      <c r="DO4" s="39"/>
      <c r="DP4" s="39"/>
      <c r="DQ4" s="39"/>
      <c r="DR4" s="39"/>
      <c r="DS4" s="39"/>
      <c r="DT4" s="39"/>
      <c r="DU4" s="39"/>
      <c r="DV4" s="39"/>
      <c r="DW4" s="39"/>
      <c r="DX4" s="39"/>
      <c r="DY4" s="39"/>
      <c r="DZ4" s="39"/>
      <c r="EA4" s="38" t="b">
        <f aca="false">TRUE()</f>
        <v>1</v>
      </c>
      <c r="EB4" s="39"/>
      <c r="EC4" s="40"/>
      <c r="ED4" s="40"/>
      <c r="EE4" s="40"/>
      <c r="EF4" s="39"/>
      <c r="EG4" s="39"/>
      <c r="EH4" s="39"/>
      <c r="EI4" s="39"/>
      <c r="EJ4" s="39"/>
      <c r="EK4" s="40"/>
      <c r="EL4" s="40"/>
      <c r="EM4" s="39"/>
      <c r="EN4" s="40"/>
      <c r="EO4" s="40"/>
      <c r="EP4" s="39"/>
      <c r="EQ4" s="39"/>
      <c r="ER4" s="39"/>
      <c r="ES4" s="39"/>
      <c r="ET4" s="40"/>
      <c r="EU4" s="40"/>
      <c r="EV4" s="40"/>
      <c r="EW4" s="39"/>
      <c r="EX4" s="39"/>
      <c r="EY4" s="38" t="b">
        <f aca="false">TRUE()</f>
        <v>1</v>
      </c>
      <c r="EZ4" s="39"/>
      <c r="FA4" s="40"/>
      <c r="FB4" s="40"/>
      <c r="FC4" s="38" t="b">
        <f aca="false">TRUE()</f>
        <v>1</v>
      </c>
      <c r="FD4" s="40"/>
      <c r="FE4" s="40"/>
      <c r="FF4" s="39"/>
      <c r="FG4" s="39"/>
      <c r="FH4" s="39"/>
      <c r="FI4" s="39"/>
      <c r="FJ4" s="39"/>
      <c r="FK4" s="37"/>
      <c r="FL4" s="37"/>
      <c r="FM4" s="37"/>
      <c r="FN4" s="37"/>
      <c r="FO4" s="37"/>
      <c r="FP4" s="39"/>
      <c r="FQ4" s="39"/>
      <c r="FR4" s="39"/>
      <c r="FS4" s="39"/>
      <c r="FT4" s="37"/>
      <c r="FU4" s="37"/>
      <c r="FV4" s="37"/>
      <c r="FW4" s="37"/>
      <c r="FX4" s="37"/>
      <c r="FY4" s="37"/>
      <c r="FZ4" s="39"/>
      <c r="GA4" s="39"/>
      <c r="GB4" s="39"/>
      <c r="GC4" s="39"/>
      <c r="GD4" s="37"/>
      <c r="GE4" s="39"/>
      <c r="GF4" s="39"/>
      <c r="GG4" s="37"/>
      <c r="GH4" s="37"/>
      <c r="GI4" s="37"/>
      <c r="GJ4" s="39"/>
      <c r="GK4" s="39"/>
      <c r="GL4" s="37"/>
      <c r="GM4" s="39"/>
      <c r="GN4" s="37"/>
      <c r="GO4" s="39"/>
      <c r="GP4" s="39"/>
      <c r="GQ4" s="37"/>
      <c r="GR4" s="37"/>
      <c r="GS4" s="37"/>
      <c r="GT4" s="37"/>
      <c r="GU4" s="37"/>
      <c r="GV4" s="39"/>
      <c r="GW4" s="39"/>
      <c r="GX4" s="37"/>
      <c r="GY4" s="37"/>
      <c r="GZ4" s="37"/>
      <c r="HA4" s="37"/>
      <c r="HB4" s="37"/>
      <c r="HC4" s="39"/>
      <c r="HD4" s="39"/>
      <c r="HE4" s="39"/>
      <c r="HF4" s="37"/>
      <c r="HG4" s="37"/>
      <c r="HH4" s="37"/>
      <c r="HI4" s="37"/>
      <c r="HJ4" s="37"/>
      <c r="HK4" s="39"/>
      <c r="HL4" s="37"/>
      <c r="HM4" s="39"/>
      <c r="HN4" s="39"/>
      <c r="HO4" s="37"/>
      <c r="HP4" s="37"/>
      <c r="HQ4" s="37"/>
      <c r="HR4" s="37"/>
      <c r="HS4" s="39"/>
      <c r="HT4" s="37"/>
      <c r="HU4" s="39"/>
      <c r="HV4" s="39"/>
      <c r="HW4" s="39"/>
      <c r="HX4" s="39"/>
      <c r="HY4" s="39"/>
      <c r="HZ4" s="39"/>
      <c r="IA4" s="39"/>
      <c r="IB4" s="39"/>
      <c r="IC4" s="39"/>
      <c r="ID4" s="41" t="b">
        <f aca="false">TRUE()</f>
        <v>1</v>
      </c>
      <c r="IE4" s="39"/>
      <c r="IF4" s="39"/>
      <c r="IG4" s="39"/>
      <c r="IH4" s="39"/>
      <c r="II4" s="39"/>
      <c r="IJ4" s="39"/>
      <c r="IK4" s="39"/>
      <c r="IL4" s="39"/>
      <c r="IM4" s="39"/>
      <c r="IN4" s="39"/>
      <c r="IO4" s="39"/>
      <c r="IP4" s="39"/>
      <c r="IQ4" s="39"/>
      <c r="IR4" s="39"/>
      <c r="IS4" s="39"/>
      <c r="IT4" s="39"/>
      <c r="IU4" s="39"/>
      <c r="IV4" s="39"/>
      <c r="IW4" s="39"/>
      <c r="IX4" s="39"/>
      <c r="IY4" s="39"/>
      <c r="IZ4" s="39"/>
      <c r="JA4" s="39"/>
      <c r="JB4" s="39"/>
      <c r="JC4" s="39"/>
      <c r="JD4" s="39"/>
      <c r="JE4" s="39"/>
      <c r="JF4" s="39"/>
      <c r="JG4" s="39"/>
      <c r="JH4" s="39"/>
      <c r="JI4" s="39"/>
      <c r="JJ4" s="39"/>
      <c r="JK4" s="39"/>
      <c r="JL4" s="39"/>
      <c r="JM4" s="39"/>
      <c r="JN4" s="39"/>
      <c r="JO4" s="39"/>
      <c r="JP4" s="39"/>
      <c r="JQ4" s="39"/>
      <c r="JR4" s="39"/>
      <c r="JS4" s="39"/>
      <c r="JT4" s="38" t="b">
        <f aca="false">TRUE()</f>
        <v>1</v>
      </c>
      <c r="JU4" s="38" t="b">
        <f aca="false">TRUE()</f>
        <v>1</v>
      </c>
      <c r="JV4" s="40"/>
      <c r="JW4" s="40"/>
      <c r="JX4" s="40"/>
      <c r="JY4" s="40"/>
      <c r="JZ4" s="40"/>
      <c r="KA4" s="40"/>
      <c r="KB4" s="40"/>
      <c r="KC4" s="40"/>
      <c r="KD4" s="40"/>
      <c r="KE4" s="40"/>
      <c r="KF4" s="40"/>
      <c r="KG4" s="40"/>
      <c r="KH4" s="40"/>
      <c r="KI4" s="40"/>
      <c r="KJ4" s="40"/>
      <c r="KK4" s="39"/>
      <c r="KL4" s="40"/>
      <c r="KM4" s="40"/>
      <c r="KN4" s="40"/>
      <c r="KO4" s="40"/>
      <c r="KP4" s="41" t="b">
        <f aca="false">TRUE()</f>
        <v>1</v>
      </c>
      <c r="KQ4" s="39"/>
      <c r="KR4" s="39"/>
      <c r="KS4" s="39"/>
      <c r="KT4" s="41" t="b">
        <f aca="false">TRUE()</f>
        <v>1</v>
      </c>
      <c r="KU4" s="42"/>
    </row>
    <row r="5" customFormat="false" ht="14.4" hidden="false" customHeight="false" outlineLevel="0" collapsed="false">
      <c r="A5" s="37" t="s">
        <v>305</v>
      </c>
      <c r="B5" s="37" t="s">
        <v>385</v>
      </c>
      <c r="C5" s="37"/>
      <c r="D5" s="37"/>
      <c r="E5" s="37"/>
      <c r="F5" s="37" t="s">
        <v>386</v>
      </c>
      <c r="G5" s="37" t="s">
        <v>387</v>
      </c>
      <c r="H5" s="37" t="s">
        <v>388</v>
      </c>
      <c r="I5" s="37" t="s">
        <v>310</v>
      </c>
      <c r="J5" s="37" t="s">
        <v>311</v>
      </c>
      <c r="K5" s="37"/>
      <c r="L5" s="37"/>
      <c r="M5" s="37"/>
      <c r="N5" s="37"/>
      <c r="O5" s="37" t="s">
        <v>389</v>
      </c>
      <c r="P5" s="37" t="s">
        <v>390</v>
      </c>
      <c r="Q5" s="37" t="s">
        <v>391</v>
      </c>
      <c r="R5" s="37" t="s">
        <v>392</v>
      </c>
      <c r="S5" s="37" t="s">
        <v>393</v>
      </c>
      <c r="T5" s="37" t="s">
        <v>394</v>
      </c>
      <c r="U5" s="37" t="s">
        <v>395</v>
      </c>
      <c r="V5" s="37" t="s">
        <v>396</v>
      </c>
      <c r="W5" s="37" t="s">
        <v>397</v>
      </c>
      <c r="X5" s="37" t="s">
        <v>398</v>
      </c>
      <c r="Y5" s="37" t="s">
        <v>399</v>
      </c>
      <c r="Z5" s="37" t="s">
        <v>400</v>
      </c>
      <c r="AA5" s="37" t="n">
        <v>49</v>
      </c>
      <c r="AB5" s="37" t="n">
        <v>10</v>
      </c>
      <c r="AC5" s="37" t="n">
        <v>10</v>
      </c>
      <c r="AD5" s="37" t="n">
        <v>11</v>
      </c>
      <c r="AE5" s="37" t="n">
        <v>17</v>
      </c>
      <c r="AF5" s="37" t="s">
        <v>401</v>
      </c>
      <c r="AG5" s="37" t="s">
        <v>402</v>
      </c>
      <c r="AH5" s="37" t="s">
        <v>403</v>
      </c>
      <c r="AI5" s="37" t="s">
        <v>404</v>
      </c>
      <c r="AJ5" s="37" t="s">
        <v>405</v>
      </c>
      <c r="AK5" s="37"/>
      <c r="AL5" s="37" t="s">
        <v>406</v>
      </c>
      <c r="AM5" s="37" t="s">
        <v>407</v>
      </c>
      <c r="AN5" s="37" t="s">
        <v>408</v>
      </c>
      <c r="AO5" s="37" t="n">
        <v>2023</v>
      </c>
      <c r="AP5" s="37" t="n">
        <v>215</v>
      </c>
      <c r="AQ5" s="37"/>
      <c r="AR5" s="37"/>
      <c r="AS5" s="37"/>
      <c r="AT5" s="37"/>
      <c r="AU5" s="37" t="n">
        <v>108387</v>
      </c>
      <c r="AV5" s="37" t="s">
        <v>409</v>
      </c>
      <c r="AW5" s="37" t="str">
        <f aca="false">HYPERLINK("http://dx.doi.org/10.1016/j.compag.2023.108387","http://dx.doi.org/10.1016/j.compag.2023.108387")</f>
        <v>http://dx.doi.org/10.1016/j.compag.2023.108387</v>
      </c>
      <c r="AX5" s="37" t="s">
        <v>410</v>
      </c>
      <c r="AY5" s="37" t="n">
        <v>14</v>
      </c>
      <c r="AZ5" s="37" t="s">
        <v>411</v>
      </c>
      <c r="BA5" s="37" t="s">
        <v>331</v>
      </c>
      <c r="BB5" s="37" t="s">
        <v>412</v>
      </c>
      <c r="BC5" s="37" t="s">
        <v>413</v>
      </c>
      <c r="BD5" s="37"/>
      <c r="BE5" s="37"/>
      <c r="BF5" s="37" t="s">
        <v>334</v>
      </c>
      <c r="BG5" s="37" t="s">
        <v>414</v>
      </c>
      <c r="BH5" s="37" t="str">
        <f aca="false">HYPERLINK("https%3A%2F%2Fwww.webofscience.com%2Fwos%2Fwoscc%2Ffull-record%2FWOS:001111487000001","View Full Record in Web of Science")</f>
        <v>View Full Record in Web of Science</v>
      </c>
      <c r="BI5" s="39" t="s">
        <v>336</v>
      </c>
      <c r="BJ5" s="41" t="b">
        <f aca="false">TRUE()</f>
        <v>1</v>
      </c>
      <c r="BK5" s="39"/>
      <c r="BL5" s="39"/>
      <c r="BM5" s="39"/>
      <c r="BN5" s="39"/>
      <c r="BO5" s="39"/>
      <c r="BP5" s="39"/>
      <c r="BQ5" s="39"/>
      <c r="BR5" s="41" t="b">
        <f aca="false">TRUE()</f>
        <v>1</v>
      </c>
      <c r="BS5" s="39"/>
      <c r="BT5" s="39"/>
      <c r="BU5" s="39"/>
      <c r="BV5" s="39"/>
      <c r="BW5" s="39"/>
      <c r="BX5" s="39"/>
      <c r="BY5" s="40"/>
      <c r="BZ5" s="39"/>
      <c r="CA5" s="39"/>
      <c r="CB5" s="39"/>
      <c r="CC5" s="39"/>
      <c r="CD5" s="39"/>
      <c r="CE5" s="39"/>
      <c r="CF5" s="39"/>
      <c r="CG5" s="39"/>
      <c r="CH5" s="39"/>
      <c r="CI5" s="39"/>
      <c r="CJ5" s="39"/>
      <c r="CK5" s="39"/>
      <c r="CL5" s="39"/>
      <c r="CM5" s="39"/>
      <c r="CN5" s="39"/>
      <c r="CO5" s="39"/>
      <c r="CP5" s="39"/>
      <c r="CQ5" s="39"/>
      <c r="CR5" s="39"/>
      <c r="CS5" s="41" t="b">
        <f aca="false">TRUE()</f>
        <v>1</v>
      </c>
      <c r="CT5" s="39"/>
      <c r="CU5" s="39"/>
      <c r="CV5" s="39"/>
      <c r="CW5" s="39"/>
      <c r="CX5" s="39"/>
      <c r="CY5" s="39"/>
      <c r="CZ5" s="39"/>
      <c r="DA5" s="39"/>
      <c r="DB5" s="39"/>
      <c r="DC5" s="39"/>
      <c r="DD5" s="39"/>
      <c r="DE5" s="39"/>
      <c r="DF5" s="41" t="b">
        <f aca="false">TRUE()</f>
        <v>1</v>
      </c>
      <c r="DG5" s="39"/>
      <c r="DH5" s="39"/>
      <c r="DI5" s="39"/>
      <c r="DJ5" s="39"/>
      <c r="DK5" s="39"/>
      <c r="DL5" s="39"/>
      <c r="DM5" s="39"/>
      <c r="DN5" s="39"/>
      <c r="DO5" s="39"/>
      <c r="DP5" s="39"/>
      <c r="DQ5" s="39"/>
      <c r="DR5" s="39"/>
      <c r="DS5" s="39"/>
      <c r="DT5" s="41" t="b">
        <f aca="false">TRUE()</f>
        <v>1</v>
      </c>
      <c r="DU5" s="39"/>
      <c r="DV5" s="39"/>
      <c r="DW5" s="39"/>
      <c r="DX5" s="39"/>
      <c r="DY5" s="39"/>
      <c r="DZ5" s="39"/>
      <c r="EA5" s="41" t="b">
        <f aca="false">TRUE()</f>
        <v>1</v>
      </c>
      <c r="EB5" s="39"/>
      <c r="EC5" s="39"/>
      <c r="ED5" s="39"/>
      <c r="EE5" s="39"/>
      <c r="EF5" s="39"/>
      <c r="EG5" s="39"/>
      <c r="EH5" s="39"/>
      <c r="EI5" s="41" t="b">
        <f aca="false">TRUE()</f>
        <v>1</v>
      </c>
      <c r="EJ5" s="41" t="b">
        <f aca="false">TRUE()</f>
        <v>1</v>
      </c>
      <c r="EK5" s="39"/>
      <c r="EL5" s="39"/>
      <c r="EM5" s="39"/>
      <c r="EN5" s="39"/>
      <c r="EO5" s="39"/>
      <c r="EP5" s="39"/>
      <c r="EQ5" s="39"/>
      <c r="ER5" s="39"/>
      <c r="ES5" s="39"/>
      <c r="ET5" s="39"/>
      <c r="EU5" s="39"/>
      <c r="EV5" s="39"/>
      <c r="EW5" s="39"/>
      <c r="EX5" s="39"/>
      <c r="EY5" s="41" t="b">
        <f aca="false">TRUE()</f>
        <v>1</v>
      </c>
      <c r="EZ5" s="39"/>
      <c r="FA5" s="39"/>
      <c r="FB5" s="39"/>
      <c r="FC5" s="39"/>
      <c r="FD5" s="39"/>
      <c r="FE5" s="39"/>
      <c r="FF5" s="39"/>
      <c r="FG5" s="39"/>
      <c r="FH5" s="39"/>
      <c r="FI5" s="39"/>
      <c r="FJ5" s="39"/>
      <c r="FK5" s="37"/>
      <c r="FL5" s="37"/>
      <c r="FM5" s="37"/>
      <c r="FN5" s="37"/>
      <c r="FO5" s="37"/>
      <c r="FP5" s="39"/>
      <c r="FQ5" s="39"/>
      <c r="FR5" s="39"/>
      <c r="FS5" s="39"/>
      <c r="FT5" s="37"/>
      <c r="FU5" s="37"/>
      <c r="FV5" s="37"/>
      <c r="FW5" s="37"/>
      <c r="FX5" s="37"/>
      <c r="FY5" s="37"/>
      <c r="FZ5" s="39"/>
      <c r="GA5" s="39"/>
      <c r="GB5" s="39"/>
      <c r="GC5" s="39"/>
      <c r="GD5" s="37"/>
      <c r="GE5" s="39"/>
      <c r="GF5" s="39"/>
      <c r="GG5" s="37"/>
      <c r="GH5" s="37"/>
      <c r="GI5" s="37"/>
      <c r="GJ5" s="39"/>
      <c r="GK5" s="39"/>
      <c r="GL5" s="37"/>
      <c r="GM5" s="39"/>
      <c r="GN5" s="37"/>
      <c r="GO5" s="39"/>
      <c r="GP5" s="39"/>
      <c r="GQ5" s="37"/>
      <c r="GR5" s="37"/>
      <c r="GS5" s="37"/>
      <c r="GT5" s="37"/>
      <c r="GU5" s="37"/>
      <c r="GV5" s="39"/>
      <c r="GW5" s="39"/>
      <c r="GX5" s="37"/>
      <c r="GY5" s="37"/>
      <c r="GZ5" s="37"/>
      <c r="HA5" s="37"/>
      <c r="HB5" s="37"/>
      <c r="HC5" s="39"/>
      <c r="HD5" s="39"/>
      <c r="HE5" s="39"/>
      <c r="HF5" s="37"/>
      <c r="HG5" s="37"/>
      <c r="HH5" s="37"/>
      <c r="HI5" s="37"/>
      <c r="HJ5" s="37"/>
      <c r="HK5" s="41" t="b">
        <f aca="false">TRUE()</f>
        <v>1</v>
      </c>
      <c r="HL5" s="37"/>
      <c r="HM5" s="39"/>
      <c r="HN5" s="39"/>
      <c r="HO5" s="37"/>
      <c r="HP5" s="37"/>
      <c r="HQ5" s="37"/>
      <c r="HR5" s="37"/>
      <c r="HS5" s="39"/>
      <c r="HT5" s="37"/>
      <c r="HU5" s="39"/>
      <c r="HV5" s="39"/>
      <c r="HW5" s="39"/>
      <c r="HX5" s="39"/>
      <c r="HY5" s="39"/>
      <c r="HZ5" s="39"/>
      <c r="IA5" s="39"/>
      <c r="IB5" s="39"/>
      <c r="IC5" s="39"/>
      <c r="ID5" s="39"/>
      <c r="IE5" s="39"/>
      <c r="IF5" s="39"/>
      <c r="IG5" s="39"/>
      <c r="IH5" s="39"/>
      <c r="II5" s="39"/>
      <c r="IJ5" s="39"/>
      <c r="IK5" s="39"/>
      <c r="IL5" s="39"/>
      <c r="IM5" s="39"/>
      <c r="IN5" s="39"/>
      <c r="IO5" s="39"/>
      <c r="IP5" s="39"/>
      <c r="IQ5" s="39"/>
      <c r="IR5" s="39"/>
      <c r="IS5" s="39"/>
      <c r="IT5" s="39"/>
      <c r="IU5" s="39"/>
      <c r="IV5" s="39"/>
      <c r="IW5" s="39"/>
      <c r="IX5" s="39"/>
      <c r="IY5" s="39"/>
      <c r="IZ5" s="39"/>
      <c r="JA5" s="39"/>
      <c r="JB5" s="39"/>
      <c r="JC5" s="39"/>
      <c r="JD5" s="39"/>
      <c r="JE5" s="39"/>
      <c r="JF5" s="41" t="b">
        <f aca="false">TRUE()</f>
        <v>1</v>
      </c>
      <c r="JG5" s="39"/>
      <c r="JH5" s="39"/>
      <c r="JI5" s="39"/>
      <c r="JJ5" s="39"/>
      <c r="JK5" s="39"/>
      <c r="JL5" s="39"/>
      <c r="JM5" s="39"/>
      <c r="JN5" s="39"/>
      <c r="JO5" s="39"/>
      <c r="JP5" s="39"/>
      <c r="JQ5" s="39"/>
      <c r="JR5" s="39"/>
      <c r="JS5" s="39"/>
      <c r="JT5" s="41" t="b">
        <f aca="false">TRUE()</f>
        <v>1</v>
      </c>
      <c r="JU5" s="39"/>
      <c r="JV5" s="39"/>
      <c r="JW5" s="39"/>
      <c r="JX5" s="39"/>
      <c r="JY5" s="39"/>
      <c r="JZ5" s="39"/>
      <c r="KA5" s="39"/>
      <c r="KB5" s="39"/>
      <c r="KC5" s="39"/>
      <c r="KD5" s="39"/>
      <c r="KE5" s="39"/>
      <c r="KF5" s="39"/>
      <c r="KG5" s="39"/>
      <c r="KH5" s="39"/>
      <c r="KI5" s="39"/>
      <c r="KJ5" s="39"/>
      <c r="KK5" s="39"/>
      <c r="KL5" s="39"/>
      <c r="KM5" s="39"/>
      <c r="KN5" s="39"/>
      <c r="KO5" s="39"/>
      <c r="KP5" s="41" t="b">
        <f aca="false">TRUE()</f>
        <v>1</v>
      </c>
      <c r="KQ5" s="39"/>
      <c r="KR5" s="40"/>
      <c r="KS5" s="40"/>
      <c r="KT5" s="38" t="b">
        <f aca="false">TRUE()</f>
        <v>1</v>
      </c>
      <c r="KU5" s="44"/>
    </row>
    <row r="6" customFormat="false" ht="14.4" hidden="false" customHeight="false" outlineLevel="0" collapsed="false">
      <c r="A6" s="37" t="s">
        <v>305</v>
      </c>
      <c r="B6" s="37" t="s">
        <v>415</v>
      </c>
      <c r="C6" s="37"/>
      <c r="D6" s="37"/>
      <c r="E6" s="37"/>
      <c r="F6" s="37" t="s">
        <v>416</v>
      </c>
      <c r="G6" s="37" t="s">
        <v>417</v>
      </c>
      <c r="H6" s="37" t="s">
        <v>418</v>
      </c>
      <c r="I6" s="37" t="s">
        <v>310</v>
      </c>
      <c r="J6" s="37" t="s">
        <v>311</v>
      </c>
      <c r="K6" s="37"/>
      <c r="L6" s="37"/>
      <c r="M6" s="37"/>
      <c r="N6" s="37"/>
      <c r="O6" s="37" t="s">
        <v>419</v>
      </c>
      <c r="P6" s="37" t="s">
        <v>420</v>
      </c>
      <c r="Q6" s="37" t="s">
        <v>421</v>
      </c>
      <c r="R6" s="37" t="s">
        <v>422</v>
      </c>
      <c r="S6" s="37" t="s">
        <v>423</v>
      </c>
      <c r="T6" s="37" t="s">
        <v>424</v>
      </c>
      <c r="U6" s="37" t="s">
        <v>425</v>
      </c>
      <c r="V6" s="37"/>
      <c r="W6" s="37"/>
      <c r="X6" s="37" t="s">
        <v>426</v>
      </c>
      <c r="Y6" s="37" t="s">
        <v>426</v>
      </c>
      <c r="Z6" s="37" t="s">
        <v>427</v>
      </c>
      <c r="AA6" s="37" t="n">
        <v>41</v>
      </c>
      <c r="AB6" s="37" t="n">
        <v>0</v>
      </c>
      <c r="AC6" s="37" t="n">
        <v>0</v>
      </c>
      <c r="AD6" s="37" t="n">
        <v>17</v>
      </c>
      <c r="AE6" s="37" t="n">
        <v>24</v>
      </c>
      <c r="AF6" s="37" t="s">
        <v>428</v>
      </c>
      <c r="AG6" s="37" t="s">
        <v>429</v>
      </c>
      <c r="AH6" s="37" t="s">
        <v>430</v>
      </c>
      <c r="AI6" s="37" t="s">
        <v>431</v>
      </c>
      <c r="AJ6" s="37" t="s">
        <v>432</v>
      </c>
      <c r="AK6" s="37"/>
      <c r="AL6" s="37" t="s">
        <v>433</v>
      </c>
      <c r="AM6" s="37" t="s">
        <v>434</v>
      </c>
      <c r="AN6" s="37" t="s">
        <v>435</v>
      </c>
      <c r="AO6" s="37" t="n">
        <v>2024</v>
      </c>
      <c r="AP6" s="37" t="n">
        <v>73</v>
      </c>
      <c r="AQ6" s="37" t="n">
        <v>4</v>
      </c>
      <c r="AR6" s="37"/>
      <c r="AS6" s="37" t="n">
        <v>1373</v>
      </c>
      <c r="AT6" s="37" t="n">
        <v>1390</v>
      </c>
      <c r="AU6" s="37"/>
      <c r="AV6" s="37" t="s">
        <v>436</v>
      </c>
      <c r="AW6" s="37" t="str">
        <f aca="false">HYPERLINK("http://dx.doi.org/10.1002/ird.2942","http://dx.doi.org/10.1002/ird.2942")</f>
        <v>http://dx.doi.org/10.1002/ird.2942</v>
      </c>
      <c r="AX6" s="37" t="s">
        <v>437</v>
      </c>
      <c r="AY6" s="37" t="n">
        <v>18</v>
      </c>
      <c r="AZ6" s="37" t="s">
        <v>438</v>
      </c>
      <c r="BA6" s="37" t="s">
        <v>331</v>
      </c>
      <c r="BB6" s="37" t="s">
        <v>439</v>
      </c>
      <c r="BC6" s="37" t="s">
        <v>440</v>
      </c>
      <c r="BD6" s="37"/>
      <c r="BE6" s="37"/>
      <c r="BF6" s="37" t="s">
        <v>334</v>
      </c>
      <c r="BG6" s="37" t="s">
        <v>441</v>
      </c>
      <c r="BH6" s="37" t="str">
        <f aca="false">HYPERLINK("https%3A%2F%2Fwww.webofscience.com%2Fwos%2Fwoscc%2Ffull-record%2FWOS:001175300600001","View Full Record in Web of Science")</f>
        <v>View Full Record in Web of Science</v>
      </c>
      <c r="BI6" s="40" t="s">
        <v>336</v>
      </c>
      <c r="BJ6" s="39"/>
      <c r="BK6" s="39"/>
      <c r="BL6" s="40"/>
      <c r="BM6" s="40"/>
      <c r="BN6" s="40"/>
      <c r="BO6" s="40"/>
      <c r="BP6" s="39"/>
      <c r="BQ6" s="39"/>
      <c r="BR6" s="38" t="b">
        <f aca="false">TRUE()</f>
        <v>1</v>
      </c>
      <c r="BS6" s="39"/>
      <c r="BT6" s="40"/>
      <c r="BU6" s="40"/>
      <c r="BV6" s="39"/>
      <c r="BW6" s="39"/>
      <c r="BX6" s="40"/>
      <c r="BY6" s="41" t="b">
        <f aca="false">TRUE()</f>
        <v>1</v>
      </c>
      <c r="BZ6" s="39"/>
      <c r="CA6" s="39"/>
      <c r="CB6" s="39"/>
      <c r="CC6" s="39"/>
      <c r="CD6" s="39"/>
      <c r="CE6" s="39"/>
      <c r="CF6" s="40"/>
      <c r="CG6" s="39"/>
      <c r="CH6" s="39"/>
      <c r="CI6" s="39"/>
      <c r="CJ6" s="39"/>
      <c r="CK6" s="39"/>
      <c r="CL6" s="40"/>
      <c r="CM6" s="39"/>
      <c r="CN6" s="40"/>
      <c r="CO6" s="40"/>
      <c r="CP6" s="40"/>
      <c r="CQ6" s="40"/>
      <c r="CR6" s="40"/>
      <c r="CS6" s="39"/>
      <c r="CT6" s="40"/>
      <c r="CU6" s="40"/>
      <c r="CV6" s="40"/>
      <c r="CW6" s="40"/>
      <c r="CX6" s="40"/>
      <c r="CY6" s="40"/>
      <c r="CZ6" s="40"/>
      <c r="DA6" s="40"/>
      <c r="DB6" s="40"/>
      <c r="DC6" s="40"/>
      <c r="DD6" s="40"/>
      <c r="DE6" s="40"/>
      <c r="DF6" s="39"/>
      <c r="DG6" s="39"/>
      <c r="DH6" s="40"/>
      <c r="DI6" s="40"/>
      <c r="DJ6" s="40"/>
      <c r="DK6" s="40"/>
      <c r="DL6" s="39"/>
      <c r="DM6" s="39"/>
      <c r="DN6" s="40"/>
      <c r="DO6" s="39"/>
      <c r="DP6" s="40"/>
      <c r="DQ6" s="40"/>
      <c r="DR6" s="40"/>
      <c r="DS6" s="40"/>
      <c r="DT6" s="39"/>
      <c r="DU6" s="39"/>
      <c r="DV6" s="39"/>
      <c r="DW6" s="40"/>
      <c r="DX6" s="39"/>
      <c r="DY6" s="39"/>
      <c r="DZ6" s="40"/>
      <c r="EA6" s="39"/>
      <c r="EB6" s="39"/>
      <c r="EC6" s="39"/>
      <c r="ED6" s="39"/>
      <c r="EE6" s="39"/>
      <c r="EF6" s="39"/>
      <c r="EG6" s="39"/>
      <c r="EH6" s="39"/>
      <c r="EI6" s="39"/>
      <c r="EJ6" s="39"/>
      <c r="EK6" s="39"/>
      <c r="EL6" s="39"/>
      <c r="EM6" s="39"/>
      <c r="EN6" s="39"/>
      <c r="EO6" s="39"/>
      <c r="EP6" s="39"/>
      <c r="EQ6" s="39"/>
      <c r="ER6" s="39"/>
      <c r="ES6" s="39"/>
      <c r="ET6" s="39"/>
      <c r="EU6" s="39"/>
      <c r="EV6" s="39"/>
      <c r="EW6" s="39"/>
      <c r="EX6" s="39"/>
      <c r="EY6" s="41" t="b">
        <f aca="false">TRUE()</f>
        <v>1</v>
      </c>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41" t="b">
        <f aca="false">TRUE()</f>
        <v>1</v>
      </c>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41" t="b">
        <f aca="false">TRUE()</f>
        <v>1</v>
      </c>
      <c r="JN6" s="41" t="b">
        <f aca="false">TRUE()</f>
        <v>1</v>
      </c>
      <c r="JO6" s="39"/>
      <c r="JP6" s="39"/>
      <c r="JQ6" s="39"/>
      <c r="JR6" s="39"/>
      <c r="JS6" s="39"/>
      <c r="JT6" s="41" t="b">
        <f aca="false">TRUE()</f>
        <v>1</v>
      </c>
      <c r="JU6" s="41" t="b">
        <f aca="false">TRUE()</f>
        <v>1</v>
      </c>
      <c r="JV6" s="39"/>
      <c r="JW6" s="39"/>
      <c r="JX6" s="39"/>
      <c r="JY6" s="39"/>
      <c r="JZ6" s="39"/>
      <c r="KA6" s="39"/>
      <c r="KB6" s="39"/>
      <c r="KC6" s="41" t="b">
        <f aca="false">TRUE()</f>
        <v>1</v>
      </c>
      <c r="KD6" s="39"/>
      <c r="KE6" s="39"/>
      <c r="KF6" s="39"/>
      <c r="KG6" s="39"/>
      <c r="KH6" s="39"/>
      <c r="KI6" s="39"/>
      <c r="KJ6" s="39"/>
      <c r="KK6" s="39"/>
      <c r="KL6" s="39"/>
      <c r="KM6" s="39"/>
      <c r="KN6" s="39"/>
      <c r="KO6" s="39"/>
      <c r="KP6" s="38" t="b">
        <f aca="false">TRUE()</f>
        <v>1</v>
      </c>
      <c r="KQ6" s="40"/>
      <c r="KR6" s="40"/>
      <c r="KS6" s="40"/>
      <c r="KT6" s="38" t="b">
        <f aca="false">TRUE()</f>
        <v>1</v>
      </c>
      <c r="KU6" s="44"/>
    </row>
    <row r="7" customFormat="false" ht="14.4" hidden="false" customHeight="false" outlineLevel="0" collapsed="false">
      <c r="A7" s="37" t="s">
        <v>305</v>
      </c>
      <c r="B7" s="37" t="s">
        <v>442</v>
      </c>
      <c r="C7" s="37"/>
      <c r="D7" s="37"/>
      <c r="E7" s="37"/>
      <c r="F7" s="37" t="s">
        <v>443</v>
      </c>
      <c r="G7" s="37" t="s">
        <v>444</v>
      </c>
      <c r="H7" s="37" t="s">
        <v>445</v>
      </c>
      <c r="I7" s="37" t="s">
        <v>310</v>
      </c>
      <c r="J7" s="37" t="s">
        <v>311</v>
      </c>
      <c r="K7" s="37"/>
      <c r="L7" s="37"/>
      <c r="M7" s="37"/>
      <c r="N7" s="37"/>
      <c r="O7" s="37" t="s">
        <v>446</v>
      </c>
      <c r="P7" s="37" t="s">
        <v>447</v>
      </c>
      <c r="Q7" s="37" t="s">
        <v>448</v>
      </c>
      <c r="R7" s="37" t="s">
        <v>449</v>
      </c>
      <c r="S7" s="37" t="s">
        <v>450</v>
      </c>
      <c r="T7" s="37" t="s">
        <v>451</v>
      </c>
      <c r="U7" s="37" t="s">
        <v>452</v>
      </c>
      <c r="V7" s="37" t="s">
        <v>453</v>
      </c>
      <c r="W7" s="37" t="s">
        <v>454</v>
      </c>
      <c r="X7" s="37"/>
      <c r="Y7" s="37"/>
      <c r="Z7" s="37"/>
      <c r="AA7" s="37" t="n">
        <v>62</v>
      </c>
      <c r="AB7" s="37" t="n">
        <v>11</v>
      </c>
      <c r="AC7" s="37" t="n">
        <v>11</v>
      </c>
      <c r="AD7" s="37" t="n">
        <v>6</v>
      </c>
      <c r="AE7" s="37" t="n">
        <v>30</v>
      </c>
      <c r="AF7" s="37" t="s">
        <v>353</v>
      </c>
      <c r="AG7" s="37" t="s">
        <v>354</v>
      </c>
      <c r="AH7" s="37" t="s">
        <v>355</v>
      </c>
      <c r="AI7" s="37" t="s">
        <v>455</v>
      </c>
      <c r="AJ7" s="37" t="s">
        <v>456</v>
      </c>
      <c r="AK7" s="37"/>
      <c r="AL7" s="37" t="s">
        <v>457</v>
      </c>
      <c r="AM7" s="37" t="s">
        <v>458</v>
      </c>
      <c r="AN7" s="37" t="s">
        <v>459</v>
      </c>
      <c r="AO7" s="37" t="n">
        <v>2022</v>
      </c>
      <c r="AP7" s="37" t="n">
        <v>125</v>
      </c>
      <c r="AQ7" s="37"/>
      <c r="AR7" s="37"/>
      <c r="AS7" s="37"/>
      <c r="AT7" s="37"/>
      <c r="AU7" s="37" t="n">
        <v>109113</v>
      </c>
      <c r="AV7" s="37" t="s">
        <v>460</v>
      </c>
      <c r="AW7" s="37" t="str">
        <f aca="false">HYPERLINK("http://dx.doi.org/10.1016/j.asoc.2022.109113","http://dx.doi.org/10.1016/j.asoc.2022.109113")</f>
        <v>http://dx.doi.org/10.1016/j.asoc.2022.109113</v>
      </c>
      <c r="AX7" s="37"/>
      <c r="AY7" s="37" t="n">
        <v>16</v>
      </c>
      <c r="AZ7" s="37" t="s">
        <v>461</v>
      </c>
      <c r="BA7" s="37" t="s">
        <v>331</v>
      </c>
      <c r="BB7" s="37" t="s">
        <v>462</v>
      </c>
      <c r="BC7" s="37" t="s">
        <v>463</v>
      </c>
      <c r="BD7" s="37"/>
      <c r="BE7" s="37"/>
      <c r="BF7" s="37" t="s">
        <v>334</v>
      </c>
      <c r="BG7" s="37" t="s">
        <v>464</v>
      </c>
      <c r="BH7" s="37" t="str">
        <f aca="false">HYPERLINK("https%3A%2F%2Fwww.webofscience.com%2Fwos%2Fwoscc%2Ffull-record%2FWOS:000835742800008","View Full Record in Web of Science")</f>
        <v>View Full Record in Web of Science</v>
      </c>
      <c r="BI7" s="40" t="s">
        <v>336</v>
      </c>
      <c r="BJ7" s="39"/>
      <c r="BK7" s="39"/>
      <c r="BL7" s="40"/>
      <c r="BM7" s="40"/>
      <c r="BN7" s="40"/>
      <c r="BO7" s="40"/>
      <c r="BP7" s="39"/>
      <c r="BQ7" s="39"/>
      <c r="BR7" s="39"/>
      <c r="BS7" s="39"/>
      <c r="BT7" s="39"/>
      <c r="BU7" s="39"/>
      <c r="BV7" s="39"/>
      <c r="BW7" s="39"/>
      <c r="BX7" s="39"/>
      <c r="BY7" s="40"/>
      <c r="BZ7" s="39"/>
      <c r="CA7" s="39"/>
      <c r="CB7" s="39"/>
      <c r="CC7" s="39"/>
      <c r="CD7" s="39"/>
      <c r="CE7" s="39"/>
      <c r="CF7" s="40"/>
      <c r="CG7" s="39"/>
      <c r="CH7" s="39"/>
      <c r="CI7" s="39"/>
      <c r="CJ7" s="39"/>
      <c r="CK7" s="39"/>
      <c r="CL7" s="40"/>
      <c r="CM7" s="39"/>
      <c r="CN7" s="40"/>
      <c r="CO7" s="40"/>
      <c r="CP7" s="40"/>
      <c r="CQ7" s="40"/>
      <c r="CR7" s="40"/>
      <c r="CS7" s="39"/>
      <c r="CT7" s="40"/>
      <c r="CU7" s="40"/>
      <c r="CV7" s="40"/>
      <c r="CW7" s="40"/>
      <c r="CX7" s="40"/>
      <c r="CY7" s="40"/>
      <c r="CZ7" s="40"/>
      <c r="DA7" s="40"/>
      <c r="DB7" s="40"/>
      <c r="DC7" s="40"/>
      <c r="DD7" s="40"/>
      <c r="DE7" s="40"/>
      <c r="DF7" s="39"/>
      <c r="DG7" s="39"/>
      <c r="DH7" s="40"/>
      <c r="DI7" s="40"/>
      <c r="DJ7" s="40"/>
      <c r="DK7" s="40"/>
      <c r="DL7" s="39"/>
      <c r="DM7" s="39"/>
      <c r="DN7" s="40"/>
      <c r="DO7" s="39"/>
      <c r="DP7" s="40"/>
      <c r="DQ7" s="40"/>
      <c r="DR7" s="40"/>
      <c r="DS7" s="40"/>
      <c r="DT7" s="39"/>
      <c r="DU7" s="39"/>
      <c r="DV7" s="39"/>
      <c r="DW7" s="38" t="b">
        <f aca="false">TRUE()</f>
        <v>1</v>
      </c>
      <c r="DX7" s="39"/>
      <c r="DY7" s="39"/>
      <c r="DZ7" s="40"/>
      <c r="EA7" s="39"/>
      <c r="EB7" s="39"/>
      <c r="EC7" s="39"/>
      <c r="ED7" s="39"/>
      <c r="EE7" s="39"/>
      <c r="EF7" s="39"/>
      <c r="EG7" s="39"/>
      <c r="EH7" s="39"/>
      <c r="EI7" s="39"/>
      <c r="EJ7" s="39"/>
      <c r="EK7" s="39"/>
      <c r="EL7" s="39"/>
      <c r="EM7" s="39"/>
      <c r="EN7" s="39"/>
      <c r="EO7" s="39"/>
      <c r="EP7" s="39"/>
      <c r="EQ7" s="39"/>
      <c r="ER7" s="39"/>
      <c r="ES7" s="39"/>
      <c r="ET7" s="39"/>
      <c r="EU7" s="39"/>
      <c r="EV7" s="39"/>
      <c r="EW7" s="39"/>
      <c r="EX7" s="39"/>
      <c r="EY7" s="38" t="b">
        <f aca="false">TRUE()</f>
        <v>1</v>
      </c>
      <c r="EZ7" s="39"/>
      <c r="FA7" s="39"/>
      <c r="FB7" s="40"/>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41" t="b">
        <f aca="false">TRUE()</f>
        <v>1</v>
      </c>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40"/>
      <c r="JT7" s="38" t="b">
        <f aca="false">TRUE()</f>
        <v>1</v>
      </c>
      <c r="JU7" s="40"/>
      <c r="JV7" s="40"/>
      <c r="JW7" s="40"/>
      <c r="JX7" s="40"/>
      <c r="JY7" s="40"/>
      <c r="JZ7" s="40"/>
      <c r="KA7" s="40"/>
      <c r="KB7" s="40"/>
      <c r="KC7" s="40"/>
      <c r="KD7" s="40"/>
      <c r="KE7" s="40"/>
      <c r="KF7" s="40"/>
      <c r="KG7" s="40"/>
      <c r="KH7" s="40"/>
      <c r="KI7" s="40"/>
      <c r="KJ7" s="40"/>
      <c r="KK7" s="39"/>
      <c r="KL7" s="40"/>
      <c r="KM7" s="40"/>
      <c r="KN7" s="40"/>
      <c r="KO7" s="40"/>
      <c r="KP7" s="38" t="b">
        <f aca="false">TRUE()</f>
        <v>1</v>
      </c>
      <c r="KQ7" s="40"/>
      <c r="KR7" s="40"/>
      <c r="KS7" s="40"/>
      <c r="KT7" s="38" t="b">
        <f aca="false">TRUE()</f>
        <v>1</v>
      </c>
      <c r="KU7" s="44"/>
    </row>
    <row r="8" customFormat="false" ht="14.4" hidden="false" customHeight="false" outlineLevel="0" collapsed="false">
      <c r="A8" s="37" t="s">
        <v>305</v>
      </c>
      <c r="B8" s="37" t="s">
        <v>465</v>
      </c>
      <c r="C8" s="37"/>
      <c r="D8" s="37"/>
      <c r="E8" s="37"/>
      <c r="F8" s="37" t="s">
        <v>466</v>
      </c>
      <c r="G8" s="37" t="s">
        <v>467</v>
      </c>
      <c r="H8" s="37" t="s">
        <v>388</v>
      </c>
      <c r="I8" s="37" t="s">
        <v>310</v>
      </c>
      <c r="J8" s="37" t="s">
        <v>311</v>
      </c>
      <c r="K8" s="37"/>
      <c r="L8" s="37"/>
      <c r="M8" s="37"/>
      <c r="N8" s="37"/>
      <c r="O8" s="37" t="s">
        <v>468</v>
      </c>
      <c r="P8" s="37" t="s">
        <v>469</v>
      </c>
      <c r="Q8" s="37" t="s">
        <v>470</v>
      </c>
      <c r="R8" s="37" t="s">
        <v>471</v>
      </c>
      <c r="S8" s="37" t="s">
        <v>450</v>
      </c>
      <c r="T8" s="37" t="s">
        <v>472</v>
      </c>
      <c r="U8" s="37" t="s">
        <v>473</v>
      </c>
      <c r="V8" s="37" t="s">
        <v>474</v>
      </c>
      <c r="W8" s="37" t="s">
        <v>475</v>
      </c>
      <c r="X8" s="37"/>
      <c r="Y8" s="37"/>
      <c r="Z8" s="37"/>
      <c r="AA8" s="37" t="n">
        <v>45</v>
      </c>
      <c r="AB8" s="37" t="n">
        <v>163</v>
      </c>
      <c r="AC8" s="37" t="n">
        <v>166</v>
      </c>
      <c r="AD8" s="37" t="n">
        <v>7</v>
      </c>
      <c r="AE8" s="37" t="n">
        <v>57</v>
      </c>
      <c r="AF8" s="37" t="s">
        <v>401</v>
      </c>
      <c r="AG8" s="37" t="s">
        <v>402</v>
      </c>
      <c r="AH8" s="37" t="s">
        <v>403</v>
      </c>
      <c r="AI8" s="37" t="s">
        <v>404</v>
      </c>
      <c r="AJ8" s="37" t="s">
        <v>405</v>
      </c>
      <c r="AK8" s="37"/>
      <c r="AL8" s="37" t="s">
        <v>406</v>
      </c>
      <c r="AM8" s="37" t="s">
        <v>407</v>
      </c>
      <c r="AN8" s="37" t="s">
        <v>328</v>
      </c>
      <c r="AO8" s="37" t="n">
        <v>2019</v>
      </c>
      <c r="AP8" s="37" t="n">
        <v>156</v>
      </c>
      <c r="AQ8" s="37"/>
      <c r="AR8" s="37"/>
      <c r="AS8" s="37" t="n">
        <v>387</v>
      </c>
      <c r="AT8" s="37" t="n">
        <v>398</v>
      </c>
      <c r="AU8" s="37"/>
      <c r="AV8" s="37" t="s">
        <v>476</v>
      </c>
      <c r="AW8" s="37" t="str">
        <f aca="false">HYPERLINK("http://dx.doi.org/10.1016/j.compag.2018.11.031","http://dx.doi.org/10.1016/j.compag.2018.11.031")</f>
        <v>http://dx.doi.org/10.1016/j.compag.2018.11.031</v>
      </c>
      <c r="AX8" s="37"/>
      <c r="AY8" s="37" t="n">
        <v>12</v>
      </c>
      <c r="AZ8" s="37" t="s">
        <v>411</v>
      </c>
      <c r="BA8" s="37" t="s">
        <v>331</v>
      </c>
      <c r="BB8" s="37" t="s">
        <v>412</v>
      </c>
      <c r="BC8" s="37" t="s">
        <v>477</v>
      </c>
      <c r="BD8" s="37"/>
      <c r="BE8" s="37"/>
      <c r="BF8" s="37" t="s">
        <v>334</v>
      </c>
      <c r="BG8" s="37" t="s">
        <v>478</v>
      </c>
      <c r="BH8" s="37" t="str">
        <f aca="false">HYPERLINK("https%3A%2F%2Fwww.webofscience.com%2Fwos%2Fwoscc%2Ffull-record%2FWOS:000456754100038","View Full Record in Web of Science")</f>
        <v>View Full Record in Web of Science</v>
      </c>
      <c r="BI8" s="40" t="s">
        <v>336</v>
      </c>
      <c r="BJ8" s="39"/>
      <c r="BK8" s="39"/>
      <c r="BL8" s="40"/>
      <c r="BM8" s="40"/>
      <c r="BN8" s="40"/>
      <c r="BO8" s="38" t="b">
        <f aca="false">TRUE()</f>
        <v>1</v>
      </c>
      <c r="BP8" s="39"/>
      <c r="BQ8" s="39"/>
      <c r="BR8" s="39"/>
      <c r="BS8" s="39"/>
      <c r="BT8" s="39"/>
      <c r="BU8" s="39"/>
      <c r="BV8" s="39"/>
      <c r="BW8" s="39"/>
      <c r="BX8" s="39"/>
      <c r="BY8" s="39"/>
      <c r="BZ8" s="39"/>
      <c r="CA8" s="39"/>
      <c r="CB8" s="39"/>
      <c r="CC8" s="39"/>
      <c r="CD8" s="39"/>
      <c r="CE8" s="39"/>
      <c r="CF8" s="40"/>
      <c r="CG8" s="39"/>
      <c r="CH8" s="39"/>
      <c r="CI8" s="39"/>
      <c r="CJ8" s="39"/>
      <c r="CK8" s="39"/>
      <c r="CL8" s="40"/>
      <c r="CM8" s="39"/>
      <c r="CN8" s="40"/>
      <c r="CO8" s="40"/>
      <c r="CP8" s="40"/>
      <c r="CQ8" s="40"/>
      <c r="CR8" s="39"/>
      <c r="CS8" s="39"/>
      <c r="CT8" s="40"/>
      <c r="CU8" s="40"/>
      <c r="CV8" s="40"/>
      <c r="CW8" s="38" t="b">
        <f aca="false">TRUE()</f>
        <v>1</v>
      </c>
      <c r="CX8" s="40"/>
      <c r="CY8" s="40"/>
      <c r="CZ8" s="38" t="b">
        <f aca="false">TRUE()</f>
        <v>1</v>
      </c>
      <c r="DA8" s="40"/>
      <c r="DB8" s="40"/>
      <c r="DC8" s="40"/>
      <c r="DD8" s="40"/>
      <c r="DE8" s="40"/>
      <c r="DF8" s="39"/>
      <c r="DG8" s="39"/>
      <c r="DH8" s="38" t="b">
        <f aca="false">TRUE()</f>
        <v>1</v>
      </c>
      <c r="DI8" s="40"/>
      <c r="DJ8" s="40"/>
      <c r="DK8" s="40"/>
      <c r="DL8" s="39"/>
      <c r="DM8" s="39"/>
      <c r="DN8" s="40"/>
      <c r="DO8" s="39"/>
      <c r="DP8" s="40"/>
      <c r="DQ8" s="40"/>
      <c r="DR8" s="40"/>
      <c r="DS8" s="40"/>
      <c r="DT8" s="39"/>
      <c r="DU8" s="39"/>
      <c r="DV8" s="39"/>
      <c r="DW8" s="39"/>
      <c r="DX8" s="39"/>
      <c r="DY8" s="39"/>
      <c r="DZ8" s="39"/>
      <c r="EA8" s="38" t="b">
        <f aca="false">TRUE()</f>
        <v>1</v>
      </c>
      <c r="EB8" s="38" t="b">
        <f aca="false">TRUE()</f>
        <v>1</v>
      </c>
      <c r="EC8" s="40"/>
      <c r="ED8" s="40"/>
      <c r="EE8" s="40"/>
      <c r="EF8" s="40"/>
      <c r="EG8" s="39"/>
      <c r="EH8" s="39"/>
      <c r="EI8" s="39"/>
      <c r="EJ8" s="39"/>
      <c r="EK8" s="40"/>
      <c r="EL8" s="40"/>
      <c r="EM8" s="39"/>
      <c r="EN8" s="40"/>
      <c r="EO8" s="40"/>
      <c r="EP8" s="39"/>
      <c r="EQ8" s="39"/>
      <c r="ER8" s="40"/>
      <c r="ES8" s="40"/>
      <c r="ET8" s="40"/>
      <c r="EU8" s="40"/>
      <c r="EV8" s="40"/>
      <c r="EW8" s="40"/>
      <c r="EX8" s="39"/>
      <c r="EY8" s="38" t="b">
        <f aca="false">TRUE()</f>
        <v>1</v>
      </c>
      <c r="EZ8" s="39"/>
      <c r="FA8" s="40"/>
      <c r="FB8" s="40"/>
      <c r="FC8" s="38" t="b">
        <f aca="false">TRUE()</f>
        <v>1</v>
      </c>
      <c r="FD8" s="40"/>
      <c r="FE8" s="40"/>
      <c r="FF8" s="38" t="b">
        <f aca="false">TRUE()</f>
        <v>1</v>
      </c>
      <c r="FG8" s="40"/>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41" t="b">
        <f aca="false">TRUE()</f>
        <v>1</v>
      </c>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40"/>
      <c r="JT8" s="39"/>
      <c r="JU8" s="39"/>
      <c r="JV8" s="39"/>
      <c r="JW8" s="39"/>
      <c r="JX8" s="39"/>
      <c r="JY8" s="39"/>
      <c r="JZ8" s="39"/>
      <c r="KA8" s="39"/>
      <c r="KB8" s="39"/>
      <c r="KC8" s="39"/>
      <c r="KD8" s="39"/>
      <c r="KE8" s="39"/>
      <c r="KF8" s="39"/>
      <c r="KG8" s="39"/>
      <c r="KH8" s="39"/>
      <c r="KI8" s="39"/>
      <c r="KJ8" s="39"/>
      <c r="KK8" s="39"/>
      <c r="KL8" s="39"/>
      <c r="KM8" s="39"/>
      <c r="KN8" s="39"/>
      <c r="KO8" s="39"/>
      <c r="KP8" s="41" t="b">
        <f aca="false">TRUE()</f>
        <v>1</v>
      </c>
      <c r="KQ8" s="39"/>
      <c r="KR8" s="40"/>
      <c r="KS8" s="40"/>
      <c r="KT8" s="38" t="b">
        <f aca="false">TRUE()</f>
        <v>1</v>
      </c>
      <c r="KU8" s="44"/>
    </row>
    <row r="9" customFormat="false" ht="14.4" hidden="false" customHeight="false" outlineLevel="0" collapsed="false">
      <c r="A9" s="37" t="s">
        <v>305</v>
      </c>
      <c r="B9" s="37" t="s">
        <v>479</v>
      </c>
      <c r="C9" s="37"/>
      <c r="D9" s="37"/>
      <c r="E9" s="37"/>
      <c r="F9" s="37" t="s">
        <v>480</v>
      </c>
      <c r="G9" s="37" t="s">
        <v>481</v>
      </c>
      <c r="H9" s="37" t="s">
        <v>482</v>
      </c>
      <c r="I9" s="37" t="s">
        <v>310</v>
      </c>
      <c r="J9" s="37" t="s">
        <v>311</v>
      </c>
      <c r="K9" s="37"/>
      <c r="L9" s="37"/>
      <c r="M9" s="37"/>
      <c r="N9" s="37"/>
      <c r="O9" s="37" t="s">
        <v>483</v>
      </c>
      <c r="P9" s="37" t="s">
        <v>484</v>
      </c>
      <c r="Q9" s="37" t="s">
        <v>485</v>
      </c>
      <c r="R9" s="37" t="s">
        <v>486</v>
      </c>
      <c r="S9" s="37" t="s">
        <v>487</v>
      </c>
      <c r="T9" s="37" t="s">
        <v>488</v>
      </c>
      <c r="U9" s="37" t="s">
        <v>489</v>
      </c>
      <c r="V9" s="37" t="s">
        <v>490</v>
      </c>
      <c r="W9" s="37" t="s">
        <v>491</v>
      </c>
      <c r="X9" s="37"/>
      <c r="Y9" s="37"/>
      <c r="Z9" s="37"/>
      <c r="AA9" s="37" t="n">
        <v>39</v>
      </c>
      <c r="AB9" s="37" t="n">
        <v>5</v>
      </c>
      <c r="AC9" s="37" t="n">
        <v>6</v>
      </c>
      <c r="AD9" s="37" t="n">
        <v>5</v>
      </c>
      <c r="AE9" s="37" t="n">
        <v>16</v>
      </c>
      <c r="AF9" s="37" t="s">
        <v>492</v>
      </c>
      <c r="AG9" s="37" t="s">
        <v>493</v>
      </c>
      <c r="AH9" s="37" t="s">
        <v>494</v>
      </c>
      <c r="AI9" s="37" t="s">
        <v>495</v>
      </c>
      <c r="AJ9" s="37" t="s">
        <v>496</v>
      </c>
      <c r="AK9" s="37"/>
      <c r="AL9" s="37" t="s">
        <v>497</v>
      </c>
      <c r="AM9" s="37" t="s">
        <v>498</v>
      </c>
      <c r="AN9" s="37"/>
      <c r="AO9" s="37" t="n">
        <v>2023</v>
      </c>
      <c r="AP9" s="37" t="n">
        <v>32</v>
      </c>
      <c r="AQ9" s="37" t="n">
        <v>2</v>
      </c>
      <c r="AR9" s="37"/>
      <c r="AS9" s="37" t="n">
        <v>1009</v>
      </c>
      <c r="AT9" s="37" t="n">
        <v>1023</v>
      </c>
      <c r="AU9" s="37"/>
      <c r="AV9" s="37" t="s">
        <v>499</v>
      </c>
      <c r="AW9" s="37" t="str">
        <f aca="false">HYPERLINK("http://dx.doi.org/10.15244/pjoes/156927","http://dx.doi.org/10.15244/pjoes/156927")</f>
        <v>http://dx.doi.org/10.15244/pjoes/156927</v>
      </c>
      <c r="AX9" s="37"/>
      <c r="AY9" s="37" t="n">
        <v>15</v>
      </c>
      <c r="AZ9" s="37" t="s">
        <v>500</v>
      </c>
      <c r="BA9" s="37" t="s">
        <v>331</v>
      </c>
      <c r="BB9" s="37" t="s">
        <v>501</v>
      </c>
      <c r="BC9" s="37" t="s">
        <v>502</v>
      </c>
      <c r="BD9" s="37"/>
      <c r="BE9" s="37" t="s">
        <v>503</v>
      </c>
      <c r="BF9" s="37" t="s">
        <v>334</v>
      </c>
      <c r="BG9" s="37" t="s">
        <v>504</v>
      </c>
      <c r="BH9" s="37" t="str">
        <f aca="false">HYPERLINK("https%3A%2F%2Fwww.webofscience.com%2Fwos%2Fwoscc%2Ffull-record%2FWOS:001020663500004","View Full Record in Web of Science")</f>
        <v>View Full Record in Web of Science</v>
      </c>
      <c r="BI9" s="40" t="s">
        <v>336</v>
      </c>
      <c r="BJ9" s="39"/>
      <c r="BK9" s="39"/>
      <c r="BL9" s="40"/>
      <c r="BM9" s="40"/>
      <c r="BN9" s="40"/>
      <c r="BO9" s="39"/>
      <c r="BP9" s="39"/>
      <c r="BQ9" s="39"/>
      <c r="BR9" s="39"/>
      <c r="BS9" s="39"/>
      <c r="BT9" s="39"/>
      <c r="BU9" s="39"/>
      <c r="BV9" s="39"/>
      <c r="BW9" s="39"/>
      <c r="BX9" s="39"/>
      <c r="BY9" s="39"/>
      <c r="BZ9" s="39"/>
      <c r="CA9" s="39"/>
      <c r="CB9" s="39"/>
      <c r="CC9" s="39"/>
      <c r="CD9" s="39"/>
      <c r="CE9" s="39"/>
      <c r="CF9" s="40"/>
      <c r="CG9" s="39"/>
      <c r="CH9" s="39"/>
      <c r="CI9" s="39"/>
      <c r="CJ9" s="39"/>
      <c r="CK9" s="39"/>
      <c r="CL9" s="40"/>
      <c r="CM9" s="39"/>
      <c r="CN9" s="39"/>
      <c r="CO9" s="40"/>
      <c r="CP9" s="39"/>
      <c r="CQ9" s="40"/>
      <c r="CR9" s="39"/>
      <c r="CS9" s="39"/>
      <c r="CT9" s="40"/>
      <c r="CU9" s="40"/>
      <c r="CV9" s="39"/>
      <c r="CW9" s="38" t="b">
        <f aca="false">TRUE()</f>
        <v>1</v>
      </c>
      <c r="CX9" s="40"/>
      <c r="CY9" s="38" t="b">
        <f aca="false">TRUE()</f>
        <v>1</v>
      </c>
      <c r="CZ9" s="38" t="b">
        <f aca="false">TRUE()</f>
        <v>1</v>
      </c>
      <c r="DA9" s="38" t="b">
        <f aca="false">TRUE()</f>
        <v>1</v>
      </c>
      <c r="DB9" s="40"/>
      <c r="DC9" s="38" t="b">
        <f aca="false">TRUE()</f>
        <v>1</v>
      </c>
      <c r="DD9" s="40"/>
      <c r="DE9" s="40"/>
      <c r="DF9" s="39"/>
      <c r="DG9" s="39"/>
      <c r="DH9" s="39"/>
      <c r="DI9" s="40"/>
      <c r="DJ9" s="40"/>
      <c r="DK9" s="40"/>
      <c r="DL9" s="39"/>
      <c r="DM9" s="39"/>
      <c r="DN9" s="40"/>
      <c r="DO9" s="39"/>
      <c r="DP9" s="39"/>
      <c r="DQ9" s="39"/>
      <c r="DR9" s="40"/>
      <c r="DS9" s="40"/>
      <c r="DT9" s="39"/>
      <c r="DU9" s="39"/>
      <c r="DV9" s="39"/>
      <c r="DW9" s="39"/>
      <c r="DX9" s="39"/>
      <c r="DY9" s="39"/>
      <c r="DZ9" s="39"/>
      <c r="EA9" s="38" t="b">
        <f aca="false">TRUE()</f>
        <v>1</v>
      </c>
      <c r="EB9" s="39"/>
      <c r="EC9" s="40"/>
      <c r="ED9" s="39"/>
      <c r="EE9" s="40"/>
      <c r="EF9" s="39"/>
      <c r="EG9" s="39"/>
      <c r="EH9" s="39"/>
      <c r="EI9" s="38" t="b">
        <f aca="false">TRUE()</f>
        <v>1</v>
      </c>
      <c r="EJ9" s="39"/>
      <c r="EK9" s="40"/>
      <c r="EL9" s="40"/>
      <c r="EM9" s="40"/>
      <c r="EN9" s="40"/>
      <c r="EO9" s="40"/>
      <c r="EP9" s="39"/>
      <c r="EQ9" s="39"/>
      <c r="ER9" s="39"/>
      <c r="ES9" s="39"/>
      <c r="ET9" s="40"/>
      <c r="EU9" s="40"/>
      <c r="EV9" s="40"/>
      <c r="EW9" s="39"/>
      <c r="EX9" s="40"/>
      <c r="EY9" s="38" t="b">
        <f aca="false">TRUE()</f>
        <v>1</v>
      </c>
      <c r="EZ9" s="39"/>
      <c r="FA9" s="40"/>
      <c r="FB9" s="40"/>
      <c r="FC9" s="39"/>
      <c r="FD9" s="39"/>
      <c r="FE9" s="40"/>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c r="HT9" s="39"/>
      <c r="HU9" s="39"/>
      <c r="HV9" s="39"/>
      <c r="HW9" s="39"/>
      <c r="HX9" s="39"/>
      <c r="HY9" s="39"/>
      <c r="HZ9" s="39"/>
      <c r="IA9" s="39"/>
      <c r="IB9" s="39"/>
      <c r="IC9" s="39"/>
      <c r="ID9" s="39"/>
      <c r="IE9" s="39"/>
      <c r="IF9" s="39"/>
      <c r="IG9" s="39"/>
      <c r="IH9" s="39"/>
      <c r="II9" s="39"/>
      <c r="IJ9" s="39"/>
      <c r="IK9" s="39"/>
      <c r="IL9" s="39"/>
      <c r="IM9" s="39"/>
      <c r="IN9" s="39"/>
      <c r="IO9" s="39"/>
      <c r="IP9" s="39"/>
      <c r="IQ9" s="39"/>
      <c r="IR9" s="39"/>
      <c r="IS9" s="39"/>
      <c r="IT9" s="39"/>
      <c r="IU9" s="39"/>
      <c r="IV9" s="39"/>
      <c r="IW9" s="39"/>
      <c r="IX9" s="41" t="b">
        <f aca="false">TRUE()</f>
        <v>1</v>
      </c>
      <c r="IY9" s="39"/>
      <c r="IZ9" s="39"/>
      <c r="JA9" s="39"/>
      <c r="JB9" s="39"/>
      <c r="JC9" s="39"/>
      <c r="JD9" s="39"/>
      <c r="JE9" s="39"/>
      <c r="JF9" s="39"/>
      <c r="JG9" s="39"/>
      <c r="JH9" s="39"/>
      <c r="JI9" s="39"/>
      <c r="JJ9" s="39"/>
      <c r="JK9" s="39"/>
      <c r="JL9" s="39"/>
      <c r="JM9" s="39"/>
      <c r="JN9" s="39"/>
      <c r="JO9" s="39"/>
      <c r="JP9" s="39"/>
      <c r="JQ9" s="39"/>
      <c r="JR9" s="39"/>
      <c r="JS9" s="40"/>
      <c r="JT9" s="38" t="b">
        <f aca="false">TRUE()</f>
        <v>1</v>
      </c>
      <c r="JU9" s="40"/>
      <c r="JV9" s="40"/>
      <c r="JW9" s="40"/>
      <c r="JX9" s="40"/>
      <c r="JY9" s="40"/>
      <c r="JZ9" s="40"/>
      <c r="KA9" s="40"/>
      <c r="KB9" s="40"/>
      <c r="KC9" s="40"/>
      <c r="KD9" s="40"/>
      <c r="KE9" s="40"/>
      <c r="KF9" s="40"/>
      <c r="KG9" s="40"/>
      <c r="KH9" s="40"/>
      <c r="KI9" s="40"/>
      <c r="KJ9" s="40"/>
      <c r="KK9" s="39"/>
      <c r="KL9" s="40"/>
      <c r="KM9" s="40"/>
      <c r="KN9" s="40"/>
      <c r="KO9" s="40"/>
      <c r="KP9" s="40"/>
      <c r="KQ9" s="38" t="b">
        <f aca="false">TRUE()</f>
        <v>1</v>
      </c>
      <c r="KR9" s="40"/>
      <c r="KS9" s="40"/>
      <c r="KT9" s="38" t="b">
        <f aca="false">TRUE()</f>
        <v>1</v>
      </c>
      <c r="KU9" s="44"/>
    </row>
    <row r="10" customFormat="false" ht="14.4" hidden="false" customHeight="false" outlineLevel="0" collapsed="false">
      <c r="A10" s="45" t="s">
        <v>505</v>
      </c>
      <c r="B10" s="45" t="s">
        <v>506</v>
      </c>
      <c r="C10" s="45"/>
      <c r="D10" s="45"/>
      <c r="E10" s="45" t="s">
        <v>507</v>
      </c>
      <c r="F10" s="45" t="s">
        <v>508</v>
      </c>
      <c r="G10" s="45" t="s">
        <v>509</v>
      </c>
      <c r="H10" s="45" t="s">
        <v>510</v>
      </c>
      <c r="I10" s="45" t="s">
        <v>310</v>
      </c>
      <c r="J10" s="45" t="s">
        <v>511</v>
      </c>
      <c r="K10" s="45" t="s">
        <v>512</v>
      </c>
      <c r="L10" s="45" t="s">
        <v>513</v>
      </c>
      <c r="M10" s="45" t="s">
        <v>514</v>
      </c>
      <c r="N10" s="45" t="s">
        <v>515</v>
      </c>
      <c r="O10" s="45" t="s">
        <v>516</v>
      </c>
      <c r="P10" s="45" t="s">
        <v>517</v>
      </c>
      <c r="Q10" s="45" t="s">
        <v>518</v>
      </c>
      <c r="R10" s="45" t="s">
        <v>519</v>
      </c>
      <c r="S10" s="45" t="s">
        <v>520</v>
      </c>
      <c r="T10" s="45" t="s">
        <v>521</v>
      </c>
      <c r="U10" s="45"/>
      <c r="V10" s="45" t="s">
        <v>522</v>
      </c>
      <c r="W10" s="45" t="s">
        <v>523</v>
      </c>
      <c r="X10" s="45"/>
      <c r="Y10" s="45"/>
      <c r="Z10" s="45"/>
      <c r="AA10" s="45" t="n">
        <v>18</v>
      </c>
      <c r="AB10" s="45" t="n">
        <v>1</v>
      </c>
      <c r="AC10" s="45" t="n">
        <v>1</v>
      </c>
      <c r="AD10" s="45" t="n">
        <v>8</v>
      </c>
      <c r="AE10" s="45" t="n">
        <v>10</v>
      </c>
      <c r="AF10" s="45" t="s">
        <v>524</v>
      </c>
      <c r="AG10" s="45" t="s">
        <v>525</v>
      </c>
      <c r="AH10" s="45" t="s">
        <v>526</v>
      </c>
      <c r="AI10" s="45"/>
      <c r="AJ10" s="45"/>
      <c r="AK10" s="45" t="s">
        <v>527</v>
      </c>
      <c r="AL10" s="45"/>
      <c r="AM10" s="45"/>
      <c r="AN10" s="45"/>
      <c r="AO10" s="45" t="n">
        <v>2023</v>
      </c>
      <c r="AP10" s="45"/>
      <c r="AQ10" s="45"/>
      <c r="AR10" s="45"/>
      <c r="AS10" s="45" t="n">
        <v>377</v>
      </c>
      <c r="AT10" s="45" t="n">
        <v>380</v>
      </c>
      <c r="AU10" s="45"/>
      <c r="AV10" s="45" t="s">
        <v>528</v>
      </c>
      <c r="AW10" s="45" t="str">
        <f aca="false">HYPERLINK("http://dx.doi.org/10.1145/3555776.3577838","http://dx.doi.org/10.1145/3555776.3577838")</f>
        <v>http://dx.doi.org/10.1145/3555776.3577838</v>
      </c>
      <c r="AX10" s="45"/>
      <c r="AY10" s="45" t="n">
        <v>4</v>
      </c>
      <c r="AZ10" s="45" t="s">
        <v>529</v>
      </c>
      <c r="BA10" s="45" t="s">
        <v>530</v>
      </c>
      <c r="BB10" s="45" t="s">
        <v>462</v>
      </c>
      <c r="BC10" s="45" t="s">
        <v>531</v>
      </c>
      <c r="BD10" s="45"/>
      <c r="BE10" s="45"/>
      <c r="BF10" s="45" t="s">
        <v>334</v>
      </c>
      <c r="BG10" s="45" t="s">
        <v>532</v>
      </c>
      <c r="BH10" s="45" t="str">
        <f aca="false">HYPERLINK("https%3A%2F%2Fwww.webofscience.com%2Fwos%2Fwoscc%2Ffull-record%2FWOS:001124308100054","View Full Record in Web of Science")</f>
        <v>View Full Record in Web of Science</v>
      </c>
      <c r="BI10" s="46" t="s">
        <v>336</v>
      </c>
      <c r="BJ10" s="47"/>
      <c r="BK10" s="47"/>
      <c r="BL10" s="46"/>
      <c r="BM10" s="46"/>
      <c r="BN10" s="46"/>
      <c r="BO10" s="47"/>
      <c r="BP10" s="47"/>
      <c r="BQ10" s="47"/>
      <c r="BR10" s="48" t="b">
        <f aca="false">TRUE()</f>
        <v>1</v>
      </c>
      <c r="BS10" s="47"/>
      <c r="BT10" s="48" t="b">
        <f aca="false">TRUE()</f>
        <v>1</v>
      </c>
      <c r="BU10" s="46"/>
      <c r="BV10" s="47"/>
      <c r="BW10" s="47"/>
      <c r="BX10" s="46"/>
      <c r="BY10" s="48" t="b">
        <f aca="false">TRUE()</f>
        <v>1</v>
      </c>
      <c r="BZ10" s="46"/>
      <c r="CA10" s="46"/>
      <c r="CB10" s="46"/>
      <c r="CC10" s="46"/>
      <c r="CD10" s="47"/>
      <c r="CE10" s="47"/>
      <c r="CF10" s="47"/>
      <c r="CG10" s="47"/>
      <c r="CH10" s="46"/>
      <c r="CI10" s="46"/>
      <c r="CJ10" s="46"/>
      <c r="CK10" s="46"/>
      <c r="CL10" s="47"/>
      <c r="CM10" s="46"/>
      <c r="CN10" s="47"/>
      <c r="CO10" s="47"/>
      <c r="CP10" s="47"/>
      <c r="CQ10" s="47"/>
      <c r="CR10" s="47"/>
      <c r="CS10" s="47"/>
      <c r="CT10" s="47"/>
      <c r="CU10" s="47"/>
      <c r="CV10" s="47"/>
      <c r="CW10" s="48" t="b">
        <f aca="false">TRUE()</f>
        <v>1</v>
      </c>
      <c r="CX10" s="47"/>
      <c r="CY10" s="47"/>
      <c r="CZ10" s="47"/>
      <c r="DA10" s="47"/>
      <c r="DB10" s="47"/>
      <c r="DC10" s="47"/>
      <c r="DD10" s="47"/>
      <c r="DE10" s="47"/>
      <c r="DF10" s="47"/>
      <c r="DG10" s="47"/>
      <c r="DH10" s="47"/>
      <c r="DI10" s="47"/>
      <c r="DJ10" s="46"/>
      <c r="DK10" s="47"/>
      <c r="DL10" s="46"/>
      <c r="DM10" s="47"/>
      <c r="DN10" s="46"/>
      <c r="DO10" s="47"/>
      <c r="DP10" s="47"/>
      <c r="DQ10" s="47"/>
      <c r="DR10" s="46"/>
      <c r="DS10" s="47"/>
      <c r="DT10" s="47"/>
      <c r="DU10" s="48" t="b">
        <f aca="false">TRUE()</f>
        <v>1</v>
      </c>
      <c r="DV10" s="47"/>
      <c r="DW10" s="47"/>
      <c r="DX10" s="47"/>
      <c r="DY10" s="47"/>
      <c r="DZ10" s="47"/>
      <c r="EA10" s="48" t="b">
        <f aca="false">TRUE()</f>
        <v>1</v>
      </c>
      <c r="EB10" s="48" t="b">
        <f aca="false">TRUE()</f>
        <v>1</v>
      </c>
      <c r="EC10" s="46"/>
      <c r="ED10" s="47"/>
      <c r="EE10" s="46"/>
      <c r="EF10" s="47"/>
      <c r="EG10" s="47"/>
      <c r="EH10" s="47"/>
      <c r="EI10" s="48" t="b">
        <f aca="false">TRUE()</f>
        <v>1</v>
      </c>
      <c r="EJ10" s="47"/>
      <c r="EK10" s="46"/>
      <c r="EL10" s="46"/>
      <c r="EM10" s="46"/>
      <c r="EN10" s="46"/>
      <c r="EO10" s="46"/>
      <c r="EP10" s="47"/>
      <c r="EQ10" s="47"/>
      <c r="ER10" s="46"/>
      <c r="ES10" s="46"/>
      <c r="ET10" s="46"/>
      <c r="EU10" s="46"/>
      <c r="EV10" s="46"/>
      <c r="EW10" s="47"/>
      <c r="EX10" s="46"/>
      <c r="EY10" s="48" t="b">
        <f aca="false">TRUE()</f>
        <v>1</v>
      </c>
      <c r="EZ10" s="47"/>
      <c r="FA10" s="46"/>
      <c r="FB10" s="46"/>
      <c r="FC10" s="47"/>
      <c r="FD10" s="47"/>
      <c r="FE10" s="46"/>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c r="HT10" s="47"/>
      <c r="HU10" s="47"/>
      <c r="HV10" s="47"/>
      <c r="HW10" s="47"/>
      <c r="HX10" s="47"/>
      <c r="HY10" s="47"/>
      <c r="HZ10" s="47"/>
      <c r="IA10" s="47"/>
      <c r="IB10" s="47"/>
      <c r="IC10" s="47"/>
      <c r="ID10" s="47"/>
      <c r="IE10" s="47"/>
      <c r="IF10" s="47"/>
      <c r="IG10" s="47"/>
      <c r="IH10" s="47"/>
      <c r="II10" s="47"/>
      <c r="IJ10" s="47"/>
      <c r="IK10" s="47"/>
      <c r="IL10" s="47"/>
      <c r="IM10" s="47"/>
      <c r="IN10" s="47"/>
      <c r="IO10" s="47"/>
      <c r="IP10" s="47"/>
      <c r="IQ10" s="47"/>
      <c r="IR10" s="47"/>
      <c r="IS10" s="47"/>
      <c r="IT10" s="47"/>
      <c r="IU10" s="47"/>
      <c r="IV10" s="47"/>
      <c r="IW10" s="47"/>
      <c r="IX10" s="47"/>
      <c r="IY10" s="47"/>
      <c r="IZ10" s="47"/>
      <c r="JA10" s="47"/>
      <c r="JB10" s="47"/>
      <c r="JC10" s="47"/>
      <c r="JD10" s="47"/>
      <c r="JE10" s="47"/>
      <c r="JF10" s="47"/>
      <c r="JG10" s="47"/>
      <c r="JH10" s="47"/>
      <c r="JI10" s="47"/>
      <c r="JJ10" s="47"/>
      <c r="JK10" s="47"/>
      <c r="JL10" s="47"/>
      <c r="JM10" s="47"/>
      <c r="JN10" s="47"/>
      <c r="JO10" s="47"/>
      <c r="JP10" s="47"/>
      <c r="JQ10" s="47"/>
      <c r="JR10" s="47"/>
      <c r="JS10" s="47"/>
      <c r="JT10" s="48" t="b">
        <f aca="false">TRUE()</f>
        <v>1</v>
      </c>
      <c r="JU10" s="47"/>
      <c r="JV10" s="47"/>
      <c r="JW10" s="47"/>
      <c r="JX10" s="47"/>
      <c r="JY10" s="47"/>
      <c r="JZ10" s="47"/>
      <c r="KA10" s="47"/>
      <c r="KB10" s="47"/>
      <c r="KC10" s="47"/>
      <c r="KD10" s="47"/>
      <c r="KE10" s="47"/>
      <c r="KF10" s="47"/>
      <c r="KG10" s="47"/>
      <c r="KH10" s="47"/>
      <c r="KI10" s="47"/>
      <c r="KJ10" s="47"/>
      <c r="KK10" s="47"/>
      <c r="KL10" s="47"/>
      <c r="KM10" s="47"/>
      <c r="KN10" s="47"/>
      <c r="KO10" s="47"/>
      <c r="KP10" s="48" t="b">
        <f aca="false">TRUE()</f>
        <v>1</v>
      </c>
      <c r="KQ10" s="48" t="b">
        <f aca="false">TRUE()</f>
        <v>1</v>
      </c>
      <c r="KR10" s="46"/>
      <c r="KS10" s="46"/>
      <c r="KT10" s="46"/>
      <c r="KU10" s="49" t="b">
        <f aca="false">TRUE()</f>
        <v>1</v>
      </c>
    </row>
    <row r="11" customFormat="false" ht="14.4" hidden="false" customHeight="false" outlineLevel="0" collapsed="false">
      <c r="A11" s="37" t="s">
        <v>305</v>
      </c>
      <c r="B11" s="37" t="s">
        <v>533</v>
      </c>
      <c r="C11" s="37"/>
      <c r="D11" s="37"/>
      <c r="E11" s="37"/>
      <c r="F11" s="37" t="s">
        <v>534</v>
      </c>
      <c r="G11" s="37" t="s">
        <v>535</v>
      </c>
      <c r="H11" s="37" t="s">
        <v>536</v>
      </c>
      <c r="I11" s="37" t="s">
        <v>310</v>
      </c>
      <c r="J11" s="37" t="s">
        <v>311</v>
      </c>
      <c r="K11" s="37"/>
      <c r="L11" s="37"/>
      <c r="M11" s="37"/>
      <c r="N11" s="37"/>
      <c r="O11" s="37" t="s">
        <v>537</v>
      </c>
      <c r="P11" s="37" t="s">
        <v>538</v>
      </c>
      <c r="Q11" s="37" t="s">
        <v>539</v>
      </c>
      <c r="R11" s="37" t="s">
        <v>540</v>
      </c>
      <c r="S11" s="37" t="s">
        <v>541</v>
      </c>
      <c r="T11" s="37" t="s">
        <v>542</v>
      </c>
      <c r="U11" s="37" t="s">
        <v>543</v>
      </c>
      <c r="V11" s="37" t="s">
        <v>544</v>
      </c>
      <c r="W11" s="37" t="s">
        <v>545</v>
      </c>
      <c r="X11" s="37"/>
      <c r="Y11" s="37"/>
      <c r="Z11" s="37"/>
      <c r="AA11" s="37" t="n">
        <v>42</v>
      </c>
      <c r="AB11" s="37" t="n">
        <v>4</v>
      </c>
      <c r="AC11" s="37" t="n">
        <v>4</v>
      </c>
      <c r="AD11" s="37" t="n">
        <v>7</v>
      </c>
      <c r="AE11" s="37" t="n">
        <v>17</v>
      </c>
      <c r="AF11" s="37" t="s">
        <v>546</v>
      </c>
      <c r="AG11" s="37" t="s">
        <v>547</v>
      </c>
      <c r="AH11" s="37" t="s">
        <v>548</v>
      </c>
      <c r="AI11" s="37"/>
      <c r="AJ11" s="37" t="s">
        <v>549</v>
      </c>
      <c r="AK11" s="37"/>
      <c r="AL11" s="37" t="s">
        <v>536</v>
      </c>
      <c r="AM11" s="37" t="s">
        <v>550</v>
      </c>
      <c r="AN11" s="37" t="s">
        <v>408</v>
      </c>
      <c r="AO11" s="37" t="n">
        <v>2022</v>
      </c>
      <c r="AP11" s="37" t="n">
        <v>12</v>
      </c>
      <c r="AQ11" s="37" t="n">
        <v>12</v>
      </c>
      <c r="AR11" s="37"/>
      <c r="AS11" s="37"/>
      <c r="AT11" s="37"/>
      <c r="AU11" s="37" t="n">
        <v>1971</v>
      </c>
      <c r="AV11" s="37" t="s">
        <v>551</v>
      </c>
      <c r="AW11" s="37" t="str">
        <f aca="false">HYPERLINK("http://dx.doi.org/10.3390/agriculture12121971","http://dx.doi.org/10.3390/agriculture12121971")</f>
        <v>http://dx.doi.org/10.3390/agriculture12121971</v>
      </c>
      <c r="AX11" s="37"/>
      <c r="AY11" s="37" t="n">
        <v>15</v>
      </c>
      <c r="AZ11" s="37" t="s">
        <v>552</v>
      </c>
      <c r="BA11" s="37" t="s">
        <v>331</v>
      </c>
      <c r="BB11" s="37" t="s">
        <v>553</v>
      </c>
      <c r="BC11" s="37" t="s">
        <v>554</v>
      </c>
      <c r="BD11" s="37"/>
      <c r="BE11" s="37" t="s">
        <v>503</v>
      </c>
      <c r="BF11" s="37" t="s">
        <v>334</v>
      </c>
      <c r="BG11" s="37" t="s">
        <v>555</v>
      </c>
      <c r="BH11" s="37" t="str">
        <f aca="false">HYPERLINK("https%3A%2F%2Fwww.webofscience.com%2Fwos%2Fwoscc%2Ffull-record%2FWOS:000900219400001","View Full Record in Web of Science")</f>
        <v>View Full Record in Web of Science</v>
      </c>
      <c r="BI11" s="40" t="s">
        <v>336</v>
      </c>
      <c r="BJ11" s="38" t="b">
        <f aca="false">TRUE()</f>
        <v>1</v>
      </c>
      <c r="BK11" s="39"/>
      <c r="BL11" s="40"/>
      <c r="BM11" s="40"/>
      <c r="BN11" s="40"/>
      <c r="BO11" s="39"/>
      <c r="BP11" s="39"/>
      <c r="BQ11" s="39"/>
      <c r="BR11" s="39"/>
      <c r="BS11" s="39"/>
      <c r="BT11" s="39"/>
      <c r="BU11" s="39"/>
      <c r="BV11" s="39"/>
      <c r="BW11" s="39"/>
      <c r="BX11" s="39"/>
      <c r="BY11" s="39"/>
      <c r="BZ11" s="39"/>
      <c r="CA11" s="39"/>
      <c r="CB11" s="39"/>
      <c r="CC11" s="39"/>
      <c r="CD11" s="39"/>
      <c r="CE11" s="39"/>
      <c r="CF11" s="39"/>
      <c r="CG11" s="40"/>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40"/>
      <c r="DK11" s="39"/>
      <c r="DL11" s="39"/>
      <c r="DM11" s="40"/>
      <c r="DN11" s="40"/>
      <c r="DO11" s="40"/>
      <c r="DP11" s="39"/>
      <c r="DQ11" s="39"/>
      <c r="DR11" s="39"/>
      <c r="DS11" s="39"/>
      <c r="DT11" s="39"/>
      <c r="DU11" s="39"/>
      <c r="DV11" s="39"/>
      <c r="DW11" s="39"/>
      <c r="DX11" s="40"/>
      <c r="DY11" s="40"/>
      <c r="DZ11" s="39"/>
      <c r="EA11" s="38" t="b">
        <f aca="false">TRUE()</f>
        <v>1</v>
      </c>
      <c r="EB11" s="38" t="b">
        <f aca="false">TRUE()</f>
        <v>1</v>
      </c>
      <c r="EC11" s="40"/>
      <c r="ED11" s="39"/>
      <c r="EE11" s="40"/>
      <c r="EF11" s="40"/>
      <c r="EG11" s="39"/>
      <c r="EH11" s="39"/>
      <c r="EI11" s="38" t="b">
        <f aca="false">TRUE()</f>
        <v>1</v>
      </c>
      <c r="EJ11" s="39"/>
      <c r="EK11" s="40"/>
      <c r="EL11" s="40"/>
      <c r="EM11" s="40"/>
      <c r="EN11" s="40"/>
      <c r="EO11" s="40"/>
      <c r="EP11" s="39"/>
      <c r="EQ11" s="39"/>
      <c r="ER11" s="40"/>
      <c r="ES11" s="40"/>
      <c r="ET11" s="40"/>
      <c r="EU11" s="40"/>
      <c r="EV11" s="40"/>
      <c r="EW11" s="38" t="b">
        <f aca="false">TRUE()</f>
        <v>1</v>
      </c>
      <c r="EX11" s="40"/>
      <c r="EY11" s="39"/>
      <c r="EZ11" s="39"/>
      <c r="FA11" s="40"/>
      <c r="FB11" s="39"/>
      <c r="FC11" s="39"/>
      <c r="FD11" s="39"/>
      <c r="FE11" s="40"/>
      <c r="FF11" s="39"/>
      <c r="FG11" s="39"/>
      <c r="FH11" s="39"/>
      <c r="FI11" s="39"/>
      <c r="FJ11" s="39"/>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38" t="b">
        <f aca="false">TRUE()</f>
        <v>1</v>
      </c>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c r="IW11" s="40"/>
      <c r="IX11" s="40"/>
      <c r="IY11" s="40"/>
      <c r="IZ11" s="38" t="b">
        <f aca="false">TRUE()</f>
        <v>1</v>
      </c>
      <c r="JA11" s="40"/>
      <c r="JB11" s="40"/>
      <c r="JC11" s="40"/>
      <c r="JD11" s="40"/>
      <c r="JE11" s="40"/>
      <c r="JF11" s="40"/>
      <c r="JG11" s="40"/>
      <c r="JH11" s="40"/>
      <c r="JI11" s="40"/>
      <c r="JJ11" s="40"/>
      <c r="JK11" s="40"/>
      <c r="JL11" s="40"/>
      <c r="JM11" s="40"/>
      <c r="JN11" s="40"/>
      <c r="JO11" s="40"/>
      <c r="JP11" s="40"/>
      <c r="JQ11" s="40"/>
      <c r="JR11" s="40"/>
      <c r="JS11" s="40"/>
      <c r="JT11" s="38" t="b">
        <f aca="false">TRUE()</f>
        <v>1</v>
      </c>
      <c r="JU11" s="39"/>
      <c r="JV11" s="39"/>
      <c r="JW11" s="39"/>
      <c r="JX11" s="39"/>
      <c r="JY11" s="39"/>
      <c r="JZ11" s="39"/>
      <c r="KA11" s="39"/>
      <c r="KB11" s="39"/>
      <c r="KC11" s="39"/>
      <c r="KD11" s="39"/>
      <c r="KE11" s="39"/>
      <c r="KF11" s="39"/>
      <c r="KG11" s="39"/>
      <c r="KH11" s="39"/>
      <c r="KI11" s="39"/>
      <c r="KJ11" s="39"/>
      <c r="KK11" s="40"/>
      <c r="KL11" s="39"/>
      <c r="KM11" s="39"/>
      <c r="KN11" s="39"/>
      <c r="KO11" s="39"/>
      <c r="KP11" s="41" t="b">
        <f aca="false">TRUE()</f>
        <v>1</v>
      </c>
      <c r="KQ11" s="41" t="b">
        <f aca="false">TRUE()</f>
        <v>1</v>
      </c>
      <c r="KR11" s="40"/>
      <c r="KS11" s="38" t="b">
        <f aca="false">TRUE()</f>
        <v>1</v>
      </c>
      <c r="KT11" s="40"/>
      <c r="KU11" s="44"/>
    </row>
    <row r="12" customFormat="false" ht="14.4" hidden="false" customHeight="false" outlineLevel="0" collapsed="false">
      <c r="A12" s="37" t="s">
        <v>305</v>
      </c>
      <c r="B12" s="37" t="s">
        <v>556</v>
      </c>
      <c r="C12" s="37"/>
      <c r="D12" s="37"/>
      <c r="E12" s="37"/>
      <c r="F12" s="37" t="s">
        <v>557</v>
      </c>
      <c r="G12" s="37" t="s">
        <v>558</v>
      </c>
      <c r="H12" s="37" t="s">
        <v>559</v>
      </c>
      <c r="I12" s="37" t="s">
        <v>310</v>
      </c>
      <c r="J12" s="37" t="s">
        <v>311</v>
      </c>
      <c r="K12" s="37"/>
      <c r="L12" s="37"/>
      <c r="M12" s="37"/>
      <c r="N12" s="37"/>
      <c r="O12" s="37" t="s">
        <v>560</v>
      </c>
      <c r="P12" s="37"/>
      <c r="Q12" s="37" t="s">
        <v>561</v>
      </c>
      <c r="R12" s="37" t="s">
        <v>562</v>
      </c>
      <c r="S12" s="37" t="s">
        <v>563</v>
      </c>
      <c r="T12" s="37" t="s">
        <v>564</v>
      </c>
      <c r="U12" s="37" t="s">
        <v>565</v>
      </c>
      <c r="V12" s="37"/>
      <c r="W12" s="37"/>
      <c r="X12" s="37" t="s">
        <v>566</v>
      </c>
      <c r="Y12" s="37" t="s">
        <v>567</v>
      </c>
      <c r="Z12" s="37" t="s">
        <v>568</v>
      </c>
      <c r="AA12" s="37" t="n">
        <v>27</v>
      </c>
      <c r="AB12" s="37" t="n">
        <v>3</v>
      </c>
      <c r="AC12" s="37" t="n">
        <v>3</v>
      </c>
      <c r="AD12" s="37" t="n">
        <v>2</v>
      </c>
      <c r="AE12" s="37" t="n">
        <v>4</v>
      </c>
      <c r="AF12" s="37" t="s">
        <v>353</v>
      </c>
      <c r="AG12" s="37" t="s">
        <v>354</v>
      </c>
      <c r="AH12" s="37" t="s">
        <v>355</v>
      </c>
      <c r="AI12" s="37" t="s">
        <v>569</v>
      </c>
      <c r="AJ12" s="37"/>
      <c r="AK12" s="37"/>
      <c r="AL12" s="37" t="s">
        <v>570</v>
      </c>
      <c r="AM12" s="37" t="s">
        <v>571</v>
      </c>
      <c r="AN12" s="37" t="s">
        <v>572</v>
      </c>
      <c r="AO12" s="37" t="n">
        <v>2023</v>
      </c>
      <c r="AP12" s="37" t="n">
        <v>20</v>
      </c>
      <c r="AQ12" s="37"/>
      <c r="AR12" s="37"/>
      <c r="AS12" s="37"/>
      <c r="AT12" s="37"/>
      <c r="AU12" s="37" t="n">
        <v>100412</v>
      </c>
      <c r="AV12" s="37" t="s">
        <v>573</v>
      </c>
      <c r="AW12" s="37" t="str">
        <f aca="false">HYPERLINK("http://dx.doi.org/10.1016/j.rinam.2023.100412","http://dx.doi.org/10.1016/j.rinam.2023.100412")</f>
        <v>http://dx.doi.org/10.1016/j.rinam.2023.100412</v>
      </c>
      <c r="AX12" s="37" t="s">
        <v>410</v>
      </c>
      <c r="AY12" s="37" t="n">
        <v>11</v>
      </c>
      <c r="AZ12" s="37" t="s">
        <v>574</v>
      </c>
      <c r="BA12" s="37" t="s">
        <v>575</v>
      </c>
      <c r="BB12" s="37" t="s">
        <v>576</v>
      </c>
      <c r="BC12" s="37" t="s">
        <v>577</v>
      </c>
      <c r="BD12" s="37"/>
      <c r="BE12" s="37" t="s">
        <v>503</v>
      </c>
      <c r="BF12" s="37" t="s">
        <v>334</v>
      </c>
      <c r="BG12" s="37" t="s">
        <v>578</v>
      </c>
      <c r="BH12" s="37" t="str">
        <f aca="false">HYPERLINK("https%3A%2F%2Fwww.webofscience.com%2Fwos%2Fwoscc%2Ffull-record%2FWOS:001126695800001","View Full Record in Web of Science")</f>
        <v>View Full Record in Web of Science</v>
      </c>
      <c r="BI12" s="40" t="s">
        <v>336</v>
      </c>
      <c r="BJ12" s="39"/>
      <c r="BK12" s="39"/>
      <c r="BL12" s="40"/>
      <c r="BM12" s="40"/>
      <c r="BN12" s="40"/>
      <c r="BO12" s="39"/>
      <c r="BP12" s="39"/>
      <c r="BQ12" s="39"/>
      <c r="BR12" s="38" t="b">
        <f aca="false">TRUE()</f>
        <v>1</v>
      </c>
      <c r="BS12" s="38" t="b">
        <f aca="false">TRUE()</f>
        <v>1</v>
      </c>
      <c r="BT12" s="38" t="b">
        <f aca="false">TRUE()</f>
        <v>1</v>
      </c>
      <c r="BU12" s="40"/>
      <c r="BV12" s="40"/>
      <c r="BW12" s="39"/>
      <c r="BX12" s="40"/>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40"/>
      <c r="DK12" s="39"/>
      <c r="DL12" s="39"/>
      <c r="DM12" s="39"/>
      <c r="DN12" s="40"/>
      <c r="DO12" s="39"/>
      <c r="DP12" s="39"/>
      <c r="DQ12" s="39"/>
      <c r="DR12" s="39"/>
      <c r="DS12" s="39"/>
      <c r="DT12" s="39"/>
      <c r="DU12" s="39"/>
      <c r="DV12" s="39"/>
      <c r="DW12" s="39"/>
      <c r="DX12" s="39"/>
      <c r="DY12" s="39"/>
      <c r="DZ12" s="39"/>
      <c r="EA12" s="38" t="b">
        <f aca="false">TRUE()</f>
        <v>1</v>
      </c>
      <c r="EB12" s="39"/>
      <c r="EC12" s="40"/>
      <c r="ED12" s="39"/>
      <c r="EE12" s="40"/>
      <c r="EF12" s="40"/>
      <c r="EG12" s="39"/>
      <c r="EH12" s="39"/>
      <c r="EI12" s="39"/>
      <c r="EJ12" s="39"/>
      <c r="EK12" s="40"/>
      <c r="EL12" s="40"/>
      <c r="EM12" s="39"/>
      <c r="EN12" s="40"/>
      <c r="EO12" s="40"/>
      <c r="EP12" s="39"/>
      <c r="EQ12" s="39"/>
      <c r="ER12" s="39"/>
      <c r="ES12" s="39"/>
      <c r="ET12" s="40"/>
      <c r="EU12" s="40"/>
      <c r="EV12" s="40"/>
      <c r="EW12" s="40"/>
      <c r="EX12" s="39"/>
      <c r="EY12" s="38" t="b">
        <f aca="false">TRUE()</f>
        <v>1</v>
      </c>
      <c r="EZ12" s="39"/>
      <c r="FA12" s="40"/>
      <c r="FB12" s="40"/>
      <c r="FC12" s="39"/>
      <c r="FD12" s="39"/>
      <c r="FE12" s="40"/>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41" t="b">
        <f aca="false">TRUE()</f>
        <v>1</v>
      </c>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40"/>
      <c r="JT12" s="40"/>
      <c r="JU12" s="39"/>
      <c r="JV12" s="39"/>
      <c r="JW12" s="39"/>
      <c r="JX12" s="39"/>
      <c r="JY12" s="39"/>
      <c r="JZ12" s="39"/>
      <c r="KA12" s="39"/>
      <c r="KB12" s="39"/>
      <c r="KC12" s="39"/>
      <c r="KD12" s="39"/>
      <c r="KE12" s="39"/>
      <c r="KF12" s="39"/>
      <c r="KG12" s="39"/>
      <c r="KH12" s="39"/>
      <c r="KI12" s="39"/>
      <c r="KJ12" s="39"/>
      <c r="KK12" s="39"/>
      <c r="KL12" s="39"/>
      <c r="KM12" s="39"/>
      <c r="KN12" s="39"/>
      <c r="KO12" s="39"/>
      <c r="KP12" s="41" t="b">
        <f aca="false">TRUE()</f>
        <v>1</v>
      </c>
      <c r="KQ12" s="39"/>
      <c r="KR12" s="40"/>
      <c r="KS12" s="38" t="b">
        <f aca="false">TRUE()</f>
        <v>1</v>
      </c>
      <c r="KT12" s="40"/>
      <c r="KU12" s="44"/>
    </row>
    <row r="13" customFormat="false" ht="14.4" hidden="false" customHeight="false" outlineLevel="0" collapsed="false">
      <c r="A13" s="37" t="s">
        <v>305</v>
      </c>
      <c r="B13" s="37" t="s">
        <v>579</v>
      </c>
      <c r="C13" s="37"/>
      <c r="D13" s="37"/>
      <c r="E13" s="37"/>
      <c r="F13" s="37" t="s">
        <v>580</v>
      </c>
      <c r="G13" s="37" t="s">
        <v>581</v>
      </c>
      <c r="H13" s="37" t="s">
        <v>582</v>
      </c>
      <c r="I13" s="37" t="s">
        <v>310</v>
      </c>
      <c r="J13" s="37" t="s">
        <v>311</v>
      </c>
      <c r="K13" s="37"/>
      <c r="L13" s="37"/>
      <c r="M13" s="37"/>
      <c r="N13" s="37"/>
      <c r="O13" s="37" t="s">
        <v>583</v>
      </c>
      <c r="P13" s="37" t="s">
        <v>584</v>
      </c>
      <c r="Q13" s="37" t="s">
        <v>585</v>
      </c>
      <c r="R13" s="37" t="s">
        <v>586</v>
      </c>
      <c r="S13" s="37" t="s">
        <v>450</v>
      </c>
      <c r="T13" s="37" t="s">
        <v>587</v>
      </c>
      <c r="U13" s="37" t="s">
        <v>588</v>
      </c>
      <c r="V13" s="37"/>
      <c r="W13" s="37"/>
      <c r="X13" s="37"/>
      <c r="Y13" s="37"/>
      <c r="Z13" s="37"/>
      <c r="AA13" s="37" t="n">
        <v>56</v>
      </c>
      <c r="AB13" s="37" t="n">
        <v>12</v>
      </c>
      <c r="AC13" s="37" t="n">
        <v>12</v>
      </c>
      <c r="AD13" s="37" t="n">
        <v>6</v>
      </c>
      <c r="AE13" s="37" t="n">
        <v>36</v>
      </c>
      <c r="AF13" s="37" t="s">
        <v>353</v>
      </c>
      <c r="AG13" s="37" t="s">
        <v>354</v>
      </c>
      <c r="AH13" s="37" t="s">
        <v>355</v>
      </c>
      <c r="AI13" s="37" t="s">
        <v>589</v>
      </c>
      <c r="AJ13" s="37" t="s">
        <v>590</v>
      </c>
      <c r="AK13" s="37"/>
      <c r="AL13" s="37" t="s">
        <v>591</v>
      </c>
      <c r="AM13" s="37" t="s">
        <v>592</v>
      </c>
      <c r="AN13" s="37" t="s">
        <v>593</v>
      </c>
      <c r="AO13" s="37" t="n">
        <v>2022</v>
      </c>
      <c r="AP13" s="37" t="n">
        <v>237</v>
      </c>
      <c r="AQ13" s="37"/>
      <c r="AR13" s="37"/>
      <c r="AS13" s="37"/>
      <c r="AT13" s="37"/>
      <c r="AU13" s="37" t="n">
        <v>107717</v>
      </c>
      <c r="AV13" s="37" t="s">
        <v>594</v>
      </c>
      <c r="AW13" s="37" t="str">
        <f aca="false">HYPERLINK("http://dx.doi.org/10.1016/j.knosys.2021.107717","http://dx.doi.org/10.1016/j.knosys.2021.107717")</f>
        <v>http://dx.doi.org/10.1016/j.knosys.2021.107717</v>
      </c>
      <c r="AX13" s="37"/>
      <c r="AY13" s="37" t="n">
        <v>13</v>
      </c>
      <c r="AZ13" s="37" t="s">
        <v>595</v>
      </c>
      <c r="BA13" s="37" t="s">
        <v>331</v>
      </c>
      <c r="BB13" s="37" t="s">
        <v>462</v>
      </c>
      <c r="BC13" s="37" t="s">
        <v>596</v>
      </c>
      <c r="BD13" s="37"/>
      <c r="BE13" s="37"/>
      <c r="BF13" s="37" t="s">
        <v>334</v>
      </c>
      <c r="BG13" s="37" t="s">
        <v>597</v>
      </c>
      <c r="BH13" s="37" t="str">
        <f aca="false">HYPERLINK("https%3A%2F%2Fwww.webofscience.com%2Fwos%2Fwoscc%2Ffull-record%2FWOS:000788422500002","View Full Record in Web of Science")</f>
        <v>View Full Record in Web of Science</v>
      </c>
      <c r="BI13" s="40" t="s">
        <v>336</v>
      </c>
      <c r="BJ13" s="39"/>
      <c r="BK13" s="39"/>
      <c r="BL13" s="40"/>
      <c r="BM13" s="40"/>
      <c r="BN13" s="40"/>
      <c r="BO13" s="39"/>
      <c r="BP13" s="39"/>
      <c r="BQ13" s="39"/>
      <c r="BR13" s="38" t="b">
        <f aca="false">TRUE()</f>
        <v>1</v>
      </c>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40"/>
      <c r="DK13" s="39"/>
      <c r="DL13" s="39"/>
      <c r="DM13" s="39"/>
      <c r="DN13" s="40"/>
      <c r="DO13" s="39"/>
      <c r="DP13" s="39"/>
      <c r="DQ13" s="39"/>
      <c r="DR13" s="39"/>
      <c r="DS13" s="39"/>
      <c r="DT13" s="39"/>
      <c r="DU13" s="39"/>
      <c r="DV13" s="39"/>
      <c r="DW13" s="39"/>
      <c r="DX13" s="39"/>
      <c r="DY13" s="39"/>
      <c r="DZ13" s="39"/>
      <c r="EA13" s="40"/>
      <c r="EB13" s="39"/>
      <c r="EC13" s="40"/>
      <c r="ED13" s="39"/>
      <c r="EE13" s="40"/>
      <c r="EF13" s="39"/>
      <c r="EG13" s="39"/>
      <c r="EH13" s="39"/>
      <c r="EI13" s="40"/>
      <c r="EJ13" s="39"/>
      <c r="EK13" s="40"/>
      <c r="EL13" s="40"/>
      <c r="EM13" s="40"/>
      <c r="EN13" s="40"/>
      <c r="EO13" s="40"/>
      <c r="EP13" s="39"/>
      <c r="EQ13" s="39"/>
      <c r="ER13" s="39"/>
      <c r="ES13" s="39"/>
      <c r="ET13" s="40"/>
      <c r="EU13" s="40"/>
      <c r="EV13" s="40"/>
      <c r="EW13" s="39"/>
      <c r="EX13" s="40"/>
      <c r="EY13" s="40"/>
      <c r="EZ13" s="39"/>
      <c r="FA13" s="40"/>
      <c r="FB13" s="40"/>
      <c r="FC13" s="39"/>
      <c r="FD13" s="39"/>
      <c r="FE13" s="40"/>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41" t="b">
        <f aca="false">TRUE()</f>
        <v>1</v>
      </c>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40"/>
      <c r="JT13" s="38" t="b">
        <f aca="false">TRUE()</f>
        <v>1</v>
      </c>
      <c r="JU13" s="39"/>
      <c r="JV13" s="39"/>
      <c r="JW13" s="39"/>
      <c r="JX13" s="39"/>
      <c r="JY13" s="39"/>
      <c r="JZ13" s="39"/>
      <c r="KA13" s="39"/>
      <c r="KB13" s="39"/>
      <c r="KC13" s="39"/>
      <c r="KD13" s="39"/>
      <c r="KE13" s="39"/>
      <c r="KF13" s="39"/>
      <c r="KG13" s="39"/>
      <c r="KH13" s="39"/>
      <c r="KI13" s="39"/>
      <c r="KJ13" s="39"/>
      <c r="KK13" s="39"/>
      <c r="KL13" s="39"/>
      <c r="KM13" s="39"/>
      <c r="KN13" s="39"/>
      <c r="KO13" s="39"/>
      <c r="KP13" s="41" t="b">
        <f aca="false">TRUE()</f>
        <v>1</v>
      </c>
      <c r="KQ13" s="39"/>
      <c r="KR13" s="40"/>
      <c r="KS13" s="40"/>
      <c r="KT13" s="38" t="b">
        <f aca="false">TRUE()</f>
        <v>1</v>
      </c>
      <c r="KU13" s="44"/>
    </row>
    <row r="14" customFormat="false" ht="14.4" hidden="false" customHeight="false" outlineLevel="0" collapsed="false">
      <c r="A14" s="37" t="s">
        <v>305</v>
      </c>
      <c r="B14" s="37" t="s">
        <v>598</v>
      </c>
      <c r="C14" s="37"/>
      <c r="D14" s="37"/>
      <c r="E14" s="37"/>
      <c r="F14" s="37" t="s">
        <v>599</v>
      </c>
      <c r="G14" s="37" t="s">
        <v>600</v>
      </c>
      <c r="H14" s="37" t="s">
        <v>340</v>
      </c>
      <c r="I14" s="37" t="s">
        <v>310</v>
      </c>
      <c r="J14" s="37" t="s">
        <v>311</v>
      </c>
      <c r="K14" s="37"/>
      <c r="L14" s="37"/>
      <c r="M14" s="37"/>
      <c r="N14" s="37"/>
      <c r="O14" s="37" t="s">
        <v>601</v>
      </c>
      <c r="P14" s="37" t="s">
        <v>602</v>
      </c>
      <c r="Q14" s="37" t="s">
        <v>603</v>
      </c>
      <c r="R14" s="37" t="s">
        <v>604</v>
      </c>
      <c r="S14" s="37" t="s">
        <v>605</v>
      </c>
      <c r="T14" s="37" t="s">
        <v>606</v>
      </c>
      <c r="U14" s="37" t="s">
        <v>607</v>
      </c>
      <c r="V14" s="37" t="s">
        <v>608</v>
      </c>
      <c r="W14" s="37" t="s">
        <v>609</v>
      </c>
      <c r="X14" s="37" t="s">
        <v>610</v>
      </c>
      <c r="Y14" s="37" t="s">
        <v>611</v>
      </c>
      <c r="Z14" s="37" t="s">
        <v>612</v>
      </c>
      <c r="AA14" s="37" t="n">
        <v>49</v>
      </c>
      <c r="AB14" s="37" t="n">
        <v>156</v>
      </c>
      <c r="AC14" s="37" t="n">
        <v>166</v>
      </c>
      <c r="AD14" s="37" t="n">
        <v>18</v>
      </c>
      <c r="AE14" s="37" t="n">
        <v>122</v>
      </c>
      <c r="AF14" s="37" t="s">
        <v>353</v>
      </c>
      <c r="AG14" s="37" t="s">
        <v>354</v>
      </c>
      <c r="AH14" s="37" t="s">
        <v>355</v>
      </c>
      <c r="AI14" s="37" t="s">
        <v>356</v>
      </c>
      <c r="AJ14" s="37" t="s">
        <v>357</v>
      </c>
      <c r="AK14" s="37"/>
      <c r="AL14" s="37" t="s">
        <v>358</v>
      </c>
      <c r="AM14" s="37" t="s">
        <v>359</v>
      </c>
      <c r="AN14" s="37" t="s">
        <v>408</v>
      </c>
      <c r="AO14" s="37" t="n">
        <v>2020</v>
      </c>
      <c r="AP14" s="37" t="n">
        <v>591</v>
      </c>
      <c r="AQ14" s="37"/>
      <c r="AR14" s="37"/>
      <c r="AS14" s="37"/>
      <c r="AT14" s="37"/>
      <c r="AU14" s="37" t="n">
        <v>125286</v>
      </c>
      <c r="AV14" s="37" t="s">
        <v>613</v>
      </c>
      <c r="AW14" s="37" t="str">
        <f aca="false">HYPERLINK("http://dx.doi.org/10.1016/j.jhydrol.2020.125286","http://dx.doi.org/10.1016/j.jhydrol.2020.125286")</f>
        <v>http://dx.doi.org/10.1016/j.jhydrol.2020.125286</v>
      </c>
      <c r="AX14" s="37"/>
      <c r="AY14" s="37" t="n">
        <v>12</v>
      </c>
      <c r="AZ14" s="37" t="s">
        <v>362</v>
      </c>
      <c r="BA14" s="37" t="s">
        <v>331</v>
      </c>
      <c r="BB14" s="37" t="s">
        <v>363</v>
      </c>
      <c r="BC14" s="37" t="s">
        <v>614</v>
      </c>
      <c r="BD14" s="37"/>
      <c r="BE14" s="37"/>
      <c r="BF14" s="37" t="s">
        <v>334</v>
      </c>
      <c r="BG14" s="37" t="s">
        <v>615</v>
      </c>
      <c r="BH14" s="37" t="str">
        <f aca="false">HYPERLINK("https%3A%2F%2Fwww.webofscience.com%2Fwos%2Fwoscc%2Ffull-record%2FWOS:000599757800016","View Full Record in Web of Science")</f>
        <v>View Full Record in Web of Science</v>
      </c>
      <c r="BI14" s="38" t="b">
        <f aca="false">TRUE()</f>
        <v>1</v>
      </c>
      <c r="BJ14" s="39"/>
      <c r="BK14" s="39"/>
      <c r="BL14" s="40"/>
      <c r="BM14" s="40"/>
      <c r="BN14" s="40"/>
      <c r="BO14" s="39"/>
      <c r="BP14" s="39"/>
      <c r="BQ14" s="39"/>
      <c r="BR14" s="38" t="b">
        <f aca="false">TRUE()</f>
        <v>1</v>
      </c>
      <c r="BS14" s="39"/>
      <c r="BT14" s="39"/>
      <c r="BU14" s="39"/>
      <c r="BV14" s="39"/>
      <c r="BW14" s="39"/>
      <c r="BX14" s="39"/>
      <c r="BY14" s="38" t="b">
        <f aca="false">TRUE()</f>
        <v>1</v>
      </c>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8" t="b">
        <f aca="false">TRUE()</f>
        <v>1</v>
      </c>
      <c r="CX14" s="39"/>
      <c r="CY14" s="39"/>
      <c r="CZ14" s="39"/>
      <c r="DA14" s="39"/>
      <c r="DB14" s="39"/>
      <c r="DC14" s="39"/>
      <c r="DD14" s="39"/>
      <c r="DE14" s="39"/>
      <c r="DF14" s="39"/>
      <c r="DG14" s="39"/>
      <c r="DH14" s="39"/>
      <c r="DI14" s="39"/>
      <c r="DJ14" s="40"/>
      <c r="DK14" s="39"/>
      <c r="DL14" s="39"/>
      <c r="DM14" s="39"/>
      <c r="DN14" s="40"/>
      <c r="DO14" s="39"/>
      <c r="DP14" s="39"/>
      <c r="DQ14" s="39"/>
      <c r="DR14" s="40"/>
      <c r="DS14" s="39"/>
      <c r="DT14" s="38" t="b">
        <f aca="false">TRUE()</f>
        <v>1</v>
      </c>
      <c r="DU14" s="39"/>
      <c r="DV14" s="39"/>
      <c r="DW14" s="39"/>
      <c r="DX14" s="39"/>
      <c r="DY14" s="39"/>
      <c r="DZ14" s="39"/>
      <c r="EA14" s="38" t="b">
        <f aca="false">TRUE()</f>
        <v>1</v>
      </c>
      <c r="EB14" s="39"/>
      <c r="EC14" s="40"/>
      <c r="ED14" s="39"/>
      <c r="EE14" s="40"/>
      <c r="EF14" s="39"/>
      <c r="EG14" s="39"/>
      <c r="EH14" s="39"/>
      <c r="EI14" s="39"/>
      <c r="EJ14" s="39"/>
      <c r="EK14" s="40"/>
      <c r="EL14" s="40"/>
      <c r="EM14" s="39"/>
      <c r="EN14" s="40"/>
      <c r="EO14" s="40"/>
      <c r="EP14" s="39"/>
      <c r="EQ14" s="39"/>
      <c r="ER14" s="39"/>
      <c r="ES14" s="39"/>
      <c r="ET14" s="40"/>
      <c r="EU14" s="40"/>
      <c r="EV14" s="40"/>
      <c r="EW14" s="39"/>
      <c r="EX14" s="39"/>
      <c r="EY14" s="38" t="b">
        <f aca="false">TRUE()</f>
        <v>1</v>
      </c>
      <c r="EZ14" s="39"/>
      <c r="FA14" s="40"/>
      <c r="FB14" s="40"/>
      <c r="FC14" s="39"/>
      <c r="FD14" s="39"/>
      <c r="FE14" s="40"/>
      <c r="FF14" s="39"/>
      <c r="FG14" s="39"/>
      <c r="FH14" s="39"/>
      <c r="FI14" s="39"/>
      <c r="FJ14" s="39"/>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38" t="b">
        <f aca="false">TRUE()</f>
        <v>1</v>
      </c>
      <c r="HL14" s="40"/>
      <c r="HM14" s="40"/>
      <c r="HN14" s="40"/>
      <c r="HO14" s="40"/>
      <c r="HP14" s="40"/>
      <c r="HQ14" s="40"/>
      <c r="HR14" s="40"/>
      <c r="HS14" s="40"/>
      <c r="HT14" s="40"/>
      <c r="HU14" s="40"/>
      <c r="HV14" s="40"/>
      <c r="HW14" s="40"/>
      <c r="HX14" s="40"/>
      <c r="HY14" s="40"/>
      <c r="HZ14" s="40"/>
      <c r="IA14" s="40"/>
      <c r="IB14" s="40"/>
      <c r="IC14" s="40"/>
      <c r="ID14" s="38" t="b">
        <f aca="false">TRUE()</f>
        <v>1</v>
      </c>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J14" s="40"/>
      <c r="JK14" s="40"/>
      <c r="JL14" s="40"/>
      <c r="JM14" s="40"/>
      <c r="JN14" s="40"/>
      <c r="JO14" s="40"/>
      <c r="JP14" s="40"/>
      <c r="JQ14" s="40"/>
      <c r="JR14" s="40"/>
      <c r="JS14" s="40"/>
      <c r="JT14" s="38" t="b">
        <f aca="false">TRUE()</f>
        <v>1</v>
      </c>
      <c r="JU14" s="39"/>
      <c r="JV14" s="39"/>
      <c r="JW14" s="39"/>
      <c r="JX14" s="39"/>
      <c r="JY14" s="39"/>
      <c r="JZ14" s="39"/>
      <c r="KA14" s="39"/>
      <c r="KB14" s="41" t="b">
        <f aca="false">TRUE()</f>
        <v>1</v>
      </c>
      <c r="KC14" s="39"/>
      <c r="KD14" s="39"/>
      <c r="KE14" s="39"/>
      <c r="KF14" s="39"/>
      <c r="KG14" s="39"/>
      <c r="KH14" s="39"/>
      <c r="KI14" s="39"/>
      <c r="KJ14" s="39"/>
      <c r="KK14" s="40"/>
      <c r="KL14" s="39"/>
      <c r="KM14" s="39"/>
      <c r="KN14" s="39"/>
      <c r="KO14" s="39"/>
      <c r="KP14" s="38" t="b">
        <f aca="false">TRUE()</f>
        <v>1</v>
      </c>
      <c r="KQ14" s="40"/>
      <c r="KR14" s="40"/>
      <c r="KS14" s="40"/>
      <c r="KT14" s="38" t="b">
        <f aca="false">TRUE()</f>
        <v>1</v>
      </c>
      <c r="KU14" s="44"/>
    </row>
    <row r="15" customFormat="false" ht="14.4" hidden="false" customHeight="false" outlineLevel="0" collapsed="false">
      <c r="A15" s="37" t="s">
        <v>305</v>
      </c>
      <c r="B15" s="37" t="s">
        <v>616</v>
      </c>
      <c r="C15" s="37"/>
      <c r="D15" s="37"/>
      <c r="E15" s="37"/>
      <c r="F15" s="37" t="s">
        <v>617</v>
      </c>
      <c r="G15" s="37" t="s">
        <v>618</v>
      </c>
      <c r="H15" s="37" t="s">
        <v>619</v>
      </c>
      <c r="I15" s="37" t="s">
        <v>310</v>
      </c>
      <c r="J15" s="37" t="s">
        <v>311</v>
      </c>
      <c r="K15" s="37"/>
      <c r="L15" s="37"/>
      <c r="M15" s="37"/>
      <c r="N15" s="37"/>
      <c r="O15" s="37" t="s">
        <v>620</v>
      </c>
      <c r="P15" s="37" t="s">
        <v>621</v>
      </c>
      <c r="Q15" s="37" t="s">
        <v>622</v>
      </c>
      <c r="R15" s="37" t="s">
        <v>623</v>
      </c>
      <c r="S15" s="37" t="s">
        <v>624</v>
      </c>
      <c r="T15" s="37" t="s">
        <v>625</v>
      </c>
      <c r="U15" s="37" t="s">
        <v>626</v>
      </c>
      <c r="V15" s="37" t="s">
        <v>627</v>
      </c>
      <c r="W15" s="37" t="s">
        <v>628</v>
      </c>
      <c r="X15" s="37"/>
      <c r="Y15" s="37"/>
      <c r="Z15" s="37"/>
      <c r="AA15" s="37" t="n">
        <v>54</v>
      </c>
      <c r="AB15" s="37" t="n">
        <v>2</v>
      </c>
      <c r="AC15" s="37" t="n">
        <v>2</v>
      </c>
      <c r="AD15" s="37" t="n">
        <v>6</v>
      </c>
      <c r="AE15" s="37" t="n">
        <v>6</v>
      </c>
      <c r="AF15" s="37" t="s">
        <v>546</v>
      </c>
      <c r="AG15" s="37" t="s">
        <v>547</v>
      </c>
      <c r="AH15" s="37" t="s">
        <v>548</v>
      </c>
      <c r="AI15" s="37"/>
      <c r="AJ15" s="37" t="s">
        <v>629</v>
      </c>
      <c r="AK15" s="37"/>
      <c r="AL15" s="37" t="s">
        <v>630</v>
      </c>
      <c r="AM15" s="37" t="s">
        <v>631</v>
      </c>
      <c r="AN15" s="37" t="s">
        <v>459</v>
      </c>
      <c r="AO15" s="37" t="n">
        <v>2024</v>
      </c>
      <c r="AP15" s="37" t="n">
        <v>16</v>
      </c>
      <c r="AQ15" s="37" t="n">
        <v>16</v>
      </c>
      <c r="AR15" s="37"/>
      <c r="AS15" s="37"/>
      <c r="AT15" s="37"/>
      <c r="AU15" s="37" t="n">
        <v>2233</v>
      </c>
      <c r="AV15" s="37" t="s">
        <v>632</v>
      </c>
      <c r="AW15" s="37" t="str">
        <f aca="false">HYPERLINK("http://dx.doi.org/10.3390/w16162233","http://dx.doi.org/10.3390/w16162233")</f>
        <v>http://dx.doi.org/10.3390/w16162233</v>
      </c>
      <c r="AX15" s="37"/>
      <c r="AY15" s="37" t="n">
        <v>19</v>
      </c>
      <c r="AZ15" s="37" t="s">
        <v>633</v>
      </c>
      <c r="BA15" s="37" t="s">
        <v>331</v>
      </c>
      <c r="BB15" s="37" t="s">
        <v>634</v>
      </c>
      <c r="BC15" s="37" t="s">
        <v>635</v>
      </c>
      <c r="BD15" s="37"/>
      <c r="BE15" s="37" t="s">
        <v>636</v>
      </c>
      <c r="BF15" s="37" t="s">
        <v>334</v>
      </c>
      <c r="BG15" s="37" t="s">
        <v>637</v>
      </c>
      <c r="BH15" s="37" t="str">
        <f aca="false">HYPERLINK("https%3A%2F%2Fwww.webofscience.com%2Fwos%2Fwoscc%2Ffull-record%2FWOS:001307493900001","View Full Record in Web of Science")</f>
        <v>View Full Record in Web of Science</v>
      </c>
      <c r="BI15" s="40" t="s">
        <v>336</v>
      </c>
      <c r="BJ15" s="39"/>
      <c r="BK15" s="39"/>
      <c r="BL15" s="40"/>
      <c r="BM15" s="40"/>
      <c r="BN15" s="40"/>
      <c r="BO15" s="39"/>
      <c r="BP15" s="39"/>
      <c r="BQ15" s="39"/>
      <c r="BR15" s="39"/>
      <c r="BS15" s="39"/>
      <c r="BT15" s="39"/>
      <c r="BU15" s="39"/>
      <c r="BV15" s="39"/>
      <c r="BW15" s="39"/>
      <c r="BX15" s="39"/>
      <c r="BY15" s="39"/>
      <c r="BZ15" s="39"/>
      <c r="CA15" s="39"/>
      <c r="CB15" s="39"/>
      <c r="CC15" s="39"/>
      <c r="CD15" s="39"/>
      <c r="CE15" s="39"/>
      <c r="CF15" s="40"/>
      <c r="CG15" s="39"/>
      <c r="CH15" s="39"/>
      <c r="CI15" s="39"/>
      <c r="CJ15" s="39"/>
      <c r="CK15" s="39"/>
      <c r="CL15" s="40"/>
      <c r="CM15" s="39"/>
      <c r="CN15" s="39"/>
      <c r="CO15" s="40"/>
      <c r="CP15" s="39"/>
      <c r="CQ15" s="40"/>
      <c r="CR15" s="39"/>
      <c r="CS15" s="39"/>
      <c r="CT15" s="39"/>
      <c r="CU15" s="39"/>
      <c r="CV15" s="39"/>
      <c r="CW15" s="38" t="b">
        <f aca="false">TRUE()</f>
        <v>1</v>
      </c>
      <c r="CX15" s="39"/>
      <c r="CY15" s="39"/>
      <c r="CZ15" s="38" t="b">
        <f aca="false">TRUE()</f>
        <v>1</v>
      </c>
      <c r="DA15" s="38" t="b">
        <f aca="false">TRUE()</f>
        <v>1</v>
      </c>
      <c r="DB15" s="39"/>
      <c r="DC15" s="40"/>
      <c r="DD15" s="39"/>
      <c r="DE15" s="40"/>
      <c r="DF15" s="39"/>
      <c r="DG15" s="39"/>
      <c r="DH15" s="39"/>
      <c r="DI15" s="40"/>
      <c r="DJ15" s="40"/>
      <c r="DK15" s="40"/>
      <c r="DL15" s="39"/>
      <c r="DM15" s="39"/>
      <c r="DN15" s="40"/>
      <c r="DO15" s="39"/>
      <c r="DP15" s="39"/>
      <c r="DQ15" s="39"/>
      <c r="DR15" s="40"/>
      <c r="DS15" s="40"/>
      <c r="DT15" s="39"/>
      <c r="DU15" s="39"/>
      <c r="DV15" s="39"/>
      <c r="DW15" s="39"/>
      <c r="DX15" s="39"/>
      <c r="DY15" s="39"/>
      <c r="DZ15" s="39"/>
      <c r="EA15" s="39"/>
      <c r="EB15" s="39"/>
      <c r="EC15" s="39"/>
      <c r="ED15" s="40"/>
      <c r="EE15" s="39"/>
      <c r="EF15" s="39"/>
      <c r="EG15" s="38" t="b">
        <f aca="false">TRUE()</f>
        <v>1</v>
      </c>
      <c r="EH15" s="40"/>
      <c r="EI15" s="38" t="b">
        <f aca="false">TRUE()</f>
        <v>1</v>
      </c>
      <c r="EJ15" s="39"/>
      <c r="EK15" s="39"/>
      <c r="EL15" s="39"/>
      <c r="EM15" s="38" t="b">
        <f aca="false">TRUE()</f>
        <v>1</v>
      </c>
      <c r="EN15" s="39"/>
      <c r="EO15" s="39"/>
      <c r="EP15" s="39"/>
      <c r="EQ15" s="39"/>
      <c r="ER15" s="39"/>
      <c r="ES15" s="39"/>
      <c r="ET15" s="39"/>
      <c r="EU15" s="39"/>
      <c r="EV15" s="39"/>
      <c r="EW15" s="39"/>
      <c r="EX15" s="40"/>
      <c r="EY15" s="38" t="b">
        <f aca="false">TRUE()</f>
        <v>1</v>
      </c>
      <c r="EZ15" s="40"/>
      <c r="FA15" s="39"/>
      <c r="FB15" s="40"/>
      <c r="FC15" s="38" t="b">
        <f aca="false">TRUE()</f>
        <v>1</v>
      </c>
      <c r="FD15" s="40"/>
      <c r="FE15" s="39"/>
      <c r="FF15" s="39"/>
      <c r="FG15" s="39"/>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38" t="b">
        <f aca="false">TRUE()</f>
        <v>1</v>
      </c>
      <c r="IG15" s="40"/>
      <c r="IH15" s="40"/>
      <c r="II15" s="40"/>
      <c r="IJ15" s="40"/>
      <c r="IK15" s="40"/>
      <c r="IL15" s="40"/>
      <c r="IM15" s="40"/>
      <c r="IN15" s="40"/>
      <c r="IO15" s="40"/>
      <c r="IP15" s="40"/>
      <c r="IQ15" s="40"/>
      <c r="IR15" s="40"/>
      <c r="IS15" s="40"/>
      <c r="IT15" s="40"/>
      <c r="IU15" s="40"/>
      <c r="IV15" s="40"/>
      <c r="IW15" s="40"/>
      <c r="IX15" s="40"/>
      <c r="IY15" s="40"/>
      <c r="IZ15" s="40"/>
      <c r="JA15" s="40"/>
      <c r="JB15" s="40"/>
      <c r="JC15" s="40"/>
      <c r="JD15" s="40"/>
      <c r="JE15" s="40"/>
      <c r="JF15" s="40"/>
      <c r="JG15" s="40"/>
      <c r="JH15" s="40"/>
      <c r="JI15" s="40"/>
      <c r="JJ15" s="40"/>
      <c r="JK15" s="40"/>
      <c r="JL15" s="40"/>
      <c r="JM15" s="40"/>
      <c r="JN15" s="40"/>
      <c r="JO15" s="40"/>
      <c r="JP15" s="40"/>
      <c r="JQ15" s="40"/>
      <c r="JR15" s="40"/>
      <c r="JS15" s="40"/>
      <c r="JT15" s="38" t="b">
        <f aca="false">TRUE()</f>
        <v>1</v>
      </c>
      <c r="JU15" s="39"/>
      <c r="JV15" s="39"/>
      <c r="JW15" s="39"/>
      <c r="JX15" s="39"/>
      <c r="JY15" s="39"/>
      <c r="JZ15" s="39"/>
      <c r="KA15" s="39"/>
      <c r="KB15" s="39"/>
      <c r="KC15" s="39"/>
      <c r="KD15" s="39"/>
      <c r="KE15" s="39"/>
      <c r="KF15" s="39"/>
      <c r="KG15" s="39"/>
      <c r="KH15" s="39"/>
      <c r="KI15" s="39"/>
      <c r="KJ15" s="39"/>
      <c r="KK15" s="40"/>
      <c r="KL15" s="39"/>
      <c r="KM15" s="39"/>
      <c r="KN15" s="39"/>
      <c r="KO15" s="39"/>
      <c r="KP15" s="41" t="b">
        <f aca="false">TRUE()</f>
        <v>1</v>
      </c>
      <c r="KQ15" s="39"/>
      <c r="KR15" s="40"/>
      <c r="KS15" s="40"/>
      <c r="KT15" s="38" t="b">
        <f aca="false">TRUE()</f>
        <v>1</v>
      </c>
      <c r="KU15" s="44"/>
    </row>
    <row r="16" customFormat="false" ht="14.4" hidden="false" customHeight="false" outlineLevel="0" collapsed="false">
      <c r="A16" s="37" t="s">
        <v>305</v>
      </c>
      <c r="B16" s="37" t="s">
        <v>638</v>
      </c>
      <c r="C16" s="37"/>
      <c r="D16" s="37"/>
      <c r="E16" s="37"/>
      <c r="F16" s="37" t="s">
        <v>639</v>
      </c>
      <c r="G16" s="37" t="s">
        <v>640</v>
      </c>
      <c r="H16" s="37" t="s">
        <v>340</v>
      </c>
      <c r="I16" s="37" t="s">
        <v>310</v>
      </c>
      <c r="J16" s="37" t="s">
        <v>311</v>
      </c>
      <c r="K16" s="37"/>
      <c r="L16" s="37"/>
      <c r="M16" s="37"/>
      <c r="N16" s="37"/>
      <c r="O16" s="37" t="s">
        <v>641</v>
      </c>
      <c r="P16" s="37" t="s">
        <v>642</v>
      </c>
      <c r="Q16" s="37" t="s">
        <v>643</v>
      </c>
      <c r="R16" s="37" t="s">
        <v>644</v>
      </c>
      <c r="S16" s="37" t="s">
        <v>645</v>
      </c>
      <c r="T16" s="37" t="s">
        <v>646</v>
      </c>
      <c r="U16" s="37" t="s">
        <v>647</v>
      </c>
      <c r="V16" s="37"/>
      <c r="W16" s="37" t="s">
        <v>648</v>
      </c>
      <c r="X16" s="37" t="s">
        <v>649</v>
      </c>
      <c r="Y16" s="37" t="s">
        <v>650</v>
      </c>
      <c r="Z16" s="37" t="s">
        <v>651</v>
      </c>
      <c r="AA16" s="37" t="n">
        <v>95</v>
      </c>
      <c r="AB16" s="37" t="n">
        <v>5</v>
      </c>
      <c r="AC16" s="37" t="n">
        <v>5</v>
      </c>
      <c r="AD16" s="37" t="n">
        <v>15</v>
      </c>
      <c r="AE16" s="37" t="n">
        <v>43</v>
      </c>
      <c r="AF16" s="37" t="s">
        <v>353</v>
      </c>
      <c r="AG16" s="37" t="s">
        <v>354</v>
      </c>
      <c r="AH16" s="37" t="s">
        <v>355</v>
      </c>
      <c r="AI16" s="37" t="s">
        <v>356</v>
      </c>
      <c r="AJ16" s="37" t="s">
        <v>357</v>
      </c>
      <c r="AK16" s="37"/>
      <c r="AL16" s="37" t="s">
        <v>358</v>
      </c>
      <c r="AM16" s="37" t="s">
        <v>359</v>
      </c>
      <c r="AN16" s="37" t="s">
        <v>408</v>
      </c>
      <c r="AO16" s="37" t="n">
        <v>2023</v>
      </c>
      <c r="AP16" s="37" t="n">
        <v>627</v>
      </c>
      <c r="AQ16" s="37"/>
      <c r="AR16" s="37" t="s">
        <v>652</v>
      </c>
      <c r="AS16" s="37"/>
      <c r="AT16" s="37"/>
      <c r="AU16" s="37" t="n">
        <v>130224</v>
      </c>
      <c r="AV16" s="37" t="s">
        <v>653</v>
      </c>
      <c r="AW16" s="37" t="str">
        <f aca="false">HYPERLINK("http://dx.doi.org/10.1016/j.jhydrol.2023.130224","http://dx.doi.org/10.1016/j.jhydrol.2023.130224")</f>
        <v>http://dx.doi.org/10.1016/j.jhydrol.2023.130224</v>
      </c>
      <c r="AX16" s="37" t="s">
        <v>410</v>
      </c>
      <c r="AY16" s="37" t="n">
        <v>18</v>
      </c>
      <c r="AZ16" s="37" t="s">
        <v>362</v>
      </c>
      <c r="BA16" s="37" t="s">
        <v>331</v>
      </c>
      <c r="BB16" s="37" t="s">
        <v>363</v>
      </c>
      <c r="BC16" s="37" t="s">
        <v>654</v>
      </c>
      <c r="BD16" s="37"/>
      <c r="BE16" s="37"/>
      <c r="BF16" s="37" t="s">
        <v>334</v>
      </c>
      <c r="BG16" s="37" t="s">
        <v>655</v>
      </c>
      <c r="BH16" s="37" t="str">
        <f aca="false">HYPERLINK("https%3A%2F%2Fwww.webofscience.com%2Fwos%2Fwoscc%2Ffull-record%2FWOS:001115035100001","View Full Record in Web of Science")</f>
        <v>View Full Record in Web of Science</v>
      </c>
      <c r="BI16" s="40" t="s">
        <v>336</v>
      </c>
      <c r="BJ16" s="39"/>
      <c r="BK16" s="39"/>
      <c r="BL16" s="40"/>
      <c r="BM16" s="40"/>
      <c r="BN16" s="40"/>
      <c r="BO16" s="38" t="b">
        <f aca="false">TRUE()</f>
        <v>1</v>
      </c>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40"/>
      <c r="CO16" s="39"/>
      <c r="CP16" s="39"/>
      <c r="CQ16" s="39"/>
      <c r="CR16" s="39"/>
      <c r="CS16" s="39"/>
      <c r="CT16" s="39"/>
      <c r="CU16" s="39"/>
      <c r="CV16" s="39"/>
      <c r="CW16" s="39"/>
      <c r="CX16" s="39"/>
      <c r="CY16" s="39"/>
      <c r="CZ16" s="39"/>
      <c r="DA16" s="39"/>
      <c r="DB16" s="39"/>
      <c r="DC16" s="39"/>
      <c r="DD16" s="39"/>
      <c r="DE16" s="39"/>
      <c r="DF16" s="39"/>
      <c r="DG16" s="39"/>
      <c r="DH16" s="39"/>
      <c r="DI16" s="39"/>
      <c r="DJ16" s="40"/>
      <c r="DK16" s="39"/>
      <c r="DL16" s="39"/>
      <c r="DM16" s="39"/>
      <c r="DN16" s="40"/>
      <c r="DO16" s="39"/>
      <c r="DP16" s="39"/>
      <c r="DQ16" s="39"/>
      <c r="DR16" s="39"/>
      <c r="DS16" s="39"/>
      <c r="DT16" s="39"/>
      <c r="DU16" s="39"/>
      <c r="DV16" s="39"/>
      <c r="DW16" s="39"/>
      <c r="DX16" s="39"/>
      <c r="DY16" s="39"/>
      <c r="DZ16" s="39"/>
      <c r="EA16" s="41" t="b">
        <f aca="false">TRUE()</f>
        <v>1</v>
      </c>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41" t="b">
        <f aca="false">TRUE()</f>
        <v>1</v>
      </c>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41" t="b">
        <f aca="false">TRUE()</f>
        <v>1</v>
      </c>
      <c r="JI16" s="39"/>
      <c r="JJ16" s="39"/>
      <c r="JK16" s="39"/>
      <c r="JL16" s="39"/>
      <c r="JM16" s="39"/>
      <c r="JN16" s="39"/>
      <c r="JO16" s="39"/>
      <c r="JP16" s="39"/>
      <c r="JQ16" s="39"/>
      <c r="JR16" s="39"/>
      <c r="JS16" s="40"/>
      <c r="JT16" s="38" t="b">
        <f aca="false">TRUE()</f>
        <v>1</v>
      </c>
      <c r="JU16" s="38" t="b">
        <f aca="false">TRUE()</f>
        <v>1</v>
      </c>
      <c r="JV16" s="40"/>
      <c r="JW16" s="40"/>
      <c r="JX16" s="40"/>
      <c r="JY16" s="40"/>
      <c r="JZ16" s="40"/>
      <c r="KA16" s="40"/>
      <c r="KB16" s="40"/>
      <c r="KC16" s="40"/>
      <c r="KD16" s="40"/>
      <c r="KE16" s="40"/>
      <c r="KF16" s="40"/>
      <c r="KG16" s="40"/>
      <c r="KH16" s="40"/>
      <c r="KI16" s="40"/>
      <c r="KJ16" s="40"/>
      <c r="KK16" s="39"/>
      <c r="KL16" s="40"/>
      <c r="KM16" s="40"/>
      <c r="KN16" s="40"/>
      <c r="KO16" s="40"/>
      <c r="KP16" s="39"/>
      <c r="KQ16" s="39"/>
      <c r="KR16" s="38" t="b">
        <f aca="false">TRUE()</f>
        <v>1</v>
      </c>
      <c r="KS16" s="40"/>
      <c r="KT16" s="38" t="b">
        <f aca="false">TRUE()</f>
        <v>1</v>
      </c>
      <c r="KU16" s="50" t="b">
        <f aca="false">TRUE()</f>
        <v>1</v>
      </c>
    </row>
    <row r="17" customFormat="false" ht="14.4" hidden="false" customHeight="false" outlineLevel="0" collapsed="false">
      <c r="A17" s="37" t="s">
        <v>305</v>
      </c>
      <c r="B17" s="37" t="s">
        <v>656</v>
      </c>
      <c r="C17" s="37"/>
      <c r="D17" s="37"/>
      <c r="E17" s="37"/>
      <c r="F17" s="37" t="s">
        <v>657</v>
      </c>
      <c r="G17" s="37" t="s">
        <v>658</v>
      </c>
      <c r="H17" s="37" t="s">
        <v>659</v>
      </c>
      <c r="I17" s="37" t="s">
        <v>310</v>
      </c>
      <c r="J17" s="37" t="s">
        <v>311</v>
      </c>
      <c r="K17" s="37"/>
      <c r="L17" s="37"/>
      <c r="M17" s="37"/>
      <c r="N17" s="37"/>
      <c r="O17" s="37" t="s">
        <v>660</v>
      </c>
      <c r="P17" s="37" t="s">
        <v>661</v>
      </c>
      <c r="Q17" s="37" t="s">
        <v>662</v>
      </c>
      <c r="R17" s="37" t="s">
        <v>663</v>
      </c>
      <c r="S17" s="37" t="s">
        <v>664</v>
      </c>
      <c r="T17" s="37" t="s">
        <v>665</v>
      </c>
      <c r="U17" s="37" t="s">
        <v>666</v>
      </c>
      <c r="V17" s="37" t="s">
        <v>667</v>
      </c>
      <c r="W17" s="37" t="s">
        <v>668</v>
      </c>
      <c r="X17" s="37" t="s">
        <v>669</v>
      </c>
      <c r="Y17" s="37" t="s">
        <v>670</v>
      </c>
      <c r="Z17" s="37" t="s">
        <v>671</v>
      </c>
      <c r="AA17" s="37" t="n">
        <v>109</v>
      </c>
      <c r="AB17" s="37" t="n">
        <v>1</v>
      </c>
      <c r="AC17" s="37" t="n">
        <v>1</v>
      </c>
      <c r="AD17" s="37" t="n">
        <v>54</v>
      </c>
      <c r="AE17" s="37" t="n">
        <v>56</v>
      </c>
      <c r="AF17" s="37" t="s">
        <v>672</v>
      </c>
      <c r="AG17" s="37" t="s">
        <v>673</v>
      </c>
      <c r="AH17" s="37" t="s">
        <v>674</v>
      </c>
      <c r="AI17" s="37" t="s">
        <v>675</v>
      </c>
      <c r="AJ17" s="37" t="s">
        <v>676</v>
      </c>
      <c r="AK17" s="37"/>
      <c r="AL17" s="37" t="s">
        <v>677</v>
      </c>
      <c r="AM17" s="37" t="s">
        <v>678</v>
      </c>
      <c r="AN17" s="37" t="s">
        <v>132</v>
      </c>
      <c r="AO17" s="37" t="n">
        <v>2024</v>
      </c>
      <c r="AP17" s="37" t="n">
        <v>60</v>
      </c>
      <c r="AQ17" s="37" t="n">
        <v>9</v>
      </c>
      <c r="AR17" s="37"/>
      <c r="AS17" s="37"/>
      <c r="AT17" s="37"/>
      <c r="AU17" s="37" t="s">
        <v>679</v>
      </c>
      <c r="AV17" s="37" t="s">
        <v>680</v>
      </c>
      <c r="AW17" s="37" t="str">
        <f aca="false">HYPERLINK("http://dx.doi.org/10.1029/2023WR036809","http://dx.doi.org/10.1029/2023WR036809")</f>
        <v>http://dx.doi.org/10.1029/2023WR036809</v>
      </c>
      <c r="AX17" s="37"/>
      <c r="AY17" s="37" t="n">
        <v>22</v>
      </c>
      <c r="AZ17" s="37" t="s">
        <v>681</v>
      </c>
      <c r="BA17" s="37" t="s">
        <v>331</v>
      </c>
      <c r="BB17" s="37" t="s">
        <v>682</v>
      </c>
      <c r="BC17" s="37" t="s">
        <v>683</v>
      </c>
      <c r="BD17" s="37"/>
      <c r="BE17" s="37" t="s">
        <v>684</v>
      </c>
      <c r="BF17" s="37" t="s">
        <v>334</v>
      </c>
      <c r="BG17" s="37" t="s">
        <v>685</v>
      </c>
      <c r="BH17" s="37" t="str">
        <f aca="false">HYPERLINK("https%3A%2F%2Fwww.webofscience.com%2Fwos%2Fwoscc%2Ffull-record%2FWOS:001309162200001","View Full Record in Web of Science")</f>
        <v>View Full Record in Web of Science</v>
      </c>
      <c r="BI17" s="39" t="s">
        <v>336</v>
      </c>
      <c r="BJ17" s="39"/>
      <c r="BK17" s="39"/>
      <c r="BL17" s="39"/>
      <c r="BM17" s="39"/>
      <c r="BN17" s="39"/>
      <c r="BO17" s="41" t="b">
        <f aca="false">TRUE()</f>
        <v>1</v>
      </c>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41" t="b">
        <f aca="false">TRUE()</f>
        <v>1</v>
      </c>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41" t="b">
        <f aca="false">TRUE()</f>
        <v>1</v>
      </c>
      <c r="JU17" s="41" t="b">
        <f aca="false">TRUE()</f>
        <v>1</v>
      </c>
      <c r="JV17" s="39"/>
      <c r="JW17" s="39"/>
      <c r="JX17" s="39"/>
      <c r="JY17" s="39"/>
      <c r="JZ17" s="39"/>
      <c r="KA17" s="39"/>
      <c r="KB17" s="39"/>
      <c r="KC17" s="39"/>
      <c r="KD17" s="39"/>
      <c r="KE17" s="39"/>
      <c r="KF17" s="39"/>
      <c r="KG17" s="39"/>
      <c r="KH17" s="39"/>
      <c r="KI17" s="39"/>
      <c r="KJ17" s="39"/>
      <c r="KK17" s="39"/>
      <c r="KL17" s="39"/>
      <c r="KM17" s="39"/>
      <c r="KN17" s="39"/>
      <c r="KO17" s="39"/>
      <c r="KP17" s="41" t="b">
        <f aca="false">TRUE()</f>
        <v>1</v>
      </c>
      <c r="KQ17" s="39"/>
      <c r="KR17" s="39"/>
      <c r="KS17" s="39"/>
      <c r="KT17" s="39"/>
      <c r="KU17" s="42"/>
    </row>
    <row r="18" customFormat="false" ht="14.4" hidden="false" customHeight="false" outlineLevel="0" collapsed="false">
      <c r="A18" s="37" t="s">
        <v>305</v>
      </c>
      <c r="B18" s="37" t="s">
        <v>686</v>
      </c>
      <c r="C18" s="37"/>
      <c r="D18" s="37"/>
      <c r="E18" s="37"/>
      <c r="F18" s="37" t="s">
        <v>687</v>
      </c>
      <c r="G18" s="37" t="s">
        <v>688</v>
      </c>
      <c r="H18" s="37" t="s">
        <v>340</v>
      </c>
      <c r="I18" s="37" t="s">
        <v>310</v>
      </c>
      <c r="J18" s="37" t="s">
        <v>311</v>
      </c>
      <c r="K18" s="37"/>
      <c r="L18" s="37"/>
      <c r="M18" s="37"/>
      <c r="N18" s="37"/>
      <c r="O18" s="37" t="s">
        <v>689</v>
      </c>
      <c r="P18" s="37" t="s">
        <v>690</v>
      </c>
      <c r="Q18" s="37" t="s">
        <v>691</v>
      </c>
      <c r="R18" s="37" t="s">
        <v>692</v>
      </c>
      <c r="S18" s="37" t="s">
        <v>693</v>
      </c>
      <c r="T18" s="37" t="s">
        <v>694</v>
      </c>
      <c r="U18" s="37"/>
      <c r="V18" s="37" t="s">
        <v>695</v>
      </c>
      <c r="W18" s="37" t="s">
        <v>696</v>
      </c>
      <c r="X18" s="37" t="s">
        <v>697</v>
      </c>
      <c r="Y18" s="37" t="s">
        <v>698</v>
      </c>
      <c r="Z18" s="37" t="s">
        <v>699</v>
      </c>
      <c r="AA18" s="37" t="n">
        <v>95</v>
      </c>
      <c r="AB18" s="37" t="n">
        <v>32</v>
      </c>
      <c r="AC18" s="37" t="n">
        <v>32</v>
      </c>
      <c r="AD18" s="37" t="n">
        <v>16</v>
      </c>
      <c r="AE18" s="37" t="n">
        <v>104</v>
      </c>
      <c r="AF18" s="37" t="s">
        <v>353</v>
      </c>
      <c r="AG18" s="37" t="s">
        <v>354</v>
      </c>
      <c r="AH18" s="37" t="s">
        <v>355</v>
      </c>
      <c r="AI18" s="37" t="s">
        <v>356</v>
      </c>
      <c r="AJ18" s="37" t="s">
        <v>357</v>
      </c>
      <c r="AK18" s="37"/>
      <c r="AL18" s="37" t="s">
        <v>358</v>
      </c>
      <c r="AM18" s="37" t="s">
        <v>359</v>
      </c>
      <c r="AN18" s="37" t="s">
        <v>700</v>
      </c>
      <c r="AO18" s="37" t="n">
        <v>2022</v>
      </c>
      <c r="AP18" s="37" t="n">
        <v>606</v>
      </c>
      <c r="AQ18" s="37"/>
      <c r="AR18" s="37"/>
      <c r="AS18" s="37"/>
      <c r="AT18" s="37"/>
      <c r="AU18" s="37" t="n">
        <v>127422</v>
      </c>
      <c r="AV18" s="37" t="s">
        <v>701</v>
      </c>
      <c r="AW18" s="37" t="str">
        <f aca="false">HYPERLINK("http://dx.doi.org/10.1016/j.jhydrol.2021.127422","http://dx.doi.org/10.1016/j.jhydrol.2021.127422")</f>
        <v>http://dx.doi.org/10.1016/j.jhydrol.2021.127422</v>
      </c>
      <c r="AX18" s="37" t="s">
        <v>702</v>
      </c>
      <c r="AY18" s="37" t="n">
        <v>15</v>
      </c>
      <c r="AZ18" s="37" t="s">
        <v>362</v>
      </c>
      <c r="BA18" s="37" t="s">
        <v>331</v>
      </c>
      <c r="BB18" s="37" t="s">
        <v>363</v>
      </c>
      <c r="BC18" s="37" t="s">
        <v>703</v>
      </c>
      <c r="BD18" s="37"/>
      <c r="BE18" s="37"/>
      <c r="BF18" s="37" t="s">
        <v>334</v>
      </c>
      <c r="BG18" s="37" t="s">
        <v>704</v>
      </c>
      <c r="BH18" s="37" t="str">
        <f aca="false">HYPERLINK("https%3A%2F%2Fwww.webofscience.com%2Fwos%2Fwoscc%2Ffull-record%2FWOS:000752513600003","View Full Record in Web of Science")</f>
        <v>View Full Record in Web of Science</v>
      </c>
      <c r="BI18" s="39" t="s">
        <v>336</v>
      </c>
      <c r="BJ18" s="39"/>
      <c r="BK18" s="39"/>
      <c r="BL18" s="39"/>
      <c r="BM18" s="39"/>
      <c r="BN18" s="39"/>
      <c r="BO18" s="41" t="b">
        <f aca="false">TRUE()</f>
        <v>1</v>
      </c>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41" t="b">
        <f aca="false">TRUE()</f>
        <v>1</v>
      </c>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41" t="b">
        <f aca="false">TRUE()</f>
        <v>1</v>
      </c>
      <c r="GY18" s="39"/>
      <c r="GZ18" s="39"/>
      <c r="HA18" s="39"/>
      <c r="HB18" s="39"/>
      <c r="HC18" s="39"/>
      <c r="HD18" s="39"/>
      <c r="HE18" s="39"/>
      <c r="HF18" s="39"/>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41" t="b">
        <f aca="false">TRUE()</f>
        <v>1</v>
      </c>
      <c r="JI18" s="39"/>
      <c r="JJ18" s="39"/>
      <c r="JK18" s="39"/>
      <c r="JL18" s="39"/>
      <c r="JM18" s="39"/>
      <c r="JN18" s="39"/>
      <c r="JO18" s="39"/>
      <c r="JP18" s="39"/>
      <c r="JQ18" s="39"/>
      <c r="JR18" s="39"/>
      <c r="JS18" s="39"/>
      <c r="JT18" s="41" t="b">
        <f aca="false">TRUE()</f>
        <v>1</v>
      </c>
      <c r="JU18" s="41" t="b">
        <f aca="false">TRUE()</f>
        <v>1</v>
      </c>
      <c r="JV18" s="39"/>
      <c r="JW18" s="39"/>
      <c r="JX18" s="39"/>
      <c r="JY18" s="39"/>
      <c r="JZ18" s="39"/>
      <c r="KA18" s="39"/>
      <c r="KB18" s="39"/>
      <c r="KC18" s="39"/>
      <c r="KD18" s="39"/>
      <c r="KE18" s="39"/>
      <c r="KF18" s="39"/>
      <c r="KG18" s="39"/>
      <c r="KH18" s="39"/>
      <c r="KI18" s="39"/>
      <c r="KJ18" s="39"/>
      <c r="KK18" s="39"/>
      <c r="KL18" s="39"/>
      <c r="KM18" s="39"/>
      <c r="KN18" s="39"/>
      <c r="KO18" s="39"/>
      <c r="KP18" s="39"/>
      <c r="KQ18" s="41" t="b">
        <f aca="false">TRUE()</f>
        <v>1</v>
      </c>
      <c r="KR18" s="40"/>
      <c r="KS18" s="40"/>
      <c r="KT18" s="40"/>
      <c r="KU18" s="50" t="b">
        <f aca="false">TRUE()</f>
        <v>1</v>
      </c>
    </row>
    <row r="19" customFormat="false" ht="14.4" hidden="false" customHeight="false" outlineLevel="0" collapsed="false">
      <c r="A19" s="37" t="s">
        <v>305</v>
      </c>
      <c r="B19" s="37" t="s">
        <v>705</v>
      </c>
      <c r="C19" s="37"/>
      <c r="D19" s="37"/>
      <c r="E19" s="37"/>
      <c r="F19" s="37" t="s">
        <v>706</v>
      </c>
      <c r="G19" s="37" t="s">
        <v>707</v>
      </c>
      <c r="H19" s="37" t="s">
        <v>708</v>
      </c>
      <c r="I19" s="37" t="s">
        <v>310</v>
      </c>
      <c r="J19" s="37" t="s">
        <v>311</v>
      </c>
      <c r="K19" s="37"/>
      <c r="L19" s="37"/>
      <c r="M19" s="37"/>
      <c r="N19" s="37"/>
      <c r="O19" s="37" t="s">
        <v>709</v>
      </c>
      <c r="P19" s="37" t="s">
        <v>710</v>
      </c>
      <c r="Q19" s="37" t="s">
        <v>711</v>
      </c>
      <c r="R19" s="37" t="s">
        <v>712</v>
      </c>
      <c r="S19" s="37" t="s">
        <v>713</v>
      </c>
      <c r="T19" s="37" t="s">
        <v>714</v>
      </c>
      <c r="U19" s="37" t="s">
        <v>715</v>
      </c>
      <c r="V19" s="37" t="s">
        <v>716</v>
      </c>
      <c r="W19" s="37"/>
      <c r="X19" s="37"/>
      <c r="Y19" s="37"/>
      <c r="Z19" s="37"/>
      <c r="AA19" s="37" t="n">
        <v>42</v>
      </c>
      <c r="AB19" s="37" t="n">
        <v>23</v>
      </c>
      <c r="AC19" s="37" t="n">
        <v>25</v>
      </c>
      <c r="AD19" s="37" t="n">
        <v>8</v>
      </c>
      <c r="AE19" s="37" t="n">
        <v>58</v>
      </c>
      <c r="AF19" s="37" t="s">
        <v>717</v>
      </c>
      <c r="AG19" s="37" t="s">
        <v>718</v>
      </c>
      <c r="AH19" s="37" t="s">
        <v>719</v>
      </c>
      <c r="AI19" s="37" t="s">
        <v>720</v>
      </c>
      <c r="AJ19" s="37" t="s">
        <v>721</v>
      </c>
      <c r="AK19" s="37"/>
      <c r="AL19" s="37" t="s">
        <v>722</v>
      </c>
      <c r="AM19" s="37" t="s">
        <v>723</v>
      </c>
      <c r="AN19" s="37" t="s">
        <v>724</v>
      </c>
      <c r="AO19" s="37" t="n">
        <v>2020</v>
      </c>
      <c r="AP19" s="37" t="n">
        <v>65</v>
      </c>
      <c r="AQ19" s="37" t="n">
        <v>16</v>
      </c>
      <c r="AR19" s="37"/>
      <c r="AS19" s="37" t="n">
        <v>2669</v>
      </c>
      <c r="AT19" s="37" t="n">
        <v>2677</v>
      </c>
      <c r="AU19" s="37"/>
      <c r="AV19" s="37" t="s">
        <v>725</v>
      </c>
      <c r="AW19" s="37" t="str">
        <f aca="false">HYPERLINK("http://dx.doi.org/10.1080/02626667.2020.1830996","http://dx.doi.org/10.1080/02626667.2020.1830996")</f>
        <v>http://dx.doi.org/10.1080/02626667.2020.1830996</v>
      </c>
      <c r="AX19" s="37" t="s">
        <v>726</v>
      </c>
      <c r="AY19" s="37" t="n">
        <v>9</v>
      </c>
      <c r="AZ19" s="37" t="s">
        <v>727</v>
      </c>
      <c r="BA19" s="37" t="s">
        <v>331</v>
      </c>
      <c r="BB19" s="37" t="s">
        <v>727</v>
      </c>
      <c r="BC19" s="37" t="s">
        <v>728</v>
      </c>
      <c r="BD19" s="37"/>
      <c r="BE19" s="37"/>
      <c r="BF19" s="37" t="s">
        <v>334</v>
      </c>
      <c r="BG19" s="37" t="s">
        <v>729</v>
      </c>
      <c r="BH19" s="37" t="str">
        <f aca="false">HYPERLINK("https%3A%2F%2Fwww.webofscience.com%2Fwos%2Fwoscc%2Ffull-record%2FWOS:000586903100001","View Full Record in Web of Science")</f>
        <v>View Full Record in Web of Science</v>
      </c>
      <c r="BI19" s="41" t="b">
        <f aca="false">TRUE()</f>
        <v>1</v>
      </c>
      <c r="BJ19" s="39"/>
      <c r="BK19" s="39"/>
      <c r="BL19" s="39"/>
      <c r="BM19" s="39"/>
      <c r="BN19" s="39"/>
      <c r="BO19" s="39"/>
      <c r="BP19" s="39"/>
      <c r="BQ19" s="39"/>
      <c r="BR19" s="39"/>
      <c r="BS19" s="39"/>
      <c r="BT19" s="39"/>
      <c r="BU19" s="39"/>
      <c r="BV19" s="39"/>
      <c r="BW19" s="39"/>
      <c r="BX19" s="39"/>
      <c r="BY19" s="41" t="b">
        <f aca="false">TRUE()</f>
        <v>1</v>
      </c>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41" t="b">
        <f aca="false">TRUE()</f>
        <v>1</v>
      </c>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41" t="b">
        <f aca="false">TRUE()</f>
        <v>1</v>
      </c>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41" t="b">
        <f aca="false">TRUE()</f>
        <v>1</v>
      </c>
      <c r="JU19" s="39"/>
      <c r="JV19" s="39"/>
      <c r="JW19" s="39"/>
      <c r="JX19" s="39"/>
      <c r="JY19" s="39"/>
      <c r="JZ19" s="39"/>
      <c r="KA19" s="39"/>
      <c r="KB19" s="39"/>
      <c r="KC19" s="41" t="b">
        <f aca="false">TRUE()</f>
        <v>1</v>
      </c>
      <c r="KD19" s="39"/>
      <c r="KE19" s="39"/>
      <c r="KF19" s="39"/>
      <c r="KG19" s="39"/>
      <c r="KH19" s="39"/>
      <c r="KI19" s="39"/>
      <c r="KJ19" s="39"/>
      <c r="KK19" s="39"/>
      <c r="KL19" s="39"/>
      <c r="KM19" s="39"/>
      <c r="KN19" s="39"/>
      <c r="KO19" s="39"/>
      <c r="KP19" s="41" t="b">
        <f aca="false">TRUE()</f>
        <v>1</v>
      </c>
      <c r="KQ19" s="41" t="b">
        <f aca="false">TRUE()</f>
        <v>1</v>
      </c>
      <c r="KR19" s="39"/>
      <c r="KS19" s="39"/>
      <c r="KT19" s="41" t="b">
        <f aca="false">TRUE()</f>
        <v>1</v>
      </c>
      <c r="KU19" s="42"/>
    </row>
    <row r="20" customFormat="false" ht="14.4" hidden="false" customHeight="false" outlineLevel="0" collapsed="false">
      <c r="A20" s="37" t="s">
        <v>305</v>
      </c>
      <c r="B20" s="37" t="s">
        <v>730</v>
      </c>
      <c r="C20" s="37"/>
      <c r="D20" s="37"/>
      <c r="E20" s="37"/>
      <c r="F20" s="37" t="s">
        <v>731</v>
      </c>
      <c r="G20" s="37" t="s">
        <v>732</v>
      </c>
      <c r="H20" s="37" t="s">
        <v>733</v>
      </c>
      <c r="I20" s="37" t="s">
        <v>310</v>
      </c>
      <c r="J20" s="37" t="s">
        <v>311</v>
      </c>
      <c r="K20" s="37"/>
      <c r="L20" s="37"/>
      <c r="M20" s="37"/>
      <c r="N20" s="37"/>
      <c r="O20" s="37" t="s">
        <v>734</v>
      </c>
      <c r="P20" s="37" t="s">
        <v>735</v>
      </c>
      <c r="Q20" s="37" t="s">
        <v>736</v>
      </c>
      <c r="R20" s="37" t="s">
        <v>737</v>
      </c>
      <c r="S20" s="37" t="s">
        <v>738</v>
      </c>
      <c r="T20" s="37" t="s">
        <v>739</v>
      </c>
      <c r="U20" s="37" t="s">
        <v>740</v>
      </c>
      <c r="V20" s="37" t="s">
        <v>741</v>
      </c>
      <c r="W20" s="37"/>
      <c r="X20" s="37" t="s">
        <v>742</v>
      </c>
      <c r="Y20" s="37" t="s">
        <v>743</v>
      </c>
      <c r="Z20" s="37" t="s">
        <v>744</v>
      </c>
      <c r="AA20" s="37" t="n">
        <v>91</v>
      </c>
      <c r="AB20" s="37" t="n">
        <v>13</v>
      </c>
      <c r="AC20" s="37" t="n">
        <v>13</v>
      </c>
      <c r="AD20" s="37" t="n">
        <v>21</v>
      </c>
      <c r="AE20" s="37" t="n">
        <v>46</v>
      </c>
      <c r="AF20" s="37" t="s">
        <v>353</v>
      </c>
      <c r="AG20" s="37" t="s">
        <v>354</v>
      </c>
      <c r="AH20" s="37" t="s">
        <v>355</v>
      </c>
      <c r="AI20" s="37" t="s">
        <v>745</v>
      </c>
      <c r="AJ20" s="37" t="s">
        <v>746</v>
      </c>
      <c r="AK20" s="37"/>
      <c r="AL20" s="37" t="s">
        <v>747</v>
      </c>
      <c r="AM20" s="37" t="s">
        <v>748</v>
      </c>
      <c r="AN20" s="37" t="s">
        <v>749</v>
      </c>
      <c r="AO20" s="37" t="n">
        <v>2023</v>
      </c>
      <c r="AP20" s="37" t="n">
        <v>289</v>
      </c>
      <c r="AQ20" s="37"/>
      <c r="AR20" s="37"/>
      <c r="AS20" s="37"/>
      <c r="AT20" s="37"/>
      <c r="AU20" s="37" t="n">
        <v>108498</v>
      </c>
      <c r="AV20" s="37" t="s">
        <v>750</v>
      </c>
      <c r="AW20" s="37" t="str">
        <f aca="false">HYPERLINK("http://dx.doi.org/10.1016/j.agwat.2023.108498","http://dx.doi.org/10.1016/j.agwat.2023.108498")</f>
        <v>http://dx.doi.org/10.1016/j.agwat.2023.108498</v>
      </c>
      <c r="AX20" s="37" t="s">
        <v>751</v>
      </c>
      <c r="AY20" s="37" t="n">
        <v>19</v>
      </c>
      <c r="AZ20" s="37" t="s">
        <v>438</v>
      </c>
      <c r="BA20" s="37" t="s">
        <v>331</v>
      </c>
      <c r="BB20" s="37" t="s">
        <v>439</v>
      </c>
      <c r="BC20" s="37" t="s">
        <v>752</v>
      </c>
      <c r="BD20" s="37"/>
      <c r="BE20" s="37" t="s">
        <v>684</v>
      </c>
      <c r="BF20" s="37" t="s">
        <v>334</v>
      </c>
      <c r="BG20" s="37" t="s">
        <v>753</v>
      </c>
      <c r="BH20" s="37" t="str">
        <f aca="false">HYPERLINK("https%3A%2F%2Fwww.webofscience.com%2Fwos%2Fwoscc%2Ffull-record%2FWOS:001072082700001","View Full Record in Web of Science")</f>
        <v>View Full Record in Web of Science</v>
      </c>
      <c r="BI20" s="39" t="s">
        <v>336</v>
      </c>
      <c r="BJ20" s="39"/>
      <c r="BK20" s="39"/>
      <c r="BL20" s="39"/>
      <c r="BM20" s="39"/>
      <c r="BN20" s="39"/>
      <c r="BO20" s="39"/>
      <c r="BP20" s="39"/>
      <c r="BQ20" s="39"/>
      <c r="BR20" s="41" t="b">
        <f aca="false">TRUE()</f>
        <v>1</v>
      </c>
      <c r="BS20" s="41" t="b">
        <f aca="false">TRUE()</f>
        <v>1</v>
      </c>
      <c r="BT20" s="41" t="b">
        <f aca="false">TRUE()</f>
        <v>1</v>
      </c>
      <c r="BU20" s="41" t="b">
        <f aca="false">TRUE()</f>
        <v>1</v>
      </c>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41" t="b">
        <f aca="false">TRUE()</f>
        <v>1</v>
      </c>
      <c r="EB20" s="39"/>
      <c r="EC20" s="39"/>
      <c r="ED20" s="39"/>
      <c r="EE20" s="39"/>
      <c r="EF20" s="39"/>
      <c r="EG20" s="39"/>
      <c r="EH20" s="39"/>
      <c r="EI20" s="41" t="b">
        <f aca="false">TRUE()</f>
        <v>1</v>
      </c>
      <c r="EJ20" s="39"/>
      <c r="EK20" s="39"/>
      <c r="EL20" s="39"/>
      <c r="EM20" s="39"/>
      <c r="EN20" s="39"/>
      <c r="EO20" s="39"/>
      <c r="EP20" s="39"/>
      <c r="EQ20" s="39"/>
      <c r="ER20" s="39"/>
      <c r="ES20" s="39"/>
      <c r="ET20" s="39"/>
      <c r="EU20" s="39"/>
      <c r="EV20" s="39"/>
      <c r="EW20" s="39"/>
      <c r="EX20" s="39"/>
      <c r="EY20" s="41" t="b">
        <f aca="false">TRUE()</f>
        <v>1</v>
      </c>
      <c r="EZ20" s="39"/>
      <c r="FA20" s="39"/>
      <c r="FB20" s="39"/>
      <c r="FC20" s="39"/>
      <c r="FD20" s="39"/>
      <c r="FE20" s="39"/>
      <c r="FF20" s="41" t="b">
        <f aca="false">TRUE()</f>
        <v>1</v>
      </c>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41" t="b">
        <f aca="false">TRUE()</f>
        <v>1</v>
      </c>
      <c r="IE20" s="39"/>
      <c r="IF20" s="39"/>
      <c r="IG20" s="39"/>
      <c r="IH20" s="39"/>
      <c r="II20" s="39"/>
      <c r="IJ20" s="39"/>
      <c r="IK20" s="39"/>
      <c r="IL20" s="39"/>
      <c r="IM20" s="39"/>
      <c r="IN20" s="39"/>
      <c r="IO20" s="39"/>
      <c r="IP20" s="39"/>
      <c r="IQ20" s="39"/>
      <c r="IR20" s="39"/>
      <c r="IS20" s="39"/>
      <c r="IT20" s="39"/>
      <c r="IU20" s="39"/>
      <c r="IV20" s="39"/>
      <c r="IW20" s="39"/>
      <c r="IX20" s="39"/>
      <c r="IY20" s="39"/>
      <c r="IZ20" s="39"/>
      <c r="JA20" s="39"/>
      <c r="JB20" s="39"/>
      <c r="JC20" s="39"/>
      <c r="JD20" s="39"/>
      <c r="JE20" s="39"/>
      <c r="JF20" s="39"/>
      <c r="JG20" s="39"/>
      <c r="JH20" s="39"/>
      <c r="JI20" s="39"/>
      <c r="JJ20" s="39"/>
      <c r="JK20" s="39"/>
      <c r="JL20" s="39"/>
      <c r="JM20" s="39"/>
      <c r="JN20" s="39"/>
      <c r="JO20" s="39"/>
      <c r="JP20" s="39"/>
      <c r="JQ20" s="39"/>
      <c r="JR20" s="39"/>
      <c r="JS20" s="39"/>
      <c r="JT20" s="41" t="b">
        <f aca="false">TRUE()</f>
        <v>1</v>
      </c>
      <c r="JU20" s="39"/>
      <c r="JV20" s="39"/>
      <c r="JW20" s="39"/>
      <c r="JX20" s="39"/>
      <c r="JY20" s="39"/>
      <c r="JZ20" s="39"/>
      <c r="KA20" s="39"/>
      <c r="KB20" s="39"/>
      <c r="KC20" s="39"/>
      <c r="KD20" s="39"/>
      <c r="KE20" s="39"/>
      <c r="KF20" s="39"/>
      <c r="KG20" s="39"/>
      <c r="KH20" s="39"/>
      <c r="KI20" s="39"/>
      <c r="KJ20" s="39"/>
      <c r="KK20" s="39"/>
      <c r="KL20" s="39"/>
      <c r="KM20" s="39"/>
      <c r="KN20" s="39"/>
      <c r="KO20" s="39"/>
      <c r="KP20" s="41" t="b">
        <f aca="false">TRUE()</f>
        <v>1</v>
      </c>
      <c r="KQ20" s="39"/>
      <c r="KR20" s="39"/>
      <c r="KS20" s="39"/>
      <c r="KT20" s="41" t="b">
        <f aca="false">TRUE()</f>
        <v>1</v>
      </c>
      <c r="KU20" s="42"/>
    </row>
    <row r="21" customFormat="false" ht="14.4" hidden="false" customHeight="false" outlineLevel="0" collapsed="false">
      <c r="A21" s="37" t="s">
        <v>305</v>
      </c>
      <c r="B21" s="37" t="s">
        <v>754</v>
      </c>
      <c r="C21" s="37"/>
      <c r="D21" s="37"/>
      <c r="E21" s="37"/>
      <c r="F21" s="37" t="s">
        <v>755</v>
      </c>
      <c r="G21" s="37" t="s">
        <v>756</v>
      </c>
      <c r="H21" s="37" t="s">
        <v>757</v>
      </c>
      <c r="I21" s="37" t="s">
        <v>310</v>
      </c>
      <c r="J21" s="37" t="s">
        <v>311</v>
      </c>
      <c r="K21" s="37"/>
      <c r="L21" s="37"/>
      <c r="M21" s="37"/>
      <c r="N21" s="37"/>
      <c r="O21" s="37" t="s">
        <v>758</v>
      </c>
      <c r="P21" s="37" t="s">
        <v>759</v>
      </c>
      <c r="Q21" s="37" t="s">
        <v>760</v>
      </c>
      <c r="R21" s="37" t="s">
        <v>761</v>
      </c>
      <c r="S21" s="37" t="s">
        <v>762</v>
      </c>
      <c r="T21" s="37" t="s">
        <v>763</v>
      </c>
      <c r="U21" s="37" t="s">
        <v>764</v>
      </c>
      <c r="V21" s="37"/>
      <c r="W21" s="37" t="s">
        <v>765</v>
      </c>
      <c r="X21" s="37" t="s">
        <v>766</v>
      </c>
      <c r="Y21" s="37" t="s">
        <v>767</v>
      </c>
      <c r="Z21" s="37" t="s">
        <v>768</v>
      </c>
      <c r="AA21" s="37" t="n">
        <v>63</v>
      </c>
      <c r="AB21" s="37" t="n">
        <v>7</v>
      </c>
      <c r="AC21" s="37" t="n">
        <v>7</v>
      </c>
      <c r="AD21" s="37" t="n">
        <v>4</v>
      </c>
      <c r="AE21" s="37" t="n">
        <v>34</v>
      </c>
      <c r="AF21" s="37" t="s">
        <v>769</v>
      </c>
      <c r="AG21" s="37" t="s">
        <v>525</v>
      </c>
      <c r="AH21" s="37" t="s">
        <v>770</v>
      </c>
      <c r="AI21" s="37" t="s">
        <v>771</v>
      </c>
      <c r="AJ21" s="37" t="s">
        <v>772</v>
      </c>
      <c r="AK21" s="37"/>
      <c r="AL21" s="37" t="s">
        <v>773</v>
      </c>
      <c r="AM21" s="37" t="s">
        <v>774</v>
      </c>
      <c r="AN21" s="37" t="s">
        <v>775</v>
      </c>
      <c r="AO21" s="37" t="n">
        <v>2023</v>
      </c>
      <c r="AP21" s="37" t="n">
        <v>20</v>
      </c>
      <c r="AQ21" s="37" t="n">
        <v>5</v>
      </c>
      <c r="AR21" s="37"/>
      <c r="AS21" s="37" t="n">
        <v>5091</v>
      </c>
      <c r="AT21" s="37" t="n">
        <v>5108</v>
      </c>
      <c r="AU21" s="37"/>
      <c r="AV21" s="37" t="s">
        <v>776</v>
      </c>
      <c r="AW21" s="37" t="str">
        <f aca="false">HYPERLINK("http://dx.doi.org/10.1007/s13762-022-04334-1","http://dx.doi.org/10.1007/s13762-022-04334-1")</f>
        <v>http://dx.doi.org/10.1007/s13762-022-04334-1</v>
      </c>
      <c r="AX21" s="37" t="s">
        <v>777</v>
      </c>
      <c r="AY21" s="37" t="n">
        <v>18</v>
      </c>
      <c r="AZ21" s="37" t="s">
        <v>500</v>
      </c>
      <c r="BA21" s="37" t="s">
        <v>331</v>
      </c>
      <c r="BB21" s="37" t="s">
        <v>501</v>
      </c>
      <c r="BC21" s="37" t="s">
        <v>778</v>
      </c>
      <c r="BD21" s="37"/>
      <c r="BE21" s="37"/>
      <c r="BF21" s="37" t="s">
        <v>334</v>
      </c>
      <c r="BG21" s="37" t="s">
        <v>779</v>
      </c>
      <c r="BH21" s="37" t="str">
        <f aca="false">HYPERLINK("https%3A%2F%2Fwww.webofscience.com%2Fwos%2Fwoscc%2Ffull-record%2FWOS:000814939300001","View Full Record in Web of Science")</f>
        <v>View Full Record in Web of Science</v>
      </c>
      <c r="BI21" s="41" t="b">
        <f aca="false">TRUE()</f>
        <v>1</v>
      </c>
      <c r="BJ21" s="39"/>
      <c r="BK21" s="39"/>
      <c r="BL21" s="39"/>
      <c r="BM21" s="39"/>
      <c r="BN21" s="39"/>
      <c r="BO21" s="39"/>
      <c r="BP21" s="39"/>
      <c r="BQ21" s="39"/>
      <c r="BR21" s="41" t="b">
        <f aca="false">TRUE()</f>
        <v>1</v>
      </c>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41" t="b">
        <f aca="false">TRUE()</f>
        <v>1</v>
      </c>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41" t="b">
        <f aca="false">TRUE()</f>
        <v>1</v>
      </c>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41" t="b">
        <f aca="false">TRUE()</f>
        <v>1</v>
      </c>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41" t="b">
        <f aca="false">TRUE()</f>
        <v>1</v>
      </c>
      <c r="II21" s="39"/>
      <c r="IJ21" s="39"/>
      <c r="IK21" s="39"/>
      <c r="IL21" s="39"/>
      <c r="IM21" s="39"/>
      <c r="IN21" s="39"/>
      <c r="IO21" s="39"/>
      <c r="IP21" s="39"/>
      <c r="IQ21" s="39"/>
      <c r="IR21" s="39"/>
      <c r="IS21" s="39"/>
      <c r="IT21" s="39"/>
      <c r="IU21" s="39"/>
      <c r="IV21" s="39"/>
      <c r="IW21" s="39"/>
      <c r="IX21" s="39"/>
      <c r="IY21" s="39"/>
      <c r="IZ21" s="39"/>
      <c r="JA21" s="39"/>
      <c r="JB21" s="39"/>
      <c r="JC21" s="39"/>
      <c r="JD21" s="39"/>
      <c r="JE21" s="39"/>
      <c r="JF21" s="39"/>
      <c r="JG21" s="39"/>
      <c r="JH21" s="39"/>
      <c r="JI21" s="39"/>
      <c r="JJ21" s="39"/>
      <c r="JK21" s="39"/>
      <c r="JL21" s="39"/>
      <c r="JM21" s="39"/>
      <c r="JN21" s="39"/>
      <c r="JO21" s="39"/>
      <c r="JP21" s="39"/>
      <c r="JQ21" s="39"/>
      <c r="JR21" s="39"/>
      <c r="JS21" s="39"/>
      <c r="JT21" s="41" t="b">
        <f aca="false">TRUE()</f>
        <v>1</v>
      </c>
      <c r="JU21" s="39"/>
      <c r="JV21" s="39"/>
      <c r="JW21" s="39"/>
      <c r="JX21" s="39"/>
      <c r="JY21" s="39"/>
      <c r="JZ21" s="39"/>
      <c r="KA21" s="39"/>
      <c r="KB21" s="39"/>
      <c r="KC21" s="39"/>
      <c r="KD21" s="39"/>
      <c r="KE21" s="39"/>
      <c r="KF21" s="39"/>
      <c r="KG21" s="39"/>
      <c r="KH21" s="39"/>
      <c r="KI21" s="39"/>
      <c r="KJ21" s="39"/>
      <c r="KK21" s="39"/>
      <c r="KL21" s="39"/>
      <c r="KM21" s="39"/>
      <c r="KN21" s="39"/>
      <c r="KO21" s="39"/>
      <c r="KP21" s="41" t="b">
        <f aca="false">TRUE()</f>
        <v>1</v>
      </c>
      <c r="KQ21" s="39"/>
      <c r="KR21" s="39"/>
      <c r="KS21" s="39"/>
      <c r="KT21" s="41" t="b">
        <f aca="false">TRUE()</f>
        <v>1</v>
      </c>
      <c r="KU21" s="42"/>
    </row>
    <row r="22" customFormat="false" ht="14.4" hidden="false" customHeight="false" outlineLevel="0" collapsed="false">
      <c r="A22" s="37" t="s">
        <v>305</v>
      </c>
      <c r="B22" s="37" t="s">
        <v>780</v>
      </c>
      <c r="C22" s="37"/>
      <c r="D22" s="37"/>
      <c r="E22" s="37"/>
      <c r="F22" s="37" t="s">
        <v>781</v>
      </c>
      <c r="G22" s="37" t="s">
        <v>782</v>
      </c>
      <c r="H22" s="37" t="s">
        <v>783</v>
      </c>
      <c r="I22" s="37" t="s">
        <v>310</v>
      </c>
      <c r="J22" s="37" t="s">
        <v>311</v>
      </c>
      <c r="K22" s="37"/>
      <c r="L22" s="37"/>
      <c r="M22" s="37"/>
      <c r="N22" s="37"/>
      <c r="O22" s="37" t="s">
        <v>784</v>
      </c>
      <c r="P22" s="37" t="s">
        <v>785</v>
      </c>
      <c r="Q22" s="37" t="s">
        <v>786</v>
      </c>
      <c r="R22" s="37" t="s">
        <v>787</v>
      </c>
      <c r="S22" s="37" t="s">
        <v>788</v>
      </c>
      <c r="T22" s="37" t="s">
        <v>789</v>
      </c>
      <c r="U22" s="37" t="s">
        <v>790</v>
      </c>
      <c r="V22" s="37" t="s">
        <v>791</v>
      </c>
      <c r="W22" s="37"/>
      <c r="X22" s="37" t="s">
        <v>792</v>
      </c>
      <c r="Y22" s="37" t="s">
        <v>793</v>
      </c>
      <c r="Z22" s="37" t="s">
        <v>794</v>
      </c>
      <c r="AA22" s="37" t="n">
        <v>62</v>
      </c>
      <c r="AB22" s="37" t="n">
        <v>8</v>
      </c>
      <c r="AC22" s="37" t="n">
        <v>8</v>
      </c>
      <c r="AD22" s="37" t="n">
        <v>16</v>
      </c>
      <c r="AE22" s="37" t="n">
        <v>34</v>
      </c>
      <c r="AF22" s="37" t="s">
        <v>795</v>
      </c>
      <c r="AG22" s="37" t="s">
        <v>525</v>
      </c>
      <c r="AH22" s="37" t="s">
        <v>796</v>
      </c>
      <c r="AI22" s="37" t="s">
        <v>797</v>
      </c>
      <c r="AJ22" s="37" t="s">
        <v>798</v>
      </c>
      <c r="AK22" s="37"/>
      <c r="AL22" s="37" t="s">
        <v>799</v>
      </c>
      <c r="AM22" s="37" t="s">
        <v>800</v>
      </c>
      <c r="AN22" s="37" t="s">
        <v>801</v>
      </c>
      <c r="AO22" s="37" t="n">
        <v>2023</v>
      </c>
      <c r="AP22" s="37" t="n">
        <v>292</v>
      </c>
      <c r="AQ22" s="37"/>
      <c r="AR22" s="37"/>
      <c r="AS22" s="37"/>
      <c r="AT22" s="37"/>
      <c r="AU22" s="37" t="n">
        <v>106856</v>
      </c>
      <c r="AV22" s="37" t="s">
        <v>802</v>
      </c>
      <c r="AW22" s="37" t="str">
        <f aca="false">HYPERLINK("http://dx.doi.org/10.1016/j.atmosres.2023.106856","http://dx.doi.org/10.1016/j.atmosres.2023.106856")</f>
        <v>http://dx.doi.org/10.1016/j.atmosres.2023.106856</v>
      </c>
      <c r="AX22" s="37" t="s">
        <v>803</v>
      </c>
      <c r="AY22" s="37" t="n">
        <v>18</v>
      </c>
      <c r="AZ22" s="37" t="s">
        <v>804</v>
      </c>
      <c r="BA22" s="37" t="s">
        <v>331</v>
      </c>
      <c r="BB22" s="37" t="s">
        <v>804</v>
      </c>
      <c r="BC22" s="37" t="s">
        <v>805</v>
      </c>
      <c r="BD22" s="37"/>
      <c r="BE22" s="37"/>
      <c r="BF22" s="37" t="s">
        <v>334</v>
      </c>
      <c r="BG22" s="37" t="s">
        <v>806</v>
      </c>
      <c r="BH22" s="37" t="str">
        <f aca="false">HYPERLINK("https%3A%2F%2Fwww.webofscience.com%2Fwos%2Fwoscc%2Ffull-record%2FWOS:001022754300001","View Full Record in Web of Science")</f>
        <v>View Full Record in Web of Science</v>
      </c>
      <c r="BI22" s="39" t="s">
        <v>336</v>
      </c>
      <c r="BJ22" s="39"/>
      <c r="BK22" s="39"/>
      <c r="BL22" s="39"/>
      <c r="BM22" s="39"/>
      <c r="BN22" s="39"/>
      <c r="BO22" s="39"/>
      <c r="BP22" s="39"/>
      <c r="BQ22" s="39"/>
      <c r="BR22" s="41" t="b">
        <f aca="false">TRUE()</f>
        <v>1</v>
      </c>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41" t="b">
        <f aca="false">TRUE()</f>
        <v>1</v>
      </c>
      <c r="EB22" s="39"/>
      <c r="EC22" s="39"/>
      <c r="ED22" s="39"/>
      <c r="EE22" s="39"/>
      <c r="EF22" s="39"/>
      <c r="EG22" s="39"/>
      <c r="EH22" s="39"/>
      <c r="EI22" s="41" t="b">
        <f aca="false">TRUE()</f>
        <v>1</v>
      </c>
      <c r="EJ22" s="39"/>
      <c r="EK22" s="39"/>
      <c r="EL22" s="39"/>
      <c r="EM22" s="39"/>
      <c r="EN22" s="39"/>
      <c r="EO22" s="39"/>
      <c r="EP22" s="39"/>
      <c r="EQ22" s="39"/>
      <c r="ER22" s="41" t="b">
        <f aca="false">TRUE()</f>
        <v>1</v>
      </c>
      <c r="ES22" s="39"/>
      <c r="ET22" s="39"/>
      <c r="EU22" s="39"/>
      <c r="EV22" s="39"/>
      <c r="EW22" s="39"/>
      <c r="EX22" s="39"/>
      <c r="EY22" s="41" t="b">
        <f aca="false">TRUE()</f>
        <v>1</v>
      </c>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41" t="b">
        <f aca="false">TRUE()</f>
        <v>1</v>
      </c>
      <c r="IE22" s="39"/>
      <c r="IF22" s="39"/>
      <c r="IG22" s="39"/>
      <c r="IH22" s="39"/>
      <c r="II22" s="39"/>
      <c r="IJ22" s="39"/>
      <c r="IK22" s="39"/>
      <c r="IL22" s="39"/>
      <c r="IM22" s="39"/>
      <c r="IN22" s="39"/>
      <c r="IO22" s="39"/>
      <c r="IP22" s="39"/>
      <c r="IQ22" s="39"/>
      <c r="IR22" s="39"/>
      <c r="IS22" s="39"/>
      <c r="IT22" s="39"/>
      <c r="IU22" s="39"/>
      <c r="IV22" s="39"/>
      <c r="IW22" s="39"/>
      <c r="IX22" s="39"/>
      <c r="IY22" s="39"/>
      <c r="IZ22" s="39"/>
      <c r="JA22" s="39"/>
      <c r="JB22" s="39"/>
      <c r="JC22" s="39"/>
      <c r="JD22" s="39"/>
      <c r="JE22" s="39"/>
      <c r="JF22" s="39"/>
      <c r="JG22" s="39"/>
      <c r="JH22" s="39"/>
      <c r="JI22" s="39"/>
      <c r="JJ22" s="39"/>
      <c r="JK22" s="39"/>
      <c r="JL22" s="39"/>
      <c r="JM22" s="39"/>
      <c r="JN22" s="39"/>
      <c r="JO22" s="39"/>
      <c r="JP22" s="39"/>
      <c r="JQ22" s="39"/>
      <c r="JR22" s="39"/>
      <c r="JS22" s="39"/>
      <c r="JT22" s="41" t="b">
        <f aca="false">TRUE()</f>
        <v>1</v>
      </c>
      <c r="JU22" s="39"/>
      <c r="JV22" s="39"/>
      <c r="JW22" s="39"/>
      <c r="JX22" s="39"/>
      <c r="JY22" s="39"/>
      <c r="JZ22" s="39"/>
      <c r="KA22" s="39"/>
      <c r="KB22" s="39"/>
      <c r="KC22" s="39"/>
      <c r="KD22" s="39"/>
      <c r="KE22" s="39"/>
      <c r="KF22" s="39"/>
      <c r="KG22" s="39"/>
      <c r="KH22" s="39"/>
      <c r="KI22" s="39"/>
      <c r="KJ22" s="39"/>
      <c r="KK22" s="39"/>
      <c r="KL22" s="39"/>
      <c r="KM22" s="39"/>
      <c r="KN22" s="39"/>
      <c r="KO22" s="39"/>
      <c r="KP22" s="41" t="b">
        <f aca="false">TRUE()</f>
        <v>1</v>
      </c>
      <c r="KQ22" s="39"/>
      <c r="KR22" s="39"/>
      <c r="KS22" s="39"/>
      <c r="KT22" s="41" t="b">
        <f aca="false">TRUE()</f>
        <v>1</v>
      </c>
      <c r="KU22" s="42"/>
    </row>
    <row r="23" customFormat="false" ht="14.4" hidden="false" customHeight="false" outlineLevel="0" collapsed="false">
      <c r="A23" s="37" t="s">
        <v>305</v>
      </c>
      <c r="B23" s="37" t="s">
        <v>807</v>
      </c>
      <c r="C23" s="37"/>
      <c r="D23" s="37"/>
      <c r="E23" s="37"/>
      <c r="F23" s="37" t="s">
        <v>808</v>
      </c>
      <c r="G23" s="37" t="s">
        <v>809</v>
      </c>
      <c r="H23" s="37" t="s">
        <v>810</v>
      </c>
      <c r="I23" s="37" t="s">
        <v>310</v>
      </c>
      <c r="J23" s="37" t="s">
        <v>311</v>
      </c>
      <c r="K23" s="37"/>
      <c r="L23" s="37"/>
      <c r="M23" s="37"/>
      <c r="N23" s="37"/>
      <c r="O23" s="37" t="s">
        <v>811</v>
      </c>
      <c r="P23" s="37" t="s">
        <v>812</v>
      </c>
      <c r="Q23" s="37" t="s">
        <v>813</v>
      </c>
      <c r="R23" s="37" t="s">
        <v>814</v>
      </c>
      <c r="S23" s="37" t="s">
        <v>815</v>
      </c>
      <c r="T23" s="37" t="s">
        <v>816</v>
      </c>
      <c r="U23" s="37" t="s">
        <v>817</v>
      </c>
      <c r="V23" s="37" t="s">
        <v>818</v>
      </c>
      <c r="W23" s="37" t="s">
        <v>819</v>
      </c>
      <c r="X23" s="37" t="s">
        <v>820</v>
      </c>
      <c r="Y23" s="37" t="s">
        <v>821</v>
      </c>
      <c r="Z23" s="37" t="s">
        <v>822</v>
      </c>
      <c r="AA23" s="37" t="n">
        <v>61</v>
      </c>
      <c r="AB23" s="37" t="n">
        <v>37</v>
      </c>
      <c r="AC23" s="37" t="n">
        <v>38</v>
      </c>
      <c r="AD23" s="37" t="n">
        <v>5</v>
      </c>
      <c r="AE23" s="37" t="n">
        <v>51</v>
      </c>
      <c r="AF23" s="37" t="s">
        <v>769</v>
      </c>
      <c r="AG23" s="37" t="s">
        <v>525</v>
      </c>
      <c r="AH23" s="37" t="s">
        <v>770</v>
      </c>
      <c r="AI23" s="37" t="s">
        <v>823</v>
      </c>
      <c r="AJ23" s="37" t="s">
        <v>824</v>
      </c>
      <c r="AK23" s="37"/>
      <c r="AL23" s="37" t="s">
        <v>825</v>
      </c>
      <c r="AM23" s="37" t="s">
        <v>826</v>
      </c>
      <c r="AN23" s="37" t="s">
        <v>700</v>
      </c>
      <c r="AO23" s="37" t="n">
        <v>2022</v>
      </c>
      <c r="AP23" s="37" t="n">
        <v>36</v>
      </c>
      <c r="AQ23" s="37" t="n">
        <v>3</v>
      </c>
      <c r="AR23" s="37"/>
      <c r="AS23" s="37" t="n">
        <v>831</v>
      </c>
      <c r="AT23" s="37" t="n">
        <v>849</v>
      </c>
      <c r="AU23" s="37"/>
      <c r="AV23" s="37" t="s">
        <v>827</v>
      </c>
      <c r="AW23" s="37" t="str">
        <f aca="false">HYPERLINK("http://dx.doi.org/10.1007/s00477-021-02078-x","http://dx.doi.org/10.1007/s00477-021-02078-x")</f>
        <v>http://dx.doi.org/10.1007/s00477-021-02078-x</v>
      </c>
      <c r="AX23" s="37" t="s">
        <v>828</v>
      </c>
      <c r="AY23" s="37" t="n">
        <v>19</v>
      </c>
      <c r="AZ23" s="37" t="s">
        <v>829</v>
      </c>
      <c r="BA23" s="37" t="s">
        <v>331</v>
      </c>
      <c r="BB23" s="37" t="s">
        <v>830</v>
      </c>
      <c r="BC23" s="37" t="s">
        <v>831</v>
      </c>
      <c r="BD23" s="37"/>
      <c r="BE23" s="37"/>
      <c r="BF23" s="37" t="s">
        <v>334</v>
      </c>
      <c r="BG23" s="37" t="s">
        <v>832</v>
      </c>
      <c r="BH23" s="37" t="str">
        <f aca="false">HYPERLINK("https%3A%2F%2Fwww.webofscience.com%2Fwos%2Fwoscc%2Ffull-record%2FWOS:000693487400001","View Full Record in Web of Science")</f>
        <v>View Full Record in Web of Science</v>
      </c>
      <c r="BI23" s="39" t="s">
        <v>336</v>
      </c>
      <c r="BJ23" s="39"/>
      <c r="BK23" s="39"/>
      <c r="BL23" s="39"/>
      <c r="BM23" s="39"/>
      <c r="BN23" s="39"/>
      <c r="BO23" s="39"/>
      <c r="BP23" s="39"/>
      <c r="BQ23" s="39"/>
      <c r="BR23" s="39"/>
      <c r="BS23" s="39"/>
      <c r="BT23" s="41" t="b">
        <f aca="false">TRUE()</f>
        <v>1</v>
      </c>
      <c r="BU23" s="39"/>
      <c r="BV23" s="39"/>
      <c r="BW23" s="39"/>
      <c r="BX23" s="39"/>
      <c r="BY23" s="41" t="b">
        <f aca="false">TRUE()</f>
        <v>1</v>
      </c>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41" t="b">
        <f aca="false">TRUE()</f>
        <v>1</v>
      </c>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41" t="b">
        <f aca="false">TRUE()</f>
        <v>1</v>
      </c>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41" t="b">
        <f aca="false">TRUE()</f>
        <v>1</v>
      </c>
      <c r="HL23" s="39"/>
      <c r="HM23" s="39"/>
      <c r="HN23" s="39"/>
      <c r="HO23" s="39"/>
      <c r="HP23" s="39"/>
      <c r="HQ23" s="39"/>
      <c r="HR23" s="39"/>
      <c r="HS23" s="39"/>
      <c r="HT23" s="39"/>
      <c r="HU23" s="39"/>
      <c r="HV23" s="39"/>
      <c r="HW23" s="39"/>
      <c r="HX23" s="39"/>
      <c r="HY23" s="39"/>
      <c r="HZ23" s="39"/>
      <c r="IA23" s="39"/>
      <c r="IB23" s="41" t="b">
        <f aca="false">TRUE()</f>
        <v>1</v>
      </c>
      <c r="IC23" s="39"/>
      <c r="ID23" s="39"/>
      <c r="IE23" s="39"/>
      <c r="IF23" s="39"/>
      <c r="IG23" s="39"/>
      <c r="IH23" s="39"/>
      <c r="II23" s="39"/>
      <c r="IJ23" s="39"/>
      <c r="IK23" s="39"/>
      <c r="IL23" s="39"/>
      <c r="IM23" s="39"/>
      <c r="IN23" s="39"/>
      <c r="IO23" s="39"/>
      <c r="IP23" s="39"/>
      <c r="IQ23" s="39"/>
      <c r="IR23" s="39"/>
      <c r="IS23" s="39"/>
      <c r="IT23" s="39"/>
      <c r="IU23" s="39"/>
      <c r="IV23" s="39"/>
      <c r="IW23" s="39"/>
      <c r="IX23" s="39"/>
      <c r="IY23" s="39"/>
      <c r="IZ23" s="39"/>
      <c r="JA23" s="39"/>
      <c r="JB23" s="39"/>
      <c r="JC23" s="39"/>
      <c r="JD23" s="39"/>
      <c r="JE23" s="39"/>
      <c r="JF23" s="39"/>
      <c r="JG23" s="39"/>
      <c r="JH23" s="39"/>
      <c r="JI23" s="39"/>
      <c r="JJ23" s="39"/>
      <c r="JK23" s="39"/>
      <c r="JL23" s="39"/>
      <c r="JM23" s="39"/>
      <c r="JN23" s="39"/>
      <c r="JO23" s="39"/>
      <c r="JP23" s="39"/>
      <c r="JQ23" s="39"/>
      <c r="JR23" s="39"/>
      <c r="JS23" s="39"/>
      <c r="JT23" s="41" t="b">
        <f aca="false">TRUE()</f>
        <v>1</v>
      </c>
      <c r="JU23" s="39"/>
      <c r="JV23" s="39"/>
      <c r="JW23" s="39"/>
      <c r="JX23" s="39"/>
      <c r="JY23" s="39"/>
      <c r="JZ23" s="39"/>
      <c r="KA23" s="39"/>
      <c r="KB23" s="39"/>
      <c r="KC23" s="39"/>
      <c r="KD23" s="39"/>
      <c r="KE23" s="39"/>
      <c r="KF23" s="39"/>
      <c r="KG23" s="39"/>
      <c r="KH23" s="39"/>
      <c r="KI23" s="39"/>
      <c r="KJ23" s="39"/>
      <c r="KK23" s="39"/>
      <c r="KL23" s="39"/>
      <c r="KM23" s="39"/>
      <c r="KN23" s="39"/>
      <c r="KO23" s="39"/>
      <c r="KP23" s="39"/>
      <c r="KQ23" s="41" t="b">
        <f aca="false">TRUE()</f>
        <v>1</v>
      </c>
      <c r="KR23" s="39"/>
      <c r="KS23" s="39"/>
      <c r="KT23" s="41" t="b">
        <f aca="false">TRUE()</f>
        <v>1</v>
      </c>
      <c r="KU23" s="42"/>
    </row>
    <row r="24" customFormat="false" ht="14.4" hidden="false" customHeight="false" outlineLevel="0" collapsed="false">
      <c r="A24" s="37" t="s">
        <v>305</v>
      </c>
      <c r="B24" s="37" t="s">
        <v>833</v>
      </c>
      <c r="C24" s="37"/>
      <c r="D24" s="37"/>
      <c r="E24" s="37"/>
      <c r="F24" s="37" t="s">
        <v>834</v>
      </c>
      <c r="G24" s="37" t="s">
        <v>835</v>
      </c>
      <c r="H24" s="37" t="s">
        <v>340</v>
      </c>
      <c r="I24" s="37" t="s">
        <v>310</v>
      </c>
      <c r="J24" s="37" t="s">
        <v>311</v>
      </c>
      <c r="K24" s="37"/>
      <c r="L24" s="37"/>
      <c r="M24" s="37"/>
      <c r="N24" s="37"/>
      <c r="O24" s="37" t="s">
        <v>836</v>
      </c>
      <c r="P24" s="37" t="s">
        <v>837</v>
      </c>
      <c r="Q24" s="37" t="s">
        <v>838</v>
      </c>
      <c r="R24" s="37" t="s">
        <v>839</v>
      </c>
      <c r="S24" s="37" t="s">
        <v>840</v>
      </c>
      <c r="T24" s="37" t="s">
        <v>841</v>
      </c>
      <c r="U24" s="37" t="s">
        <v>842</v>
      </c>
      <c r="V24" s="37" t="s">
        <v>843</v>
      </c>
      <c r="W24" s="37"/>
      <c r="X24" s="37" t="s">
        <v>844</v>
      </c>
      <c r="Y24" s="37" t="s">
        <v>845</v>
      </c>
      <c r="Z24" s="37" t="s">
        <v>846</v>
      </c>
      <c r="AA24" s="37" t="n">
        <v>47</v>
      </c>
      <c r="AB24" s="37" t="n">
        <v>1</v>
      </c>
      <c r="AC24" s="37" t="n">
        <v>1</v>
      </c>
      <c r="AD24" s="37" t="n">
        <v>39</v>
      </c>
      <c r="AE24" s="37" t="n">
        <v>39</v>
      </c>
      <c r="AF24" s="37" t="s">
        <v>353</v>
      </c>
      <c r="AG24" s="37" t="s">
        <v>354</v>
      </c>
      <c r="AH24" s="37" t="s">
        <v>355</v>
      </c>
      <c r="AI24" s="37" t="s">
        <v>356</v>
      </c>
      <c r="AJ24" s="37" t="s">
        <v>357</v>
      </c>
      <c r="AK24" s="37"/>
      <c r="AL24" s="37" t="s">
        <v>358</v>
      </c>
      <c r="AM24" s="37" t="s">
        <v>359</v>
      </c>
      <c r="AN24" s="37" t="s">
        <v>572</v>
      </c>
      <c r="AO24" s="37" t="n">
        <v>2024</v>
      </c>
      <c r="AP24" s="37" t="n">
        <v>644</v>
      </c>
      <c r="AQ24" s="37"/>
      <c r="AR24" s="37"/>
      <c r="AS24" s="37"/>
      <c r="AT24" s="37"/>
      <c r="AU24" s="37" t="n">
        <v>132101</v>
      </c>
      <c r="AV24" s="37" t="s">
        <v>847</v>
      </c>
      <c r="AW24" s="37" t="str">
        <f aca="false">HYPERLINK("http://dx.doi.org/10.1016/j.jhydrol.2024.132101","http://dx.doi.org/10.1016/j.jhydrol.2024.132101")</f>
        <v>http://dx.doi.org/10.1016/j.jhydrol.2024.132101</v>
      </c>
      <c r="AX24" s="37" t="s">
        <v>848</v>
      </c>
      <c r="AY24" s="37" t="n">
        <v>13</v>
      </c>
      <c r="AZ24" s="37" t="s">
        <v>362</v>
      </c>
      <c r="BA24" s="37" t="s">
        <v>331</v>
      </c>
      <c r="BB24" s="37" t="s">
        <v>363</v>
      </c>
      <c r="BC24" s="37" t="s">
        <v>849</v>
      </c>
      <c r="BD24" s="37"/>
      <c r="BE24" s="37"/>
      <c r="BF24" s="37" t="s">
        <v>334</v>
      </c>
      <c r="BG24" s="37" t="s">
        <v>850</v>
      </c>
      <c r="BH24" s="37" t="str">
        <f aca="false">HYPERLINK("https%3A%2F%2Fwww.webofscience.com%2Fwos%2Fwoscc%2Ffull-record%2FWOS:001330273200001","View Full Record in Web of Science")</f>
        <v>View Full Record in Web of Science</v>
      </c>
      <c r="BI24" s="39" t="s">
        <v>336</v>
      </c>
      <c r="BJ24" s="39"/>
      <c r="BK24" s="39"/>
      <c r="BL24" s="39"/>
      <c r="BM24" s="39"/>
      <c r="BN24" s="39"/>
      <c r="BO24" s="39"/>
      <c r="BP24" s="39"/>
      <c r="BQ24" s="39"/>
      <c r="BR24" s="39"/>
      <c r="BS24" s="41" t="b">
        <f aca="false">TRUE()</f>
        <v>1</v>
      </c>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41" t="b">
        <f aca="false">TRUE()</f>
        <v>1</v>
      </c>
      <c r="EB24" s="39"/>
      <c r="EC24" s="39"/>
      <c r="ED24" s="39"/>
      <c r="EE24" s="39"/>
      <c r="EF24" s="39"/>
      <c r="EG24" s="39"/>
      <c r="EH24" s="39"/>
      <c r="EI24" s="41" t="b">
        <f aca="false">TRUE()</f>
        <v>1</v>
      </c>
      <c r="EJ24" s="39"/>
      <c r="EK24" s="39"/>
      <c r="EL24" s="39"/>
      <c r="EM24" s="39"/>
      <c r="EN24" s="39"/>
      <c r="EO24" s="39"/>
      <c r="EP24" s="39"/>
      <c r="EQ24" s="39"/>
      <c r="ER24" s="39"/>
      <c r="ES24" s="39"/>
      <c r="ET24" s="39"/>
      <c r="EU24" s="39"/>
      <c r="EV24" s="39"/>
      <c r="EW24" s="39"/>
      <c r="EX24" s="39"/>
      <c r="EY24" s="41" t="b">
        <f aca="false">TRUE()</f>
        <v>1</v>
      </c>
      <c r="EZ24" s="39"/>
      <c r="FA24" s="39"/>
      <c r="FB24" s="39"/>
      <c r="FC24" s="41" t="b">
        <f aca="false">TRUE()</f>
        <v>1</v>
      </c>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c r="HT24" s="39"/>
      <c r="HU24" s="39"/>
      <c r="HV24" s="39"/>
      <c r="HW24" s="39"/>
      <c r="HX24" s="39"/>
      <c r="HY24" s="39"/>
      <c r="HZ24" s="39"/>
      <c r="IA24" s="39"/>
      <c r="IB24" s="39"/>
      <c r="IC24" s="39"/>
      <c r="ID24" s="41" t="b">
        <f aca="false">TRUE()</f>
        <v>1</v>
      </c>
      <c r="IE24" s="39"/>
      <c r="IF24" s="39"/>
      <c r="IG24" s="39"/>
      <c r="IH24" s="39"/>
      <c r="II24" s="39"/>
      <c r="IJ24" s="39"/>
      <c r="IK24" s="39"/>
      <c r="IL24" s="39"/>
      <c r="IM24" s="39"/>
      <c r="IN24" s="39"/>
      <c r="IO24" s="39"/>
      <c r="IP24" s="39"/>
      <c r="IQ24" s="39"/>
      <c r="IR24" s="39"/>
      <c r="IS24" s="39"/>
      <c r="IT24" s="39"/>
      <c r="IU24" s="39"/>
      <c r="IV24" s="39"/>
      <c r="IW24" s="39"/>
      <c r="IX24" s="39"/>
      <c r="IY24" s="39"/>
      <c r="IZ24" s="39"/>
      <c r="JA24" s="39"/>
      <c r="JB24" s="39"/>
      <c r="JC24" s="39"/>
      <c r="JD24" s="39"/>
      <c r="JE24" s="39"/>
      <c r="JF24" s="39"/>
      <c r="JG24" s="39"/>
      <c r="JH24" s="39"/>
      <c r="JI24" s="39"/>
      <c r="JJ24" s="39"/>
      <c r="JK24" s="39"/>
      <c r="JL24" s="39"/>
      <c r="JM24" s="39"/>
      <c r="JN24" s="39"/>
      <c r="JO24" s="39"/>
      <c r="JP24" s="39"/>
      <c r="JQ24" s="39"/>
      <c r="JR24" s="39"/>
      <c r="JS24" s="39"/>
      <c r="JT24" s="41" t="b">
        <f aca="false">TRUE()</f>
        <v>1</v>
      </c>
      <c r="JU24" s="39"/>
      <c r="JV24" s="39"/>
      <c r="JW24" s="39"/>
      <c r="JX24" s="39"/>
      <c r="JY24" s="39"/>
      <c r="JZ24" s="39"/>
      <c r="KA24" s="39"/>
      <c r="KB24" s="39"/>
      <c r="KC24" s="39"/>
      <c r="KD24" s="39"/>
      <c r="KE24" s="39"/>
      <c r="KF24" s="39"/>
      <c r="KG24" s="39"/>
      <c r="KH24" s="39"/>
      <c r="KI24" s="39"/>
      <c r="KJ24" s="39"/>
      <c r="KK24" s="39"/>
      <c r="KL24" s="39"/>
      <c r="KM24" s="39"/>
      <c r="KN24" s="39"/>
      <c r="KO24" s="39"/>
      <c r="KP24" s="41" t="b">
        <f aca="false">TRUE()</f>
        <v>1</v>
      </c>
      <c r="KQ24" s="39"/>
      <c r="KR24" s="39"/>
      <c r="KS24" s="39"/>
      <c r="KT24" s="41" t="b">
        <f aca="false">TRUE()</f>
        <v>1</v>
      </c>
      <c r="KU24" s="42"/>
    </row>
    <row r="25" customFormat="false" ht="17.15" hidden="false" customHeight="false" outlineLevel="0" collapsed="false">
      <c r="A25" s="37" t="s">
        <v>305</v>
      </c>
      <c r="B25" s="37" t="s">
        <v>851</v>
      </c>
      <c r="C25" s="37"/>
      <c r="D25" s="37"/>
      <c r="E25" s="37"/>
      <c r="F25" s="37" t="s">
        <v>852</v>
      </c>
      <c r="G25" s="37" t="s">
        <v>853</v>
      </c>
      <c r="H25" s="37" t="s">
        <v>854</v>
      </c>
      <c r="I25" s="37" t="s">
        <v>310</v>
      </c>
      <c r="J25" s="37" t="s">
        <v>311</v>
      </c>
      <c r="K25" s="37"/>
      <c r="L25" s="37"/>
      <c r="M25" s="37"/>
      <c r="N25" s="37"/>
      <c r="O25" s="37" t="s">
        <v>855</v>
      </c>
      <c r="P25" s="37" t="s">
        <v>856</v>
      </c>
      <c r="Q25" s="37" t="s">
        <v>857</v>
      </c>
      <c r="R25" s="37" t="s">
        <v>858</v>
      </c>
      <c r="S25" s="37" t="s">
        <v>859</v>
      </c>
      <c r="T25" s="37" t="s">
        <v>860</v>
      </c>
      <c r="U25" s="37" t="s">
        <v>861</v>
      </c>
      <c r="V25" s="51" t="s">
        <v>862</v>
      </c>
      <c r="W25" s="37" t="s">
        <v>863</v>
      </c>
      <c r="X25" s="37" t="s">
        <v>864</v>
      </c>
      <c r="Y25" s="37" t="s">
        <v>865</v>
      </c>
      <c r="Z25" s="37" t="s">
        <v>866</v>
      </c>
      <c r="AA25" s="37" t="n">
        <v>48</v>
      </c>
      <c r="AB25" s="37" t="n">
        <v>0</v>
      </c>
      <c r="AC25" s="37" t="n">
        <v>0</v>
      </c>
      <c r="AD25" s="37" t="n">
        <v>19</v>
      </c>
      <c r="AE25" s="37" t="n">
        <v>19</v>
      </c>
      <c r="AF25" s="37" t="s">
        <v>353</v>
      </c>
      <c r="AG25" s="37" t="s">
        <v>354</v>
      </c>
      <c r="AH25" s="37" t="s">
        <v>355</v>
      </c>
      <c r="AI25" s="37"/>
      <c r="AJ25" s="37" t="s">
        <v>867</v>
      </c>
      <c r="AK25" s="37"/>
      <c r="AL25" s="37" t="s">
        <v>868</v>
      </c>
      <c r="AM25" s="37" t="s">
        <v>869</v>
      </c>
      <c r="AN25" s="37" t="s">
        <v>408</v>
      </c>
      <c r="AO25" s="37" t="n">
        <v>2024</v>
      </c>
      <c r="AP25" s="37" t="n">
        <v>56</v>
      </c>
      <c r="AQ25" s="37"/>
      <c r="AR25" s="37"/>
      <c r="AS25" s="37"/>
      <c r="AT25" s="37"/>
      <c r="AU25" s="37" t="n">
        <v>102023</v>
      </c>
      <c r="AV25" s="37" t="s">
        <v>870</v>
      </c>
      <c r="AW25" s="37" t="str">
        <f aca="false">HYPERLINK("http://dx.doi.org/10.1016/j.ejrh.2024.102023","http://dx.doi.org/10.1016/j.ejrh.2024.102023")</f>
        <v>http://dx.doi.org/10.1016/j.ejrh.2024.102023</v>
      </c>
      <c r="AX25" s="37"/>
      <c r="AY25" s="37" t="n">
        <v>22</v>
      </c>
      <c r="AZ25" s="37" t="s">
        <v>727</v>
      </c>
      <c r="BA25" s="37" t="s">
        <v>331</v>
      </c>
      <c r="BB25" s="37" t="s">
        <v>727</v>
      </c>
      <c r="BC25" s="37" t="s">
        <v>871</v>
      </c>
      <c r="BD25" s="37"/>
      <c r="BE25" s="37" t="s">
        <v>503</v>
      </c>
      <c r="BF25" s="37" t="s">
        <v>334</v>
      </c>
      <c r="BG25" s="37" t="s">
        <v>872</v>
      </c>
      <c r="BH25" s="37" t="str">
        <f aca="false">HYPERLINK("https%3A%2F%2Fwww.webofscience.com%2Fwos%2Fwoscc%2Ffull-record%2FWOS:001351288300001","View Full Record in Web of Science")</f>
        <v>View Full Record in Web of Science</v>
      </c>
      <c r="BI25" s="39" t="s">
        <v>336</v>
      </c>
      <c r="BJ25" s="39"/>
      <c r="BK25" s="39"/>
      <c r="BL25" s="39"/>
      <c r="BM25" s="39"/>
      <c r="BN25" s="39"/>
      <c r="BO25" s="39"/>
      <c r="BP25" s="39"/>
      <c r="BQ25" s="39"/>
      <c r="BR25" s="39"/>
      <c r="BS25" s="39"/>
      <c r="BT25" s="39"/>
      <c r="BU25" s="39"/>
      <c r="BV25" s="39"/>
      <c r="BW25" s="41" t="b">
        <f aca="false">TRUE()</f>
        <v>1</v>
      </c>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41" t="b">
        <f aca="false">TRUE()</f>
        <v>1</v>
      </c>
      <c r="EB25" s="39"/>
      <c r="EC25" s="39"/>
      <c r="ED25" s="39"/>
      <c r="EE25" s="39"/>
      <c r="EF25" s="39"/>
      <c r="EG25" s="39"/>
      <c r="EH25" s="39"/>
      <c r="EI25" s="41" t="b">
        <f aca="false">TRUE()</f>
        <v>1</v>
      </c>
      <c r="EJ25" s="39"/>
      <c r="EK25" s="39"/>
      <c r="EL25" s="39"/>
      <c r="EM25" s="39"/>
      <c r="EN25" s="39"/>
      <c r="EO25" s="39"/>
      <c r="EP25" s="39"/>
      <c r="EQ25" s="39"/>
      <c r="ER25" s="39"/>
      <c r="ES25" s="39"/>
      <c r="ET25" s="39"/>
      <c r="EU25" s="39"/>
      <c r="EV25" s="39"/>
      <c r="EW25" s="39"/>
      <c r="EX25" s="39"/>
      <c r="EY25" s="41" t="b">
        <f aca="false">TRUE()</f>
        <v>1</v>
      </c>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41" t="b">
        <f aca="false">TRUE()</f>
        <v>1</v>
      </c>
      <c r="GY25" s="39"/>
      <c r="GZ25" s="39"/>
      <c r="HA25" s="39"/>
      <c r="HB25" s="39"/>
      <c r="HC25" s="39"/>
      <c r="HD25" s="39"/>
      <c r="HE25" s="39"/>
      <c r="HF25" s="39"/>
      <c r="HG25" s="39"/>
      <c r="HH25" s="39"/>
      <c r="HI25" s="39"/>
      <c r="HJ25" s="39"/>
      <c r="HK25" s="39"/>
      <c r="HL25" s="39"/>
      <c r="HM25" s="39"/>
      <c r="HN25" s="39"/>
      <c r="HO25" s="39"/>
      <c r="HP25" s="39"/>
      <c r="HQ25" s="39"/>
      <c r="HR25" s="39"/>
      <c r="HS25" s="39"/>
      <c r="HT25" s="39"/>
      <c r="HU25" s="39"/>
      <c r="HV25" s="39"/>
      <c r="HW25" s="39"/>
      <c r="HX25" s="39"/>
      <c r="HY25" s="39"/>
      <c r="HZ25" s="39"/>
      <c r="IA25" s="39"/>
      <c r="IB25" s="39"/>
      <c r="IC25" s="41" t="b">
        <f aca="false">TRUE()</f>
        <v>1</v>
      </c>
      <c r="ID25" s="39"/>
      <c r="IE25" s="39"/>
      <c r="IF25" s="39"/>
      <c r="IG25" s="39"/>
      <c r="IH25" s="39"/>
      <c r="II25" s="39"/>
      <c r="IJ25" s="39"/>
      <c r="IK25" s="39"/>
      <c r="IL25" s="39"/>
      <c r="IM25" s="39"/>
      <c r="IN25" s="39"/>
      <c r="IO25" s="39"/>
      <c r="IP25" s="39"/>
      <c r="IQ25" s="39"/>
      <c r="IR25" s="39"/>
      <c r="IS25" s="39"/>
      <c r="IT25" s="39"/>
      <c r="IU25" s="39"/>
      <c r="IV25" s="39"/>
      <c r="IW25" s="39"/>
      <c r="IX25" s="39"/>
      <c r="IY25" s="39"/>
      <c r="IZ25" s="39"/>
      <c r="JA25" s="39"/>
      <c r="JB25" s="39"/>
      <c r="JC25" s="39"/>
      <c r="JD25" s="39"/>
      <c r="JE25" s="39"/>
      <c r="JF25" s="39"/>
      <c r="JG25" s="39"/>
      <c r="JH25" s="39"/>
      <c r="JI25" s="39"/>
      <c r="JJ25" s="39"/>
      <c r="JK25" s="39"/>
      <c r="JL25" s="39"/>
      <c r="JM25" s="39"/>
      <c r="JN25" s="39"/>
      <c r="JO25" s="39"/>
      <c r="JP25" s="39"/>
      <c r="JQ25" s="39"/>
      <c r="JR25" s="39"/>
      <c r="JS25" s="39"/>
      <c r="JT25" s="39"/>
      <c r="JU25" s="39"/>
      <c r="JV25" s="39"/>
      <c r="JW25" s="39"/>
      <c r="JX25" s="39"/>
      <c r="JY25" s="39"/>
      <c r="JZ25" s="39"/>
      <c r="KA25" s="39"/>
      <c r="KB25" s="39"/>
      <c r="KC25" s="39"/>
      <c r="KD25" s="39"/>
      <c r="KE25" s="39"/>
      <c r="KF25" s="39"/>
      <c r="KG25" s="39"/>
      <c r="KH25" s="39"/>
      <c r="KI25" s="39"/>
      <c r="KJ25" s="39"/>
      <c r="KK25" s="39"/>
      <c r="KL25" s="39"/>
      <c r="KM25" s="39"/>
      <c r="KN25" s="39"/>
      <c r="KO25" s="39"/>
      <c r="KP25" s="41" t="b">
        <f aca="false">TRUE()</f>
        <v>1</v>
      </c>
      <c r="KQ25" s="39"/>
      <c r="KR25" s="39"/>
      <c r="KS25" s="39"/>
      <c r="KT25" s="41" t="b">
        <f aca="false">TRUE()</f>
        <v>1</v>
      </c>
      <c r="KU25" s="42"/>
    </row>
    <row r="26" customFormat="false" ht="14.4" hidden="false" customHeight="false" outlineLevel="0" collapsed="false">
      <c r="A26" s="37" t="s">
        <v>305</v>
      </c>
      <c r="B26" s="37" t="s">
        <v>873</v>
      </c>
      <c r="C26" s="37"/>
      <c r="D26" s="37"/>
      <c r="E26" s="37"/>
      <c r="F26" s="37" t="s">
        <v>874</v>
      </c>
      <c r="G26" s="37" t="s">
        <v>875</v>
      </c>
      <c r="H26" s="37" t="s">
        <v>876</v>
      </c>
      <c r="I26" s="37" t="s">
        <v>310</v>
      </c>
      <c r="J26" s="37" t="s">
        <v>311</v>
      </c>
      <c r="K26" s="37"/>
      <c r="L26" s="37"/>
      <c r="M26" s="37"/>
      <c r="N26" s="37"/>
      <c r="O26" s="37" t="s">
        <v>877</v>
      </c>
      <c r="P26" s="37" t="s">
        <v>878</v>
      </c>
      <c r="Q26" s="37" t="s">
        <v>879</v>
      </c>
      <c r="R26" s="37" t="s">
        <v>880</v>
      </c>
      <c r="S26" s="37" t="s">
        <v>881</v>
      </c>
      <c r="T26" s="37" t="s">
        <v>882</v>
      </c>
      <c r="U26" s="37" t="s">
        <v>883</v>
      </c>
      <c r="V26" s="37" t="s">
        <v>884</v>
      </c>
      <c r="W26" s="37" t="s">
        <v>885</v>
      </c>
      <c r="X26" s="37" t="s">
        <v>886</v>
      </c>
      <c r="Y26" s="37" t="s">
        <v>887</v>
      </c>
      <c r="Z26" s="37" t="s">
        <v>888</v>
      </c>
      <c r="AA26" s="37" t="n">
        <v>98</v>
      </c>
      <c r="AB26" s="37" t="n">
        <v>11</v>
      </c>
      <c r="AC26" s="37" t="n">
        <v>11</v>
      </c>
      <c r="AD26" s="37" t="n">
        <v>15</v>
      </c>
      <c r="AE26" s="37" t="n">
        <v>49</v>
      </c>
      <c r="AF26" s="37" t="s">
        <v>428</v>
      </c>
      <c r="AG26" s="37" t="s">
        <v>429</v>
      </c>
      <c r="AH26" s="37" t="s">
        <v>430</v>
      </c>
      <c r="AI26" s="37" t="s">
        <v>889</v>
      </c>
      <c r="AJ26" s="37" t="s">
        <v>890</v>
      </c>
      <c r="AK26" s="37"/>
      <c r="AL26" s="37" t="s">
        <v>891</v>
      </c>
      <c r="AM26" s="37" t="s">
        <v>892</v>
      </c>
      <c r="AN26" s="37" t="s">
        <v>572</v>
      </c>
      <c r="AO26" s="37" t="n">
        <v>2023</v>
      </c>
      <c r="AP26" s="37" t="n">
        <v>240</v>
      </c>
      <c r="AQ26" s="37" t="n">
        <v>3</v>
      </c>
      <c r="AR26" s="37"/>
      <c r="AS26" s="37" t="n">
        <v>968</v>
      </c>
      <c r="AT26" s="37" t="n">
        <v>983</v>
      </c>
      <c r="AU26" s="37"/>
      <c r="AV26" s="37" t="s">
        <v>893</v>
      </c>
      <c r="AW26" s="37" t="str">
        <f aca="false">HYPERLINK("http://dx.doi.org/10.1111/nph.19197","http://dx.doi.org/10.1111/nph.19197")</f>
        <v>http://dx.doi.org/10.1111/nph.19197</v>
      </c>
      <c r="AX26" s="37" t="s">
        <v>894</v>
      </c>
      <c r="AY26" s="37" t="n">
        <v>16</v>
      </c>
      <c r="AZ26" s="37" t="s">
        <v>895</v>
      </c>
      <c r="BA26" s="37" t="s">
        <v>331</v>
      </c>
      <c r="BB26" s="37" t="s">
        <v>895</v>
      </c>
      <c r="BC26" s="37" t="s">
        <v>896</v>
      </c>
      <c r="BD26" s="37" t="n">
        <v>37621238</v>
      </c>
      <c r="BE26" s="37" t="s">
        <v>897</v>
      </c>
      <c r="BF26" s="37" t="s">
        <v>334</v>
      </c>
      <c r="BG26" s="37" t="s">
        <v>898</v>
      </c>
      <c r="BH26" s="37" t="str">
        <f aca="false">HYPERLINK("https%3A%2F%2Fwww.webofscience.com%2Fwos%2Fwoscc%2Ffull-record%2FWOS:001063590100001","View Full Record in Web of Science")</f>
        <v>View Full Record in Web of Science</v>
      </c>
      <c r="BI26" s="41" t="b">
        <f aca="false">TRUE()</f>
        <v>1</v>
      </c>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41" t="b">
        <f aca="false">TRUE()</f>
        <v>1</v>
      </c>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41" t="b">
        <f aca="false">TRUE()</f>
        <v>1</v>
      </c>
      <c r="GY26" s="39"/>
      <c r="GZ26" s="39"/>
      <c r="HA26" s="39"/>
      <c r="HB26" s="39"/>
      <c r="HC26" s="39"/>
      <c r="HD26" s="39"/>
      <c r="HE26" s="39"/>
      <c r="HF26" s="39"/>
      <c r="HG26" s="39"/>
      <c r="HH26" s="39"/>
      <c r="HI26" s="39"/>
      <c r="HJ26" s="39"/>
      <c r="HK26" s="39"/>
      <c r="HL26" s="39"/>
      <c r="HM26" s="39"/>
      <c r="HN26" s="39"/>
      <c r="HO26" s="39"/>
      <c r="HP26" s="39"/>
      <c r="HQ26" s="39"/>
      <c r="HR26" s="39"/>
      <c r="HS26" s="39"/>
      <c r="HT26" s="39"/>
      <c r="HU26" s="39"/>
      <c r="HV26" s="39"/>
      <c r="HW26" s="39"/>
      <c r="HX26" s="39"/>
      <c r="HY26" s="39"/>
      <c r="HZ26" s="39"/>
      <c r="IA26" s="39"/>
      <c r="IB26" s="39"/>
      <c r="IC26" s="39"/>
      <c r="ID26" s="39"/>
      <c r="IE26" s="39"/>
      <c r="IF26" s="39"/>
      <c r="IG26" s="39"/>
      <c r="IH26" s="39"/>
      <c r="II26" s="39"/>
      <c r="IJ26" s="39"/>
      <c r="IK26" s="39"/>
      <c r="IL26" s="39"/>
      <c r="IM26" s="39"/>
      <c r="IN26" s="39"/>
      <c r="IO26" s="39"/>
      <c r="IP26" s="39"/>
      <c r="IQ26" s="39"/>
      <c r="IR26" s="39"/>
      <c r="IS26" s="39"/>
      <c r="IT26" s="39"/>
      <c r="IU26" s="39"/>
      <c r="IV26" s="39"/>
      <c r="IW26" s="39"/>
      <c r="IX26" s="39"/>
      <c r="IY26" s="39"/>
      <c r="IZ26" s="39"/>
      <c r="JA26" s="39"/>
      <c r="JB26" s="39"/>
      <c r="JC26" s="39"/>
      <c r="JD26" s="39"/>
      <c r="JE26" s="39"/>
      <c r="JF26" s="39"/>
      <c r="JG26" s="39"/>
      <c r="JH26" s="39"/>
      <c r="JI26" s="39"/>
      <c r="JJ26" s="39"/>
      <c r="JK26" s="39"/>
      <c r="JL26" s="39"/>
      <c r="JM26" s="39"/>
      <c r="JN26" s="39"/>
      <c r="JO26" s="41" t="b">
        <f aca="false">TRUE()</f>
        <v>1</v>
      </c>
      <c r="JP26" s="41" t="b">
        <f aca="false">TRUE()</f>
        <v>1</v>
      </c>
      <c r="JQ26" s="39"/>
      <c r="JR26" s="39"/>
      <c r="JS26" s="41" t="b">
        <f aca="false">TRUE()</f>
        <v>1</v>
      </c>
      <c r="JT26" s="41" t="b">
        <f aca="false">TRUE()</f>
        <v>1</v>
      </c>
      <c r="JU26" s="41" t="b">
        <f aca="false">TRUE()</f>
        <v>1</v>
      </c>
      <c r="JV26" s="39"/>
      <c r="JW26" s="39"/>
      <c r="JX26" s="39"/>
      <c r="JY26" s="39"/>
      <c r="JZ26" s="39"/>
      <c r="KA26" s="39"/>
      <c r="KB26" s="39"/>
      <c r="KC26" s="39"/>
      <c r="KD26" s="39"/>
      <c r="KE26" s="39"/>
      <c r="KF26" s="39"/>
      <c r="KG26" s="39"/>
      <c r="KH26" s="39"/>
      <c r="KI26" s="39"/>
      <c r="KJ26" s="39"/>
      <c r="KK26" s="39"/>
      <c r="KL26" s="39"/>
      <c r="KM26" s="39"/>
      <c r="KN26" s="39"/>
      <c r="KO26" s="39"/>
      <c r="KP26" s="39"/>
      <c r="KQ26" s="39"/>
      <c r="KR26" s="41" t="b">
        <f aca="false">TRUE()</f>
        <v>1</v>
      </c>
      <c r="KS26" s="39"/>
      <c r="KT26" s="41" t="b">
        <f aca="false">TRUE()</f>
        <v>1</v>
      </c>
      <c r="KU26" s="42"/>
    </row>
    <row r="27" customFormat="false" ht="14.4" hidden="false" customHeight="false" outlineLevel="0" collapsed="false">
      <c r="A27" s="37" t="s">
        <v>305</v>
      </c>
      <c r="B27" s="37" t="s">
        <v>899</v>
      </c>
      <c r="C27" s="37"/>
      <c r="D27" s="37"/>
      <c r="E27" s="37"/>
      <c r="F27" s="37" t="s">
        <v>900</v>
      </c>
      <c r="G27" s="37" t="s">
        <v>901</v>
      </c>
      <c r="H27" s="37" t="s">
        <v>902</v>
      </c>
      <c r="I27" s="37" t="s">
        <v>310</v>
      </c>
      <c r="J27" s="37" t="s">
        <v>311</v>
      </c>
      <c r="K27" s="37"/>
      <c r="L27" s="37"/>
      <c r="M27" s="37"/>
      <c r="N27" s="37"/>
      <c r="O27" s="37" t="s">
        <v>903</v>
      </c>
      <c r="P27" s="37" t="s">
        <v>904</v>
      </c>
      <c r="Q27" s="37" t="s">
        <v>905</v>
      </c>
      <c r="R27" s="37" t="s">
        <v>906</v>
      </c>
      <c r="S27" s="37" t="s">
        <v>907</v>
      </c>
      <c r="T27" s="37" t="s">
        <v>908</v>
      </c>
      <c r="U27" s="37" t="s">
        <v>909</v>
      </c>
      <c r="V27" s="37" t="s">
        <v>910</v>
      </c>
      <c r="W27" s="37" t="s">
        <v>911</v>
      </c>
      <c r="X27" s="37" t="s">
        <v>912</v>
      </c>
      <c r="Y27" s="37" t="s">
        <v>913</v>
      </c>
      <c r="Z27" s="37" t="s">
        <v>914</v>
      </c>
      <c r="AA27" s="37" t="n">
        <v>48</v>
      </c>
      <c r="AB27" s="37" t="n">
        <v>1</v>
      </c>
      <c r="AC27" s="37" t="n">
        <v>1</v>
      </c>
      <c r="AD27" s="37" t="n">
        <v>4</v>
      </c>
      <c r="AE27" s="37" t="n">
        <v>19</v>
      </c>
      <c r="AF27" s="37" t="s">
        <v>353</v>
      </c>
      <c r="AG27" s="37" t="s">
        <v>354</v>
      </c>
      <c r="AH27" s="37" t="s">
        <v>355</v>
      </c>
      <c r="AI27" s="37" t="s">
        <v>915</v>
      </c>
      <c r="AJ27" s="37"/>
      <c r="AK27" s="37"/>
      <c r="AL27" s="37" t="s">
        <v>916</v>
      </c>
      <c r="AM27" s="37" t="s">
        <v>917</v>
      </c>
      <c r="AN27" s="37" t="s">
        <v>408</v>
      </c>
      <c r="AO27" s="37" t="n">
        <v>2022</v>
      </c>
      <c r="AP27" s="37" t="n">
        <v>16</v>
      </c>
      <c r="AQ27" s="37"/>
      <c r="AR27" s="37"/>
      <c r="AS27" s="37"/>
      <c r="AT27" s="37"/>
      <c r="AU27" s="37" t="n">
        <v>100105</v>
      </c>
      <c r="AV27" s="37" t="s">
        <v>918</v>
      </c>
      <c r="AW27" s="37" t="str">
        <f aca="false">HYPERLINK("http://dx.doi.org/10.1016/j.acags.2022.100105","http://dx.doi.org/10.1016/j.acags.2022.100105")</f>
        <v>http://dx.doi.org/10.1016/j.acags.2022.100105</v>
      </c>
      <c r="AX27" s="37" t="s">
        <v>919</v>
      </c>
      <c r="AY27" s="37" t="n">
        <v>9</v>
      </c>
      <c r="AZ27" s="37" t="s">
        <v>330</v>
      </c>
      <c r="BA27" s="37" t="s">
        <v>575</v>
      </c>
      <c r="BB27" s="37" t="s">
        <v>332</v>
      </c>
      <c r="BC27" s="37" t="s">
        <v>920</v>
      </c>
      <c r="BD27" s="37"/>
      <c r="BE27" s="37" t="s">
        <v>921</v>
      </c>
      <c r="BF27" s="37" t="s">
        <v>334</v>
      </c>
      <c r="BG27" s="37" t="s">
        <v>922</v>
      </c>
      <c r="BH27" s="37" t="str">
        <f aca="false">HYPERLINK("https%3A%2F%2Fwww.webofscience.com%2Fwos%2Fwoscc%2Ffull-record%2FWOS:000903315400003","View Full Record in Web of Science")</f>
        <v>View Full Record in Web of Science</v>
      </c>
      <c r="BI27" s="40" t="s">
        <v>336</v>
      </c>
      <c r="BJ27" s="39"/>
      <c r="BK27" s="40"/>
      <c r="BL27" s="40"/>
      <c r="BM27" s="40"/>
      <c r="BN27" s="40"/>
      <c r="BO27" s="39"/>
      <c r="BP27" s="39"/>
      <c r="BQ27" s="39"/>
      <c r="BR27" s="39"/>
      <c r="BS27" s="39"/>
      <c r="BT27" s="39"/>
      <c r="BU27" s="39"/>
      <c r="BV27" s="39"/>
      <c r="BW27" s="39"/>
      <c r="BX27" s="39"/>
      <c r="BY27" s="39"/>
      <c r="BZ27" s="39"/>
      <c r="CA27" s="39"/>
      <c r="CB27" s="39"/>
      <c r="CC27" s="39"/>
      <c r="CD27" s="39"/>
      <c r="CE27" s="39"/>
      <c r="CF27" s="40"/>
      <c r="CG27" s="39"/>
      <c r="CH27" s="39"/>
      <c r="CI27" s="39"/>
      <c r="CJ27" s="39"/>
      <c r="CK27" s="39"/>
      <c r="CL27" s="40"/>
      <c r="CM27" s="39"/>
      <c r="CN27" s="39"/>
      <c r="CO27" s="40"/>
      <c r="CP27" s="39"/>
      <c r="CQ27" s="40"/>
      <c r="CR27" s="39"/>
      <c r="CS27" s="38" t="b">
        <f aca="false">TRUE()</f>
        <v>1</v>
      </c>
      <c r="CT27" s="39"/>
      <c r="CU27" s="39"/>
      <c r="CV27" s="39"/>
      <c r="CW27" s="39"/>
      <c r="CX27" s="39"/>
      <c r="CY27" s="39"/>
      <c r="CZ27" s="38" t="b">
        <f aca="false">TRUE()</f>
        <v>1</v>
      </c>
      <c r="DA27" s="38" t="b">
        <f aca="false">TRUE()</f>
        <v>1</v>
      </c>
      <c r="DB27" s="39"/>
      <c r="DC27" s="38" t="b">
        <f aca="false">TRUE()</f>
        <v>1</v>
      </c>
      <c r="DD27" s="39"/>
      <c r="DE27" s="40"/>
      <c r="DF27" s="39"/>
      <c r="DG27" s="39"/>
      <c r="DH27" s="39"/>
      <c r="DI27" s="40"/>
      <c r="DJ27" s="40"/>
      <c r="DK27" s="40"/>
      <c r="DL27" s="39"/>
      <c r="DM27" s="39"/>
      <c r="DN27" s="40"/>
      <c r="DO27" s="39"/>
      <c r="DP27" s="39"/>
      <c r="DQ27" s="39"/>
      <c r="DR27" s="39"/>
      <c r="DS27" s="40"/>
      <c r="DT27" s="38" t="b">
        <f aca="false">TRUE()</f>
        <v>1</v>
      </c>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8" t="b">
        <f aca="false">TRUE()</f>
        <v>1</v>
      </c>
      <c r="EZ27" s="39"/>
      <c r="FA27" s="39"/>
      <c r="FB27" s="40"/>
      <c r="FC27" s="39"/>
      <c r="FD27" s="39"/>
      <c r="FE27" s="39"/>
      <c r="FF27" s="38" t="b">
        <f aca="false">TRUE()</f>
        <v>1</v>
      </c>
      <c r="FG27" s="40"/>
      <c r="FH27" s="39"/>
      <c r="FI27" s="39"/>
      <c r="FJ27" s="39"/>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38" t="b">
        <f aca="false">TRUE()</f>
        <v>1</v>
      </c>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38" t="b">
        <f aca="false">TRUE()</f>
        <v>1</v>
      </c>
      <c r="ID27" s="40"/>
      <c r="IE27" s="40"/>
      <c r="IF27" s="40"/>
      <c r="IG27" s="40"/>
      <c r="IH27" s="40"/>
      <c r="II27" s="40"/>
      <c r="IJ27" s="40"/>
      <c r="IK27" s="40"/>
      <c r="IL27" s="40"/>
      <c r="IM27" s="40"/>
      <c r="IN27" s="40"/>
      <c r="IO27" s="40"/>
      <c r="IP27" s="40"/>
      <c r="IQ27" s="40"/>
      <c r="IR27" s="40"/>
      <c r="IS27" s="40"/>
      <c r="IT27" s="40"/>
      <c r="IU27" s="40"/>
      <c r="IV27" s="40"/>
      <c r="IW27" s="40"/>
      <c r="IX27" s="40"/>
      <c r="IY27" s="40"/>
      <c r="IZ27" s="40"/>
      <c r="JA27" s="40"/>
      <c r="JB27" s="40"/>
      <c r="JC27" s="40"/>
      <c r="JD27" s="40"/>
      <c r="JE27" s="40"/>
      <c r="JF27" s="40"/>
      <c r="JG27" s="40"/>
      <c r="JH27" s="40"/>
      <c r="JI27" s="40"/>
      <c r="JJ27" s="40"/>
      <c r="JK27" s="40"/>
      <c r="JL27" s="40"/>
      <c r="JM27" s="40"/>
      <c r="JN27" s="40"/>
      <c r="JO27" s="40"/>
      <c r="JP27" s="40"/>
      <c r="JQ27" s="40"/>
      <c r="JR27" s="40"/>
      <c r="JS27" s="40"/>
      <c r="JT27" s="38" t="b">
        <f aca="false">TRUE()</f>
        <v>1</v>
      </c>
      <c r="JU27" s="39"/>
      <c r="JV27" s="39"/>
      <c r="JW27" s="39"/>
      <c r="JX27" s="39"/>
      <c r="JY27" s="39"/>
      <c r="JZ27" s="39"/>
      <c r="KA27" s="39"/>
      <c r="KB27" s="39"/>
      <c r="KC27" s="39"/>
      <c r="KD27" s="39"/>
      <c r="KE27" s="39"/>
      <c r="KF27" s="39"/>
      <c r="KG27" s="39"/>
      <c r="KH27" s="39"/>
      <c r="KI27" s="39"/>
      <c r="KJ27" s="39"/>
      <c r="KK27" s="40"/>
      <c r="KL27" s="39"/>
      <c r="KM27" s="39"/>
      <c r="KN27" s="39"/>
      <c r="KO27" s="39"/>
      <c r="KP27" s="39"/>
      <c r="KQ27" s="39"/>
      <c r="KR27" s="39"/>
      <c r="KS27" s="39"/>
      <c r="KT27" s="41" t="b">
        <f aca="false">TRUE()</f>
        <v>1</v>
      </c>
      <c r="KU27" s="42"/>
    </row>
    <row r="28" customFormat="false" ht="14.4" hidden="false" customHeight="false" outlineLevel="0" collapsed="false">
      <c r="A28" s="37" t="s">
        <v>305</v>
      </c>
      <c r="B28" s="37" t="s">
        <v>923</v>
      </c>
      <c r="C28" s="37"/>
      <c r="D28" s="37"/>
      <c r="E28" s="37"/>
      <c r="F28" s="37" t="s">
        <v>924</v>
      </c>
      <c r="G28" s="37" t="s">
        <v>925</v>
      </c>
      <c r="H28" s="37" t="s">
        <v>926</v>
      </c>
      <c r="I28" s="37" t="s">
        <v>310</v>
      </c>
      <c r="J28" s="37" t="s">
        <v>311</v>
      </c>
      <c r="K28" s="37"/>
      <c r="L28" s="37"/>
      <c r="M28" s="37"/>
      <c r="N28" s="37"/>
      <c r="O28" s="37" t="s">
        <v>927</v>
      </c>
      <c r="P28" s="37" t="s">
        <v>928</v>
      </c>
      <c r="Q28" s="37" t="s">
        <v>929</v>
      </c>
      <c r="R28" s="37" t="s">
        <v>930</v>
      </c>
      <c r="S28" s="37" t="s">
        <v>931</v>
      </c>
      <c r="T28" s="37" t="s">
        <v>932</v>
      </c>
      <c r="U28" s="37" t="s">
        <v>933</v>
      </c>
      <c r="V28" s="37" t="s">
        <v>934</v>
      </c>
      <c r="W28" s="37" t="s">
        <v>935</v>
      </c>
      <c r="X28" s="37" t="s">
        <v>936</v>
      </c>
      <c r="Y28" s="37" t="s">
        <v>937</v>
      </c>
      <c r="Z28" s="37" t="s">
        <v>938</v>
      </c>
      <c r="AA28" s="37" t="n">
        <v>46</v>
      </c>
      <c r="AB28" s="37" t="n">
        <v>30</v>
      </c>
      <c r="AC28" s="37" t="n">
        <v>31</v>
      </c>
      <c r="AD28" s="37" t="n">
        <v>3</v>
      </c>
      <c r="AE28" s="37" t="n">
        <v>42</v>
      </c>
      <c r="AF28" s="37" t="s">
        <v>546</v>
      </c>
      <c r="AG28" s="37" t="s">
        <v>547</v>
      </c>
      <c r="AH28" s="37" t="s">
        <v>548</v>
      </c>
      <c r="AI28" s="37"/>
      <c r="AJ28" s="37" t="s">
        <v>939</v>
      </c>
      <c r="AK28" s="37"/>
      <c r="AL28" s="37" t="s">
        <v>940</v>
      </c>
      <c r="AM28" s="37" t="s">
        <v>941</v>
      </c>
      <c r="AN28" s="37" t="s">
        <v>942</v>
      </c>
      <c r="AO28" s="37" t="n">
        <v>2021</v>
      </c>
      <c r="AP28" s="37" t="n">
        <v>11</v>
      </c>
      <c r="AQ28" s="37" t="n">
        <v>11</v>
      </c>
      <c r="AR28" s="37"/>
      <c r="AS28" s="37"/>
      <c r="AT28" s="37"/>
      <c r="AU28" s="37" t="n">
        <v>5029</v>
      </c>
      <c r="AV28" s="37" t="s">
        <v>943</v>
      </c>
      <c r="AW28" s="37" t="str">
        <f aca="false">HYPERLINK("http://dx.doi.org/10.3390/app11115029","http://dx.doi.org/10.3390/app11115029")</f>
        <v>http://dx.doi.org/10.3390/app11115029</v>
      </c>
      <c r="AX28" s="37"/>
      <c r="AY28" s="37" t="n">
        <v>23</v>
      </c>
      <c r="AZ28" s="37" t="s">
        <v>944</v>
      </c>
      <c r="BA28" s="37" t="s">
        <v>331</v>
      </c>
      <c r="BB28" s="37" t="s">
        <v>945</v>
      </c>
      <c r="BC28" s="37" t="s">
        <v>946</v>
      </c>
      <c r="BD28" s="37"/>
      <c r="BE28" s="37" t="s">
        <v>947</v>
      </c>
      <c r="BF28" s="37" t="s">
        <v>334</v>
      </c>
      <c r="BG28" s="37" t="s">
        <v>948</v>
      </c>
      <c r="BH28" s="37" t="str">
        <f aca="false">HYPERLINK("https%3A%2F%2Fwww.webofscience.com%2Fwos%2Fwoscc%2Ffull-record%2FWOS:000659593500001","View Full Record in Web of Science")</f>
        <v>View Full Record in Web of Science</v>
      </c>
      <c r="BI28" s="40" t="s">
        <v>336</v>
      </c>
      <c r="BJ28" s="39"/>
      <c r="BK28" s="39"/>
      <c r="BL28" s="40"/>
      <c r="BM28" s="40"/>
      <c r="BN28" s="40"/>
      <c r="BO28" s="39"/>
      <c r="BP28" s="39"/>
      <c r="BQ28" s="39"/>
      <c r="BR28" s="38" t="b">
        <f aca="false">TRUE()</f>
        <v>1</v>
      </c>
      <c r="BS28" s="38" t="b">
        <f aca="false">TRUE()</f>
        <v>1</v>
      </c>
      <c r="BT28" s="39"/>
      <c r="BU28" s="39"/>
      <c r="BV28" s="40"/>
      <c r="BW28" s="39"/>
      <c r="BX28" s="39"/>
      <c r="BY28" s="38" t="b">
        <f aca="false">TRUE()</f>
        <v>1</v>
      </c>
      <c r="BZ28" s="40"/>
      <c r="CA28" s="40"/>
      <c r="CB28" s="40"/>
      <c r="CC28" s="40"/>
      <c r="CD28" s="39"/>
      <c r="CE28" s="39"/>
      <c r="CF28" s="39"/>
      <c r="CG28" s="39"/>
      <c r="CH28" s="40"/>
      <c r="CI28" s="40"/>
      <c r="CJ28" s="40"/>
      <c r="CK28" s="40"/>
      <c r="CL28" s="39"/>
      <c r="CM28" s="40"/>
      <c r="CN28" s="39"/>
      <c r="CO28" s="39"/>
      <c r="CP28" s="39"/>
      <c r="CQ28" s="39"/>
      <c r="CR28" s="39"/>
      <c r="CS28" s="39"/>
      <c r="CT28" s="39"/>
      <c r="CU28" s="39"/>
      <c r="CV28" s="39"/>
      <c r="CW28" s="38" t="b">
        <f aca="false">TRUE()</f>
        <v>1</v>
      </c>
      <c r="CX28" s="39"/>
      <c r="CY28" s="39"/>
      <c r="CZ28" s="39"/>
      <c r="DA28" s="39"/>
      <c r="DB28" s="39"/>
      <c r="DC28" s="39"/>
      <c r="DD28" s="39"/>
      <c r="DE28" s="39"/>
      <c r="DF28" s="39"/>
      <c r="DG28" s="39"/>
      <c r="DH28" s="39"/>
      <c r="DI28" s="39"/>
      <c r="DJ28" s="40"/>
      <c r="DK28" s="39"/>
      <c r="DL28" s="40"/>
      <c r="DM28" s="39"/>
      <c r="DN28" s="40"/>
      <c r="DO28" s="39"/>
      <c r="DP28" s="39"/>
      <c r="DQ28" s="39"/>
      <c r="DR28" s="40"/>
      <c r="DS28" s="39"/>
      <c r="DT28" s="39"/>
      <c r="DU28" s="38" t="b">
        <f aca="false">TRUE()</f>
        <v>1</v>
      </c>
      <c r="DV28" s="39"/>
      <c r="DW28" s="39"/>
      <c r="DX28" s="39"/>
      <c r="DY28" s="39"/>
      <c r="DZ28" s="39"/>
      <c r="EA28" s="39"/>
      <c r="EB28" s="38" t="b">
        <f aca="false">TRUE()</f>
        <v>1</v>
      </c>
      <c r="EC28" s="39"/>
      <c r="ED28" s="39"/>
      <c r="EE28" s="39"/>
      <c r="EF28" s="39"/>
      <c r="EG28" s="39"/>
      <c r="EH28" s="39"/>
      <c r="EI28" s="39"/>
      <c r="EJ28" s="39"/>
      <c r="EK28" s="39"/>
      <c r="EL28" s="39"/>
      <c r="EM28" s="39"/>
      <c r="EN28" s="39"/>
      <c r="EO28" s="39"/>
      <c r="EP28" s="39"/>
      <c r="EQ28" s="39"/>
      <c r="ER28" s="39"/>
      <c r="ES28" s="39"/>
      <c r="ET28" s="39"/>
      <c r="EU28" s="39"/>
      <c r="EV28" s="39"/>
      <c r="EW28" s="39"/>
      <c r="EX28" s="39"/>
      <c r="EY28" s="38" t="b">
        <f aca="false">TRUE()</f>
        <v>1</v>
      </c>
      <c r="EZ28" s="39"/>
      <c r="FA28" s="39"/>
      <c r="FB28" s="40"/>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39"/>
      <c r="HG28" s="39"/>
      <c r="HH28" s="39"/>
      <c r="HI28" s="39"/>
      <c r="HJ28" s="39"/>
      <c r="HK28" s="39"/>
      <c r="HL28" s="39"/>
      <c r="HM28" s="39"/>
      <c r="HN28" s="39"/>
      <c r="HO28" s="39"/>
      <c r="HP28" s="39"/>
      <c r="HQ28" s="39"/>
      <c r="HR28" s="39"/>
      <c r="HS28" s="39"/>
      <c r="HT28" s="39"/>
      <c r="HU28" s="39"/>
      <c r="HV28" s="39"/>
      <c r="HW28" s="39"/>
      <c r="HX28" s="39"/>
      <c r="HY28" s="39"/>
      <c r="HZ28" s="39"/>
      <c r="IA28" s="39"/>
      <c r="IB28" s="39"/>
      <c r="IC28" s="39"/>
      <c r="ID28" s="39"/>
      <c r="IE28" s="39"/>
      <c r="IF28" s="39"/>
      <c r="IG28" s="39"/>
      <c r="IH28" s="39"/>
      <c r="II28" s="39"/>
      <c r="IJ28" s="39"/>
      <c r="IK28" s="39"/>
      <c r="IL28" s="39"/>
      <c r="IM28" s="39"/>
      <c r="IN28" s="39"/>
      <c r="IO28" s="39"/>
      <c r="IP28" s="39"/>
      <c r="IQ28" s="39"/>
      <c r="IR28" s="39"/>
      <c r="IS28" s="39"/>
      <c r="IT28" s="39"/>
      <c r="IU28" s="39"/>
      <c r="IV28" s="39"/>
      <c r="IW28" s="39"/>
      <c r="IX28" s="39"/>
      <c r="IY28" s="39"/>
      <c r="IZ28" s="39"/>
      <c r="JA28" s="39"/>
      <c r="JB28" s="39"/>
      <c r="JC28" s="39"/>
      <c r="JD28" s="39"/>
      <c r="JE28" s="39"/>
      <c r="JF28" s="41" t="b">
        <f aca="false">TRUE()</f>
        <v>1</v>
      </c>
      <c r="JG28" s="39"/>
      <c r="JH28" s="39"/>
      <c r="JI28" s="39"/>
      <c r="JJ28" s="39"/>
      <c r="JK28" s="39"/>
      <c r="JL28" s="39"/>
      <c r="JM28" s="39"/>
      <c r="JN28" s="39"/>
      <c r="JO28" s="39"/>
      <c r="JP28" s="39"/>
      <c r="JQ28" s="39"/>
      <c r="JR28" s="39"/>
      <c r="JS28" s="40"/>
      <c r="JT28" s="38" t="b">
        <f aca="false">TRUE()</f>
        <v>1</v>
      </c>
      <c r="JU28" s="38" t="b">
        <f aca="false">TRUE()</f>
        <v>1</v>
      </c>
      <c r="JV28" s="40"/>
      <c r="JW28" s="40"/>
      <c r="JX28" s="40"/>
      <c r="JY28" s="40"/>
      <c r="JZ28" s="40"/>
      <c r="KA28" s="40"/>
      <c r="KB28" s="40"/>
      <c r="KC28" s="40"/>
      <c r="KD28" s="40"/>
      <c r="KE28" s="40"/>
      <c r="KF28" s="40"/>
      <c r="KG28" s="40"/>
      <c r="KH28" s="40"/>
      <c r="KI28" s="40"/>
      <c r="KJ28" s="40"/>
      <c r="KK28" s="39"/>
      <c r="KL28" s="40"/>
      <c r="KM28" s="40"/>
      <c r="KN28" s="40"/>
      <c r="KO28" s="40"/>
      <c r="KP28" s="38" t="b">
        <f aca="false">TRUE()</f>
        <v>1</v>
      </c>
      <c r="KQ28" s="40"/>
      <c r="KR28" s="40"/>
      <c r="KS28" s="40"/>
      <c r="KT28" s="38" t="b">
        <f aca="false">TRUE()</f>
        <v>1</v>
      </c>
      <c r="KU28" s="44"/>
    </row>
    <row r="29" customFormat="false" ht="14.4" hidden="false" customHeight="false" outlineLevel="0" collapsed="false">
      <c r="A29" s="37" t="s">
        <v>305</v>
      </c>
      <c r="B29" s="37" t="s">
        <v>949</v>
      </c>
      <c r="C29" s="37"/>
      <c r="D29" s="37"/>
      <c r="E29" s="37"/>
      <c r="F29" s="37" t="s">
        <v>950</v>
      </c>
      <c r="G29" s="37" t="s">
        <v>951</v>
      </c>
      <c r="H29" s="37" t="s">
        <v>952</v>
      </c>
      <c r="I29" s="37" t="s">
        <v>310</v>
      </c>
      <c r="J29" s="37" t="s">
        <v>311</v>
      </c>
      <c r="K29" s="37"/>
      <c r="L29" s="37"/>
      <c r="M29" s="37"/>
      <c r="N29" s="37"/>
      <c r="O29" s="37" t="s">
        <v>953</v>
      </c>
      <c r="P29" s="37" t="s">
        <v>954</v>
      </c>
      <c r="Q29" s="37" t="s">
        <v>955</v>
      </c>
      <c r="R29" s="37" t="s">
        <v>956</v>
      </c>
      <c r="S29" s="37" t="s">
        <v>957</v>
      </c>
      <c r="T29" s="37" t="s">
        <v>958</v>
      </c>
      <c r="U29" s="37" t="s">
        <v>959</v>
      </c>
      <c r="V29" s="37" t="s">
        <v>960</v>
      </c>
      <c r="W29" s="37" t="s">
        <v>961</v>
      </c>
      <c r="X29" s="37" t="s">
        <v>962</v>
      </c>
      <c r="Y29" s="37" t="s">
        <v>963</v>
      </c>
      <c r="Z29" s="37" t="s">
        <v>964</v>
      </c>
      <c r="AA29" s="37" t="n">
        <v>70</v>
      </c>
      <c r="AB29" s="37" t="n">
        <v>5</v>
      </c>
      <c r="AC29" s="37" t="n">
        <v>6</v>
      </c>
      <c r="AD29" s="37" t="n">
        <v>18</v>
      </c>
      <c r="AE29" s="37" t="n">
        <v>44</v>
      </c>
      <c r="AF29" s="37" t="s">
        <v>321</v>
      </c>
      <c r="AG29" s="37" t="s">
        <v>322</v>
      </c>
      <c r="AH29" s="37" t="s">
        <v>323</v>
      </c>
      <c r="AI29" s="37" t="s">
        <v>965</v>
      </c>
      <c r="AJ29" s="37" t="s">
        <v>966</v>
      </c>
      <c r="AK29" s="37"/>
      <c r="AL29" s="37" t="s">
        <v>967</v>
      </c>
      <c r="AM29" s="37" t="s">
        <v>968</v>
      </c>
      <c r="AN29" s="37" t="s">
        <v>942</v>
      </c>
      <c r="AO29" s="37" t="n">
        <v>2023</v>
      </c>
      <c r="AP29" s="37" t="n">
        <v>13</v>
      </c>
      <c r="AQ29" s="37" t="n">
        <v>6</v>
      </c>
      <c r="AR29" s="37"/>
      <c r="AS29" s="37"/>
      <c r="AT29" s="37"/>
      <c r="AU29" s="37" t="n">
        <v>136</v>
      </c>
      <c r="AV29" s="37" t="s">
        <v>969</v>
      </c>
      <c r="AW29" s="37" t="str">
        <f aca="false">HYPERLINK("http://dx.doi.org/10.1007/s13201-023-01942-1","http://dx.doi.org/10.1007/s13201-023-01942-1")</f>
        <v>http://dx.doi.org/10.1007/s13201-023-01942-1</v>
      </c>
      <c r="AX29" s="37"/>
      <c r="AY29" s="37" t="n">
        <v>30</v>
      </c>
      <c r="AZ29" s="37" t="s">
        <v>727</v>
      </c>
      <c r="BA29" s="37" t="s">
        <v>331</v>
      </c>
      <c r="BB29" s="37" t="s">
        <v>727</v>
      </c>
      <c r="BC29" s="37" t="s">
        <v>970</v>
      </c>
      <c r="BD29" s="37"/>
      <c r="BE29" s="37" t="s">
        <v>503</v>
      </c>
      <c r="BF29" s="37" t="s">
        <v>334</v>
      </c>
      <c r="BG29" s="37" t="s">
        <v>971</v>
      </c>
      <c r="BH29" s="37" t="str">
        <f aca="false">HYPERLINK("https%3A%2F%2Fwww.webofscience.com%2Fwos%2Fwoscc%2Ffull-record%2FWOS:000992798900001","View Full Record in Web of Science")</f>
        <v>View Full Record in Web of Science</v>
      </c>
      <c r="BI29" s="38" t="b">
        <f aca="false">TRUE()</f>
        <v>1</v>
      </c>
      <c r="BJ29" s="39"/>
      <c r="BK29" s="39"/>
      <c r="BL29" s="40"/>
      <c r="BM29" s="40"/>
      <c r="BN29" s="40"/>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40"/>
      <c r="CM29" s="39"/>
      <c r="CN29" s="39"/>
      <c r="CO29" s="39"/>
      <c r="CP29" s="39"/>
      <c r="CQ29" s="39"/>
      <c r="CR29" s="39"/>
      <c r="CS29" s="39"/>
      <c r="CT29" s="39"/>
      <c r="CU29" s="39"/>
      <c r="CV29" s="39"/>
      <c r="CW29" s="38" t="b">
        <f aca="false">TRUE()</f>
        <v>1</v>
      </c>
      <c r="CX29" s="39"/>
      <c r="CY29" s="39"/>
      <c r="CZ29" s="39"/>
      <c r="DA29" s="39"/>
      <c r="DB29" s="39"/>
      <c r="DC29" s="39"/>
      <c r="DD29" s="39"/>
      <c r="DE29" s="39"/>
      <c r="DF29" s="39"/>
      <c r="DG29" s="39"/>
      <c r="DH29" s="39"/>
      <c r="DI29" s="39"/>
      <c r="DJ29" s="40"/>
      <c r="DK29" s="39"/>
      <c r="DL29" s="39"/>
      <c r="DM29" s="39"/>
      <c r="DN29" s="40"/>
      <c r="DO29" s="39"/>
      <c r="DP29" s="39"/>
      <c r="DQ29" s="39"/>
      <c r="DR29" s="40"/>
      <c r="DS29" s="39"/>
      <c r="DT29" s="38" t="b">
        <f aca="false">TRUE()</f>
        <v>1</v>
      </c>
      <c r="DU29" s="39"/>
      <c r="DV29" s="39"/>
      <c r="DW29" s="39"/>
      <c r="DX29" s="39"/>
      <c r="DY29" s="39"/>
      <c r="DZ29" s="39"/>
      <c r="EA29" s="38" t="b">
        <f aca="false">TRUE()</f>
        <v>1</v>
      </c>
      <c r="EB29" s="39"/>
      <c r="EC29" s="40"/>
      <c r="ED29" s="40"/>
      <c r="EE29" s="40"/>
      <c r="EF29" s="39"/>
      <c r="EG29" s="39"/>
      <c r="EH29" s="39"/>
      <c r="EI29" s="38" t="b">
        <f aca="false">TRUE()</f>
        <v>1</v>
      </c>
      <c r="EJ29" s="39"/>
      <c r="EK29" s="40"/>
      <c r="EL29" s="40"/>
      <c r="EM29" s="39"/>
      <c r="EN29" s="40"/>
      <c r="EO29" s="40"/>
      <c r="EP29" s="39"/>
      <c r="EQ29" s="39"/>
      <c r="ER29" s="39"/>
      <c r="ES29" s="39"/>
      <c r="ET29" s="40"/>
      <c r="EU29" s="40"/>
      <c r="EV29" s="40"/>
      <c r="EW29" s="39"/>
      <c r="EX29" s="39"/>
      <c r="EY29" s="38" t="b">
        <f aca="false">TRUE()</f>
        <v>1</v>
      </c>
      <c r="EZ29" s="39"/>
      <c r="FA29" s="40"/>
      <c r="FB29" s="40"/>
      <c r="FC29" s="38" t="b">
        <f aca="false">TRUE()</f>
        <v>1</v>
      </c>
      <c r="FD29" s="40"/>
      <c r="FE29" s="40"/>
      <c r="FF29" s="39"/>
      <c r="FG29" s="39"/>
      <c r="FH29" s="39"/>
      <c r="FI29" s="39"/>
      <c r="FJ29" s="39"/>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c r="IW29" s="40"/>
      <c r="IX29" s="38" t="b">
        <f aca="false">TRUE()</f>
        <v>1</v>
      </c>
      <c r="IY29" s="40"/>
      <c r="IZ29" s="40"/>
      <c r="JA29" s="40"/>
      <c r="JB29" s="40"/>
      <c r="JC29" s="40"/>
      <c r="JD29" s="40"/>
      <c r="JE29" s="40"/>
      <c r="JF29" s="40"/>
      <c r="JG29" s="40"/>
      <c r="JH29" s="40"/>
      <c r="JI29" s="40"/>
      <c r="JJ29" s="40"/>
      <c r="JK29" s="40"/>
      <c r="JL29" s="40"/>
      <c r="JM29" s="40"/>
      <c r="JN29" s="40"/>
      <c r="JO29" s="40"/>
      <c r="JP29" s="40"/>
      <c r="JQ29" s="40"/>
      <c r="JR29" s="40"/>
      <c r="JS29" s="40"/>
      <c r="JT29" s="38" t="b">
        <f aca="false">TRUE()</f>
        <v>1</v>
      </c>
      <c r="JU29" s="38" t="b">
        <f aca="false">TRUE()</f>
        <v>1</v>
      </c>
      <c r="JV29" s="40"/>
      <c r="JW29" s="40"/>
      <c r="JX29" s="40"/>
      <c r="JY29" s="40"/>
      <c r="JZ29" s="40"/>
      <c r="KA29" s="40"/>
      <c r="KB29" s="40"/>
      <c r="KC29" s="40"/>
      <c r="KD29" s="40"/>
      <c r="KE29" s="40"/>
      <c r="KF29" s="40"/>
      <c r="KG29" s="40"/>
      <c r="KH29" s="40"/>
      <c r="KI29" s="40"/>
      <c r="KJ29" s="40"/>
      <c r="KK29" s="40"/>
      <c r="KL29" s="40"/>
      <c r="KM29" s="40"/>
      <c r="KN29" s="40"/>
      <c r="KO29" s="40"/>
      <c r="KP29" s="41" t="b">
        <f aca="false">TRUE()</f>
        <v>1</v>
      </c>
      <c r="KQ29" s="39"/>
      <c r="KR29" s="40"/>
      <c r="KS29" s="40"/>
      <c r="KT29" s="38" t="b">
        <f aca="false">TRUE()</f>
        <v>1</v>
      </c>
      <c r="KU29" s="44"/>
    </row>
    <row r="30" customFormat="false" ht="14.4" hidden="false" customHeight="false" outlineLevel="0" collapsed="false">
      <c r="A30" s="37" t="s">
        <v>305</v>
      </c>
      <c r="B30" s="37" t="s">
        <v>972</v>
      </c>
      <c r="C30" s="37"/>
      <c r="D30" s="37"/>
      <c r="E30" s="37"/>
      <c r="F30" s="37" t="s">
        <v>973</v>
      </c>
      <c r="G30" s="37" t="s">
        <v>974</v>
      </c>
      <c r="H30" s="37" t="s">
        <v>733</v>
      </c>
      <c r="I30" s="37" t="s">
        <v>310</v>
      </c>
      <c r="J30" s="37" t="s">
        <v>311</v>
      </c>
      <c r="K30" s="37"/>
      <c r="L30" s="37"/>
      <c r="M30" s="37"/>
      <c r="N30" s="37"/>
      <c r="O30" s="37" t="s">
        <v>975</v>
      </c>
      <c r="P30" s="37" t="s">
        <v>976</v>
      </c>
      <c r="Q30" s="37" t="s">
        <v>977</v>
      </c>
      <c r="R30" s="37" t="s">
        <v>978</v>
      </c>
      <c r="S30" s="37" t="s">
        <v>979</v>
      </c>
      <c r="T30" s="37" t="s">
        <v>980</v>
      </c>
      <c r="U30" s="37" t="s">
        <v>981</v>
      </c>
      <c r="V30" s="37" t="s">
        <v>982</v>
      </c>
      <c r="W30" s="37"/>
      <c r="X30" s="37"/>
      <c r="Y30" s="37"/>
      <c r="Z30" s="37"/>
      <c r="AA30" s="37" t="n">
        <v>47</v>
      </c>
      <c r="AB30" s="37" t="n">
        <v>97</v>
      </c>
      <c r="AC30" s="37" t="n">
        <v>97</v>
      </c>
      <c r="AD30" s="37" t="n">
        <v>9</v>
      </c>
      <c r="AE30" s="37" t="n">
        <v>106</v>
      </c>
      <c r="AF30" s="37" t="s">
        <v>353</v>
      </c>
      <c r="AG30" s="37" t="s">
        <v>354</v>
      </c>
      <c r="AH30" s="37" t="s">
        <v>355</v>
      </c>
      <c r="AI30" s="37" t="s">
        <v>745</v>
      </c>
      <c r="AJ30" s="37" t="s">
        <v>746</v>
      </c>
      <c r="AK30" s="37"/>
      <c r="AL30" s="37" t="s">
        <v>747</v>
      </c>
      <c r="AM30" s="37" t="s">
        <v>748</v>
      </c>
      <c r="AN30" s="37" t="s">
        <v>801</v>
      </c>
      <c r="AO30" s="37" t="n">
        <v>2021</v>
      </c>
      <c r="AP30" s="37" t="n">
        <v>255</v>
      </c>
      <c r="AQ30" s="37"/>
      <c r="AR30" s="37"/>
      <c r="AS30" s="37"/>
      <c r="AT30" s="37"/>
      <c r="AU30" s="37" t="n">
        <v>107040</v>
      </c>
      <c r="AV30" s="37" t="s">
        <v>983</v>
      </c>
      <c r="AW30" s="37" t="str">
        <f aca="false">HYPERLINK("http://dx.doi.org/10.1016/j.agwat.2021.107040","http://dx.doi.org/10.1016/j.agwat.2021.107040")</f>
        <v>http://dx.doi.org/10.1016/j.agwat.2021.107040</v>
      </c>
      <c r="AX30" s="37" t="s">
        <v>984</v>
      </c>
      <c r="AY30" s="37" t="n">
        <v>19</v>
      </c>
      <c r="AZ30" s="37" t="s">
        <v>438</v>
      </c>
      <c r="BA30" s="37" t="s">
        <v>331</v>
      </c>
      <c r="BB30" s="37" t="s">
        <v>439</v>
      </c>
      <c r="BC30" s="37" t="s">
        <v>985</v>
      </c>
      <c r="BD30" s="37"/>
      <c r="BE30" s="37"/>
      <c r="BF30" s="37" t="s">
        <v>334</v>
      </c>
      <c r="BG30" s="37" t="s">
        <v>986</v>
      </c>
      <c r="BH30" s="37" t="str">
        <f aca="false">HYPERLINK("https%3A%2F%2Fwww.webofscience.com%2Fwos%2Fwoscc%2Ffull-record%2FWOS:000681281300002","View Full Record in Web of Science")</f>
        <v>View Full Record in Web of Science</v>
      </c>
      <c r="BI30" s="40" t="s">
        <v>336</v>
      </c>
      <c r="BJ30" s="39"/>
      <c r="BK30" s="39"/>
      <c r="BL30" s="40"/>
      <c r="BM30" s="40"/>
      <c r="BN30" s="40"/>
      <c r="BO30" s="39"/>
      <c r="BP30" s="39"/>
      <c r="BQ30" s="39"/>
      <c r="BR30" s="38" t="b">
        <f aca="false">TRUE()</f>
        <v>1</v>
      </c>
      <c r="BS30" s="39"/>
      <c r="BT30" s="39"/>
      <c r="BU30" s="39"/>
      <c r="BV30" s="39"/>
      <c r="BW30" s="39"/>
      <c r="BX30" s="38" t="b">
        <f aca="false">TRUE()</f>
        <v>1</v>
      </c>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40"/>
      <c r="DK30" s="39"/>
      <c r="DL30" s="39"/>
      <c r="DM30" s="39"/>
      <c r="DN30" s="40"/>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8" t="b">
        <f aca="false">TRUE()</f>
        <v>1</v>
      </c>
      <c r="FG30" s="40"/>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39"/>
      <c r="HE30" s="39"/>
      <c r="HF30" s="39"/>
      <c r="HG30" s="39"/>
      <c r="HH30" s="39"/>
      <c r="HI30" s="39"/>
      <c r="HJ30" s="39"/>
      <c r="HK30" s="39"/>
      <c r="HL30" s="39"/>
      <c r="HM30" s="39"/>
      <c r="HN30" s="39"/>
      <c r="HO30" s="39"/>
      <c r="HP30" s="39"/>
      <c r="HQ30" s="39"/>
      <c r="HR30" s="39"/>
      <c r="HS30" s="39"/>
      <c r="HT30" s="39"/>
      <c r="HU30" s="39"/>
      <c r="HV30" s="39"/>
      <c r="HW30" s="39"/>
      <c r="HX30" s="39"/>
      <c r="HY30" s="39"/>
      <c r="HZ30" s="39"/>
      <c r="IA30" s="39"/>
      <c r="IB30" s="39"/>
      <c r="IC30" s="41" t="b">
        <f aca="false">TRUE()</f>
        <v>1</v>
      </c>
      <c r="ID30" s="39"/>
      <c r="IE30" s="39"/>
      <c r="IF30" s="39"/>
      <c r="IG30" s="39"/>
      <c r="IH30" s="39"/>
      <c r="II30" s="39"/>
      <c r="IJ30" s="39"/>
      <c r="IK30" s="39"/>
      <c r="IL30" s="39"/>
      <c r="IM30" s="39"/>
      <c r="IN30" s="39"/>
      <c r="IO30" s="39"/>
      <c r="IP30" s="39"/>
      <c r="IQ30" s="39"/>
      <c r="IR30" s="39"/>
      <c r="IS30" s="39"/>
      <c r="IT30" s="39"/>
      <c r="IU30" s="39"/>
      <c r="IV30" s="39"/>
      <c r="IW30" s="39"/>
      <c r="IX30" s="39"/>
      <c r="IY30" s="39"/>
      <c r="IZ30" s="39"/>
      <c r="JA30" s="39"/>
      <c r="JB30" s="39"/>
      <c r="JC30" s="39"/>
      <c r="JD30" s="39"/>
      <c r="JE30" s="39"/>
      <c r="JF30" s="39"/>
      <c r="JG30" s="39"/>
      <c r="JH30" s="39"/>
      <c r="JI30" s="39"/>
      <c r="JJ30" s="39"/>
      <c r="JK30" s="39"/>
      <c r="JL30" s="39"/>
      <c r="JM30" s="39"/>
      <c r="JN30" s="39"/>
      <c r="JO30" s="39"/>
      <c r="JP30" s="39"/>
      <c r="JQ30" s="39"/>
      <c r="JR30" s="39"/>
      <c r="JS30" s="40"/>
      <c r="JT30" s="38" t="b">
        <f aca="false">TRUE()</f>
        <v>1</v>
      </c>
      <c r="JU30" s="39"/>
      <c r="JV30" s="39"/>
      <c r="JW30" s="39"/>
      <c r="JX30" s="39"/>
      <c r="JY30" s="39"/>
      <c r="JZ30" s="39"/>
      <c r="KA30" s="39"/>
      <c r="KB30" s="39"/>
      <c r="KC30" s="39"/>
      <c r="KD30" s="39"/>
      <c r="KE30" s="39"/>
      <c r="KF30" s="39"/>
      <c r="KG30" s="39"/>
      <c r="KH30" s="39"/>
      <c r="KI30" s="39"/>
      <c r="KJ30" s="39"/>
      <c r="KK30" s="39"/>
      <c r="KL30" s="39"/>
      <c r="KM30" s="39"/>
      <c r="KN30" s="39"/>
      <c r="KO30" s="39"/>
      <c r="KP30" s="41" t="b">
        <f aca="false">TRUE()</f>
        <v>1</v>
      </c>
      <c r="KQ30" s="39"/>
      <c r="KR30" s="40"/>
      <c r="KS30" s="40"/>
      <c r="KT30" s="38" t="b">
        <f aca="false">TRUE()</f>
        <v>1</v>
      </c>
      <c r="KU30" s="44"/>
    </row>
    <row r="31" customFormat="false" ht="14.4" hidden="false" customHeight="false" outlineLevel="0" collapsed="false">
      <c r="A31" s="37" t="s">
        <v>305</v>
      </c>
      <c r="B31" s="37" t="s">
        <v>987</v>
      </c>
      <c r="C31" s="37"/>
      <c r="D31" s="37"/>
      <c r="E31" s="37"/>
      <c r="F31" s="37" t="s">
        <v>988</v>
      </c>
      <c r="G31" s="37" t="s">
        <v>989</v>
      </c>
      <c r="H31" s="37" t="s">
        <v>990</v>
      </c>
      <c r="I31" s="37" t="s">
        <v>310</v>
      </c>
      <c r="J31" s="37" t="s">
        <v>311</v>
      </c>
      <c r="K31" s="37"/>
      <c r="L31" s="37"/>
      <c r="M31" s="37"/>
      <c r="N31" s="37"/>
      <c r="O31" s="37" t="s">
        <v>991</v>
      </c>
      <c r="P31" s="37" t="s">
        <v>992</v>
      </c>
      <c r="Q31" s="37" t="s">
        <v>993</v>
      </c>
      <c r="R31" s="37" t="s">
        <v>994</v>
      </c>
      <c r="S31" s="37" t="s">
        <v>995</v>
      </c>
      <c r="T31" s="37" t="s">
        <v>996</v>
      </c>
      <c r="U31" s="37" t="s">
        <v>997</v>
      </c>
      <c r="V31" s="37" t="s">
        <v>998</v>
      </c>
      <c r="W31" s="37" t="s">
        <v>999</v>
      </c>
      <c r="X31" s="37" t="s">
        <v>1000</v>
      </c>
      <c r="Y31" s="37" t="s">
        <v>1001</v>
      </c>
      <c r="Z31" s="37" t="s">
        <v>1002</v>
      </c>
      <c r="AA31" s="37" t="n">
        <v>47</v>
      </c>
      <c r="AB31" s="37" t="n">
        <v>7</v>
      </c>
      <c r="AC31" s="37" t="n">
        <v>7</v>
      </c>
      <c r="AD31" s="37" t="n">
        <v>9</v>
      </c>
      <c r="AE31" s="37" t="n">
        <v>14</v>
      </c>
      <c r="AF31" s="37" t="s">
        <v>353</v>
      </c>
      <c r="AG31" s="37" t="s">
        <v>354</v>
      </c>
      <c r="AH31" s="37" t="s">
        <v>355</v>
      </c>
      <c r="AI31" s="37" t="s">
        <v>1003</v>
      </c>
      <c r="AJ31" s="37" t="s">
        <v>1004</v>
      </c>
      <c r="AK31" s="37"/>
      <c r="AL31" s="37" t="s">
        <v>1005</v>
      </c>
      <c r="AM31" s="37" t="s">
        <v>1006</v>
      </c>
      <c r="AN31" s="37" t="s">
        <v>408</v>
      </c>
      <c r="AO31" s="37" t="n">
        <v>2023</v>
      </c>
      <c r="AP31" s="37" t="n">
        <v>24</v>
      </c>
      <c r="AQ31" s="37"/>
      <c r="AR31" s="37"/>
      <c r="AS31" s="37"/>
      <c r="AT31" s="37"/>
      <c r="AU31" s="37" t="n">
        <v>100973</v>
      </c>
      <c r="AV31" s="37" t="s">
        <v>1007</v>
      </c>
      <c r="AW31" s="37" t="str">
        <f aca="false">HYPERLINK("http://dx.doi.org/10.1016/j.iot.2023.100973","http://dx.doi.org/10.1016/j.iot.2023.100973")</f>
        <v>http://dx.doi.org/10.1016/j.iot.2023.100973</v>
      </c>
      <c r="AX31" s="37" t="s">
        <v>410</v>
      </c>
      <c r="AY31" s="37" t="n">
        <v>16</v>
      </c>
      <c r="AZ31" s="37" t="s">
        <v>1008</v>
      </c>
      <c r="BA31" s="37" t="s">
        <v>331</v>
      </c>
      <c r="BB31" s="37" t="s">
        <v>1009</v>
      </c>
      <c r="BC31" s="37" t="s">
        <v>1010</v>
      </c>
      <c r="BD31" s="37"/>
      <c r="BE31" s="37"/>
      <c r="BF31" s="37" t="s">
        <v>334</v>
      </c>
      <c r="BG31" s="37" t="s">
        <v>1011</v>
      </c>
      <c r="BH31" s="37" t="str">
        <f aca="false">HYPERLINK("https%3A%2F%2Fwww.webofscience.com%2Fwos%2Fwoscc%2Ffull-record%2FWOS:001111702700001","View Full Record in Web of Science")</f>
        <v>View Full Record in Web of Science</v>
      </c>
      <c r="BI31" s="40" t="s">
        <v>336</v>
      </c>
      <c r="BJ31" s="39"/>
      <c r="BK31" s="39"/>
      <c r="BL31" s="40"/>
      <c r="BM31" s="40"/>
      <c r="BN31" s="40"/>
      <c r="BO31" s="39"/>
      <c r="BP31" s="39"/>
      <c r="BQ31" s="39"/>
      <c r="BR31" s="39"/>
      <c r="BS31" s="39"/>
      <c r="BT31" s="39"/>
      <c r="BU31" s="39"/>
      <c r="BV31" s="39"/>
      <c r="BW31" s="39"/>
      <c r="BX31" s="39"/>
      <c r="BY31" s="39"/>
      <c r="BZ31" s="40"/>
      <c r="CA31" s="40"/>
      <c r="CB31" s="40"/>
      <c r="CC31" s="40"/>
      <c r="CD31" s="39"/>
      <c r="CE31" s="39"/>
      <c r="CF31" s="40"/>
      <c r="CG31" s="39"/>
      <c r="CH31" s="40"/>
      <c r="CI31" s="40"/>
      <c r="CJ31" s="40"/>
      <c r="CK31" s="40"/>
      <c r="CL31" s="40"/>
      <c r="CM31" s="40"/>
      <c r="CN31" s="39"/>
      <c r="CO31" s="40"/>
      <c r="CP31" s="39"/>
      <c r="CQ31" s="40"/>
      <c r="CR31" s="39"/>
      <c r="CS31" s="39"/>
      <c r="CT31" s="39"/>
      <c r="CU31" s="39"/>
      <c r="CV31" s="39"/>
      <c r="CW31" s="38" t="b">
        <f aca="false">TRUE()</f>
        <v>1</v>
      </c>
      <c r="CX31" s="39"/>
      <c r="CY31" s="39"/>
      <c r="CZ31" s="38" t="b">
        <f aca="false">TRUE()</f>
        <v>1</v>
      </c>
      <c r="DA31" s="38" t="b">
        <f aca="false">TRUE()</f>
        <v>1</v>
      </c>
      <c r="DB31" s="39"/>
      <c r="DC31" s="40"/>
      <c r="DD31" s="39"/>
      <c r="DE31" s="40"/>
      <c r="DF31" s="39"/>
      <c r="DG31" s="39"/>
      <c r="DH31" s="39"/>
      <c r="DI31" s="40"/>
      <c r="DJ31" s="40"/>
      <c r="DK31" s="40"/>
      <c r="DL31" s="40"/>
      <c r="DM31" s="39"/>
      <c r="DN31" s="40"/>
      <c r="DO31" s="39"/>
      <c r="DP31" s="39"/>
      <c r="DQ31" s="39"/>
      <c r="DR31" s="40"/>
      <c r="DS31" s="40"/>
      <c r="DT31" s="38" t="b">
        <f aca="false">TRUE()</f>
        <v>1</v>
      </c>
      <c r="DU31" s="38" t="b">
        <f aca="false">TRUE()</f>
        <v>1</v>
      </c>
      <c r="DV31" s="39"/>
      <c r="DW31" s="39"/>
      <c r="DX31" s="39"/>
      <c r="DY31" s="39"/>
      <c r="DZ31" s="39"/>
      <c r="EA31" s="38" t="b">
        <f aca="false">TRUE()</f>
        <v>1</v>
      </c>
      <c r="EB31" s="39"/>
      <c r="EC31" s="40"/>
      <c r="ED31" s="40"/>
      <c r="EE31" s="40"/>
      <c r="EF31" s="39"/>
      <c r="EG31" s="39"/>
      <c r="EH31" s="39"/>
      <c r="EI31" s="38" t="b">
        <f aca="false">TRUE()</f>
        <v>1</v>
      </c>
      <c r="EJ31" s="39"/>
      <c r="EK31" s="40"/>
      <c r="EL31" s="40"/>
      <c r="EM31" s="39"/>
      <c r="EN31" s="40"/>
      <c r="EO31" s="40"/>
      <c r="EP31" s="39"/>
      <c r="EQ31" s="39"/>
      <c r="ER31" s="39"/>
      <c r="ES31" s="39"/>
      <c r="ET31" s="40"/>
      <c r="EU31" s="40"/>
      <c r="EV31" s="40"/>
      <c r="EW31" s="39"/>
      <c r="EX31" s="39"/>
      <c r="EY31" s="38" t="b">
        <f aca="false">TRUE()</f>
        <v>1</v>
      </c>
      <c r="EZ31" s="39"/>
      <c r="FA31" s="40"/>
      <c r="FB31" s="40"/>
      <c r="FC31" s="38" t="b">
        <f aca="false">TRUE()</f>
        <v>1</v>
      </c>
      <c r="FD31" s="40"/>
      <c r="FE31" s="40"/>
      <c r="FF31" s="39"/>
      <c r="FG31" s="39"/>
      <c r="FH31" s="39"/>
      <c r="FI31" s="39"/>
      <c r="FJ31" s="39"/>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38" t="b">
        <f aca="false">TRUE()</f>
        <v>1</v>
      </c>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c r="IW31" s="40"/>
      <c r="IX31" s="40"/>
      <c r="IY31" s="40"/>
      <c r="IZ31" s="40"/>
      <c r="JA31" s="40"/>
      <c r="JB31" s="40"/>
      <c r="JC31" s="40"/>
      <c r="JD31" s="40"/>
      <c r="JE31" s="40"/>
      <c r="JF31" s="40"/>
      <c r="JG31" s="40"/>
      <c r="JH31" s="38" t="b">
        <f aca="false">TRUE()</f>
        <v>1</v>
      </c>
      <c r="JI31" s="40"/>
      <c r="JJ31" s="40"/>
      <c r="JK31" s="40"/>
      <c r="JL31" s="40"/>
      <c r="JM31" s="40"/>
      <c r="JN31" s="40"/>
      <c r="JO31" s="40"/>
      <c r="JP31" s="40"/>
      <c r="JQ31" s="40"/>
      <c r="JR31" s="40"/>
      <c r="JS31" s="40"/>
      <c r="JT31" s="38" t="b">
        <f aca="false">TRUE()</f>
        <v>1</v>
      </c>
      <c r="JU31" s="39"/>
      <c r="JV31" s="39"/>
      <c r="JW31" s="39"/>
      <c r="JX31" s="39"/>
      <c r="JY31" s="39"/>
      <c r="JZ31" s="39"/>
      <c r="KA31" s="39"/>
      <c r="KB31" s="39"/>
      <c r="KC31" s="39"/>
      <c r="KD31" s="39"/>
      <c r="KE31" s="39"/>
      <c r="KF31" s="39"/>
      <c r="KG31" s="39"/>
      <c r="KH31" s="39"/>
      <c r="KI31" s="39"/>
      <c r="KJ31" s="39"/>
      <c r="KK31" s="40"/>
      <c r="KL31" s="39"/>
      <c r="KM31" s="39"/>
      <c r="KN31" s="39"/>
      <c r="KO31" s="39"/>
      <c r="KP31" s="38" t="b">
        <f aca="false">TRUE()</f>
        <v>1</v>
      </c>
      <c r="KQ31" s="38" t="b">
        <f aca="false">TRUE()</f>
        <v>1</v>
      </c>
      <c r="KR31" s="40"/>
      <c r="KS31" s="40"/>
      <c r="KT31" s="40"/>
      <c r="KU31" s="50" t="b">
        <f aca="false">TRUE()</f>
        <v>1</v>
      </c>
    </row>
    <row r="32" customFormat="false" ht="14.4" hidden="false" customHeight="false" outlineLevel="0" collapsed="false">
      <c r="A32" s="37" t="s">
        <v>305</v>
      </c>
      <c r="B32" s="37" t="s">
        <v>1012</v>
      </c>
      <c r="C32" s="37"/>
      <c r="D32" s="37"/>
      <c r="E32" s="37"/>
      <c r="F32" s="37" t="s">
        <v>1013</v>
      </c>
      <c r="G32" s="37" t="s">
        <v>1014</v>
      </c>
      <c r="H32" s="37" t="s">
        <v>388</v>
      </c>
      <c r="I32" s="37" t="s">
        <v>310</v>
      </c>
      <c r="J32" s="37" t="s">
        <v>311</v>
      </c>
      <c r="K32" s="37"/>
      <c r="L32" s="37"/>
      <c r="M32" s="37"/>
      <c r="N32" s="37"/>
      <c r="O32" s="37" t="s">
        <v>1015</v>
      </c>
      <c r="P32" s="37"/>
      <c r="Q32" s="37" t="s">
        <v>1016</v>
      </c>
      <c r="R32" s="37" t="s">
        <v>1017</v>
      </c>
      <c r="S32" s="37" t="s">
        <v>1018</v>
      </c>
      <c r="T32" s="37" t="s">
        <v>1019</v>
      </c>
      <c r="U32" s="37" t="s">
        <v>1020</v>
      </c>
      <c r="V32" s="37" t="s">
        <v>1021</v>
      </c>
      <c r="W32" s="37" t="s">
        <v>1022</v>
      </c>
      <c r="X32" s="37"/>
      <c r="Y32" s="37"/>
      <c r="Z32" s="37"/>
      <c r="AA32" s="37" t="n">
        <v>41</v>
      </c>
      <c r="AB32" s="37" t="n">
        <v>8</v>
      </c>
      <c r="AC32" s="37" t="n">
        <v>8</v>
      </c>
      <c r="AD32" s="37" t="n">
        <v>17</v>
      </c>
      <c r="AE32" s="37" t="n">
        <v>33</v>
      </c>
      <c r="AF32" s="37" t="s">
        <v>401</v>
      </c>
      <c r="AG32" s="37" t="s">
        <v>402</v>
      </c>
      <c r="AH32" s="37" t="s">
        <v>403</v>
      </c>
      <c r="AI32" s="37" t="s">
        <v>404</v>
      </c>
      <c r="AJ32" s="37" t="s">
        <v>405</v>
      </c>
      <c r="AK32" s="37"/>
      <c r="AL32" s="37" t="s">
        <v>406</v>
      </c>
      <c r="AM32" s="37" t="s">
        <v>407</v>
      </c>
      <c r="AN32" s="37" t="s">
        <v>408</v>
      </c>
      <c r="AO32" s="37" t="n">
        <v>2023</v>
      </c>
      <c r="AP32" s="37" t="n">
        <v>215</v>
      </c>
      <c r="AQ32" s="37"/>
      <c r="AR32" s="37"/>
      <c r="AS32" s="37"/>
      <c r="AT32" s="37"/>
      <c r="AU32" s="37" t="n">
        <v>108424</v>
      </c>
      <c r="AV32" s="37" t="s">
        <v>1023</v>
      </c>
      <c r="AW32" s="37" t="str">
        <f aca="false">HYPERLINK("http://dx.doi.org/10.1016/j.compag.2023.108424","http://dx.doi.org/10.1016/j.compag.2023.108424")</f>
        <v>http://dx.doi.org/10.1016/j.compag.2023.108424</v>
      </c>
      <c r="AX32" s="37" t="s">
        <v>410</v>
      </c>
      <c r="AY32" s="37" t="n">
        <v>11</v>
      </c>
      <c r="AZ32" s="37" t="s">
        <v>411</v>
      </c>
      <c r="BA32" s="37" t="s">
        <v>331</v>
      </c>
      <c r="BB32" s="37" t="s">
        <v>412</v>
      </c>
      <c r="BC32" s="37" t="s">
        <v>1024</v>
      </c>
      <c r="BD32" s="37"/>
      <c r="BE32" s="37" t="s">
        <v>684</v>
      </c>
      <c r="BF32" s="37" t="s">
        <v>334</v>
      </c>
      <c r="BG32" s="37" t="s">
        <v>1025</v>
      </c>
      <c r="BH32" s="37" t="str">
        <f aca="false">HYPERLINK("https%3A%2F%2Fwww.webofscience.com%2Fwos%2Fwoscc%2Ffull-record%2FWOS:001119714100001","View Full Record in Web of Science")</f>
        <v>View Full Record in Web of Science</v>
      </c>
      <c r="BI32" s="40" t="s">
        <v>336</v>
      </c>
      <c r="BJ32" s="39"/>
      <c r="BK32" s="39"/>
      <c r="BL32" s="40"/>
      <c r="BM32" s="40"/>
      <c r="BN32" s="40"/>
      <c r="BO32" s="38" t="b">
        <f aca="false">TRUE()</f>
        <v>1</v>
      </c>
      <c r="BP32" s="39"/>
      <c r="BQ32" s="39"/>
      <c r="BR32" s="38" t="b">
        <f aca="false">TRUE()</f>
        <v>1</v>
      </c>
      <c r="BS32" s="39"/>
      <c r="BT32" s="39"/>
      <c r="BU32" s="39"/>
      <c r="BV32" s="39"/>
      <c r="BW32" s="39"/>
      <c r="BX32" s="39"/>
      <c r="BY32" s="38" t="b">
        <f aca="false">TRUE()</f>
        <v>1</v>
      </c>
      <c r="BZ32" s="39"/>
      <c r="CA32" s="39"/>
      <c r="CB32" s="39"/>
      <c r="CC32" s="39"/>
      <c r="CD32" s="39"/>
      <c r="CE32" s="39"/>
      <c r="CF32" s="40"/>
      <c r="CG32" s="39"/>
      <c r="CH32" s="39"/>
      <c r="CI32" s="39"/>
      <c r="CJ32" s="39"/>
      <c r="CK32" s="39"/>
      <c r="CL32" s="39"/>
      <c r="CM32" s="39"/>
      <c r="CN32" s="40"/>
      <c r="CO32" s="40"/>
      <c r="CP32" s="39"/>
      <c r="CQ32" s="40"/>
      <c r="CR32" s="39"/>
      <c r="CS32" s="39"/>
      <c r="CT32" s="39"/>
      <c r="CU32" s="39"/>
      <c r="CV32" s="39"/>
      <c r="CW32" s="39"/>
      <c r="CX32" s="39"/>
      <c r="CY32" s="39"/>
      <c r="CZ32" s="40"/>
      <c r="DA32" s="40"/>
      <c r="DB32" s="39"/>
      <c r="DC32" s="38" t="b">
        <f aca="false">TRUE()</f>
        <v>1</v>
      </c>
      <c r="DD32" s="39"/>
      <c r="DE32" s="40"/>
      <c r="DF32" s="39"/>
      <c r="DG32" s="39"/>
      <c r="DH32" s="39"/>
      <c r="DI32" s="40"/>
      <c r="DJ32" s="38" t="b">
        <f aca="false">TRUE()</f>
        <v>1</v>
      </c>
      <c r="DK32" s="40"/>
      <c r="DL32" s="39"/>
      <c r="DM32" s="39"/>
      <c r="DN32" s="40"/>
      <c r="DO32" s="39"/>
      <c r="DP32" s="39"/>
      <c r="DQ32" s="39"/>
      <c r="DR32" s="39"/>
      <c r="DS32" s="40"/>
      <c r="DT32" s="39"/>
      <c r="DU32" s="39"/>
      <c r="DV32" s="39"/>
      <c r="DW32" s="39"/>
      <c r="DX32" s="39"/>
      <c r="DY32" s="39"/>
      <c r="DZ32" s="39"/>
      <c r="EA32" s="38" t="b">
        <f aca="false">TRUE()</f>
        <v>1</v>
      </c>
      <c r="EB32" s="39"/>
      <c r="EC32" s="40"/>
      <c r="ED32" s="39"/>
      <c r="EE32" s="40"/>
      <c r="EF32" s="39"/>
      <c r="EG32" s="39"/>
      <c r="EH32" s="39"/>
      <c r="EI32" s="38" t="b">
        <f aca="false">TRUE()</f>
        <v>1</v>
      </c>
      <c r="EJ32" s="39"/>
      <c r="EK32" s="40"/>
      <c r="EL32" s="40"/>
      <c r="EM32" s="39"/>
      <c r="EN32" s="40"/>
      <c r="EO32" s="40"/>
      <c r="EP32" s="39"/>
      <c r="EQ32" s="39"/>
      <c r="ER32" s="39"/>
      <c r="ES32" s="39"/>
      <c r="ET32" s="40"/>
      <c r="EU32" s="40"/>
      <c r="EV32" s="40"/>
      <c r="EW32" s="39"/>
      <c r="EX32" s="39"/>
      <c r="EY32" s="38" t="b">
        <f aca="false">TRUE()</f>
        <v>1</v>
      </c>
      <c r="EZ32" s="39"/>
      <c r="FA32" s="40"/>
      <c r="FB32" s="40"/>
      <c r="FC32" s="39"/>
      <c r="FD32" s="39"/>
      <c r="FE32" s="40"/>
      <c r="FF32" s="40"/>
      <c r="FG32" s="40"/>
      <c r="FH32" s="39"/>
      <c r="FI32" s="39"/>
      <c r="FJ32" s="39"/>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38" t="b">
        <f aca="false">TRUE()</f>
        <v>1</v>
      </c>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38" t="b">
        <f aca="false">TRUE()</f>
        <v>1</v>
      </c>
      <c r="ID32" s="40"/>
      <c r="IE32" s="40"/>
      <c r="IF32" s="40"/>
      <c r="IG32" s="40"/>
      <c r="IH32" s="40"/>
      <c r="II32" s="40"/>
      <c r="IJ32" s="40"/>
      <c r="IK32" s="40"/>
      <c r="IL32" s="40"/>
      <c r="IM32" s="40"/>
      <c r="IN32" s="40"/>
      <c r="IO32" s="40"/>
      <c r="IP32" s="40"/>
      <c r="IQ32" s="40"/>
      <c r="IR32" s="40"/>
      <c r="IS32" s="40"/>
      <c r="IT32" s="40"/>
      <c r="IU32" s="40"/>
      <c r="IV32" s="40"/>
      <c r="IW32" s="40"/>
      <c r="IX32" s="40"/>
      <c r="IY32" s="40"/>
      <c r="IZ32" s="40"/>
      <c r="JA32" s="40"/>
      <c r="JB32" s="40"/>
      <c r="JC32" s="40"/>
      <c r="JD32" s="40"/>
      <c r="JE32" s="40"/>
      <c r="JF32" s="40"/>
      <c r="JG32" s="40"/>
      <c r="JH32" s="40"/>
      <c r="JI32" s="40"/>
      <c r="JJ32" s="40"/>
      <c r="JK32" s="40"/>
      <c r="JL32" s="40"/>
      <c r="JM32" s="40"/>
      <c r="JN32" s="40"/>
      <c r="JO32" s="40"/>
      <c r="JP32" s="40"/>
      <c r="JQ32" s="40"/>
      <c r="JR32" s="40"/>
      <c r="JS32" s="40"/>
      <c r="JT32" s="38" t="b">
        <f aca="false">TRUE()</f>
        <v>1</v>
      </c>
      <c r="JU32" s="39"/>
      <c r="JV32" s="39"/>
      <c r="JW32" s="39"/>
      <c r="JX32" s="39"/>
      <c r="JY32" s="39"/>
      <c r="JZ32" s="39"/>
      <c r="KA32" s="39"/>
      <c r="KB32" s="39"/>
      <c r="KC32" s="39"/>
      <c r="KD32" s="39"/>
      <c r="KE32" s="39"/>
      <c r="KF32" s="39"/>
      <c r="KG32" s="39"/>
      <c r="KH32" s="39"/>
      <c r="KI32" s="39"/>
      <c r="KJ32" s="39"/>
      <c r="KK32" s="40"/>
      <c r="KL32" s="39"/>
      <c r="KM32" s="39"/>
      <c r="KN32" s="39"/>
      <c r="KO32" s="39"/>
      <c r="KP32" s="39"/>
      <c r="KQ32" s="41" t="b">
        <f aca="false">TRUE()</f>
        <v>1</v>
      </c>
      <c r="KR32" s="40"/>
      <c r="KS32" s="40"/>
      <c r="KT32" s="38" t="b">
        <f aca="false">TRUE()</f>
        <v>1</v>
      </c>
      <c r="KU32" s="44"/>
    </row>
    <row r="33" customFormat="false" ht="14.4" hidden="false" customHeight="false" outlineLevel="0" collapsed="false">
      <c r="A33" s="37" t="s">
        <v>305</v>
      </c>
      <c r="B33" s="37" t="s">
        <v>1026</v>
      </c>
      <c r="C33" s="37"/>
      <c r="D33" s="37"/>
      <c r="E33" s="37"/>
      <c r="F33" s="37" t="s">
        <v>1027</v>
      </c>
      <c r="G33" s="37" t="s">
        <v>1028</v>
      </c>
      <c r="H33" s="37" t="s">
        <v>1029</v>
      </c>
      <c r="I33" s="37" t="s">
        <v>310</v>
      </c>
      <c r="J33" s="37" t="s">
        <v>311</v>
      </c>
      <c r="K33" s="37"/>
      <c r="L33" s="37"/>
      <c r="M33" s="37"/>
      <c r="N33" s="37"/>
      <c r="O33" s="37" t="s">
        <v>1030</v>
      </c>
      <c r="P33" s="37" t="s">
        <v>1031</v>
      </c>
      <c r="Q33" s="37" t="s">
        <v>1032</v>
      </c>
      <c r="R33" s="37" t="s">
        <v>1033</v>
      </c>
      <c r="S33" s="37" t="s">
        <v>1034</v>
      </c>
      <c r="T33" s="37" t="s">
        <v>1035</v>
      </c>
      <c r="U33" s="37" t="s">
        <v>1036</v>
      </c>
      <c r="V33" s="37" t="s">
        <v>1037</v>
      </c>
      <c r="W33" s="37" t="s">
        <v>1038</v>
      </c>
      <c r="X33" s="37"/>
      <c r="Y33" s="37"/>
      <c r="Z33" s="37"/>
      <c r="AA33" s="37" t="n">
        <v>48</v>
      </c>
      <c r="AB33" s="37" t="n">
        <v>0</v>
      </c>
      <c r="AC33" s="37" t="n">
        <v>0</v>
      </c>
      <c r="AD33" s="37" t="n">
        <v>6</v>
      </c>
      <c r="AE33" s="37" t="n">
        <v>6</v>
      </c>
      <c r="AF33" s="37" t="s">
        <v>1039</v>
      </c>
      <c r="AG33" s="37" t="s">
        <v>1040</v>
      </c>
      <c r="AH33" s="37" t="s">
        <v>1041</v>
      </c>
      <c r="AI33" s="37" t="s">
        <v>1042</v>
      </c>
      <c r="AJ33" s="37" t="s">
        <v>1043</v>
      </c>
      <c r="AK33" s="37"/>
      <c r="AL33" s="37" t="s">
        <v>1044</v>
      </c>
      <c r="AM33" s="37" t="s">
        <v>1045</v>
      </c>
      <c r="AN33" s="37" t="s">
        <v>1046</v>
      </c>
      <c r="AO33" s="37" t="n">
        <v>2025</v>
      </c>
      <c r="AP33" s="37" t="n">
        <v>375</v>
      </c>
      <c r="AQ33" s="37"/>
      <c r="AR33" s="37"/>
      <c r="AS33" s="37"/>
      <c r="AT33" s="37"/>
      <c r="AU33" s="37" t="n">
        <v>124363</v>
      </c>
      <c r="AV33" s="37" t="s">
        <v>1047</v>
      </c>
      <c r="AW33" s="37" t="str">
        <f aca="false">HYPERLINK("http://dx.doi.org/10.1016/j.jenvman.2025.124363","http://dx.doi.org/10.1016/j.jenvman.2025.124363")</f>
        <v>http://dx.doi.org/10.1016/j.jenvman.2025.124363</v>
      </c>
      <c r="AX33" s="37"/>
      <c r="AY33" s="37" t="n">
        <v>19</v>
      </c>
      <c r="AZ33" s="37" t="s">
        <v>500</v>
      </c>
      <c r="BA33" s="37" t="s">
        <v>331</v>
      </c>
      <c r="BB33" s="37" t="s">
        <v>501</v>
      </c>
      <c r="BC33" s="37" t="s">
        <v>1048</v>
      </c>
      <c r="BD33" s="37" t="n">
        <v>39889430</v>
      </c>
      <c r="BE33" s="37"/>
      <c r="BF33" s="37" t="s">
        <v>334</v>
      </c>
      <c r="BG33" s="37" t="s">
        <v>1049</v>
      </c>
      <c r="BH33" s="37" t="str">
        <f aca="false">HYPERLINK("https%3A%2F%2Fwww.webofscience.com%2Fwos%2Fwoscc%2Ffull-record%2FWOS:001421139000001","View Full Record in Web of Science")</f>
        <v>View Full Record in Web of Science</v>
      </c>
      <c r="BI33" s="38" t="b">
        <f aca="false">TRUE()</f>
        <v>1</v>
      </c>
      <c r="BJ33" s="39"/>
      <c r="BK33" s="39"/>
      <c r="BL33" s="40"/>
      <c r="BM33" s="40"/>
      <c r="BN33" s="40"/>
      <c r="BO33" s="39"/>
      <c r="BP33" s="39"/>
      <c r="BQ33" s="39"/>
      <c r="BR33" s="38" t="b">
        <f aca="false">TRUE()</f>
        <v>1</v>
      </c>
      <c r="BS33" s="39"/>
      <c r="BT33" s="38" t="b">
        <f aca="false">TRUE()</f>
        <v>1</v>
      </c>
      <c r="BU33" s="39"/>
      <c r="BV33" s="39"/>
      <c r="BW33" s="39"/>
      <c r="BX33" s="39"/>
      <c r="BY33" s="38" t="b">
        <f aca="false">TRUE()</f>
        <v>1</v>
      </c>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8" t="b">
        <f aca="false">TRUE()</f>
        <v>1</v>
      </c>
      <c r="EC33" s="39"/>
      <c r="ED33" s="39"/>
      <c r="EE33" s="39"/>
      <c r="EF33" s="39"/>
      <c r="EG33" s="39"/>
      <c r="EH33" s="39"/>
      <c r="EI33" s="39"/>
      <c r="EJ33" s="39"/>
      <c r="EK33" s="39"/>
      <c r="EL33" s="39"/>
      <c r="EM33" s="39"/>
      <c r="EN33" s="39"/>
      <c r="EO33" s="39"/>
      <c r="EP33" s="39"/>
      <c r="EQ33" s="39"/>
      <c r="ER33" s="39"/>
      <c r="ES33" s="39"/>
      <c r="ET33" s="39"/>
      <c r="EU33" s="39"/>
      <c r="EV33" s="39"/>
      <c r="EW33" s="39"/>
      <c r="EX33" s="39"/>
      <c r="EY33" s="38" t="b">
        <f aca="false">TRUE()</f>
        <v>1</v>
      </c>
      <c r="EZ33" s="39"/>
      <c r="FA33" s="39"/>
      <c r="FB33" s="40"/>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41" t="b">
        <f aca="false">TRUE()</f>
        <v>1</v>
      </c>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c r="HT33" s="39"/>
      <c r="HU33" s="39"/>
      <c r="HV33" s="39"/>
      <c r="HW33" s="39"/>
      <c r="HX33" s="39"/>
      <c r="HY33" s="39"/>
      <c r="HZ33" s="39"/>
      <c r="IA33" s="39"/>
      <c r="IB33" s="39"/>
      <c r="IC33" s="39"/>
      <c r="ID33" s="39"/>
      <c r="IE33" s="39"/>
      <c r="IF33" s="39"/>
      <c r="IG33" s="39"/>
      <c r="IH33" s="39"/>
      <c r="II33" s="41" t="b">
        <f aca="false">TRUE()</f>
        <v>1</v>
      </c>
      <c r="IJ33" s="39"/>
      <c r="IK33" s="39"/>
      <c r="IL33" s="39"/>
      <c r="IM33" s="39"/>
      <c r="IN33" s="39"/>
      <c r="IO33" s="39"/>
      <c r="IP33" s="39"/>
      <c r="IQ33" s="39"/>
      <c r="IR33" s="39"/>
      <c r="IS33" s="39"/>
      <c r="IT33" s="39"/>
      <c r="IU33" s="39"/>
      <c r="IV33" s="39"/>
      <c r="IW33" s="39"/>
      <c r="IX33" s="39"/>
      <c r="IY33" s="39"/>
      <c r="IZ33" s="39"/>
      <c r="JA33" s="39"/>
      <c r="JB33" s="39"/>
      <c r="JC33" s="39"/>
      <c r="JD33" s="39"/>
      <c r="JE33" s="39"/>
      <c r="JF33" s="39"/>
      <c r="JG33" s="39"/>
      <c r="JH33" s="39"/>
      <c r="JI33" s="39"/>
      <c r="JJ33" s="39"/>
      <c r="JK33" s="39"/>
      <c r="JL33" s="39"/>
      <c r="JM33" s="39"/>
      <c r="JN33" s="39"/>
      <c r="JO33" s="39"/>
      <c r="JP33" s="39"/>
      <c r="JQ33" s="39"/>
      <c r="JR33" s="39"/>
      <c r="JS33" s="40"/>
      <c r="JT33" s="38" t="b">
        <f aca="false">TRUE()</f>
        <v>1</v>
      </c>
      <c r="JU33" s="39"/>
      <c r="JV33" s="39"/>
      <c r="JW33" s="39"/>
      <c r="JX33" s="39"/>
      <c r="JY33" s="39"/>
      <c r="JZ33" s="39"/>
      <c r="KA33" s="39"/>
      <c r="KB33" s="39"/>
      <c r="KC33" s="39"/>
      <c r="KD33" s="39"/>
      <c r="KE33" s="39"/>
      <c r="KF33" s="39"/>
      <c r="KG33" s="39"/>
      <c r="KH33" s="39"/>
      <c r="KI33" s="39"/>
      <c r="KJ33" s="39"/>
      <c r="KK33" s="39"/>
      <c r="KL33" s="39"/>
      <c r="KM33" s="39"/>
      <c r="KN33" s="39"/>
      <c r="KO33" s="39"/>
      <c r="KP33" s="40"/>
      <c r="KQ33" s="38" t="b">
        <f aca="false">TRUE()</f>
        <v>1</v>
      </c>
      <c r="KR33" s="38" t="b">
        <f aca="false">TRUE()</f>
        <v>1</v>
      </c>
      <c r="KS33" s="40"/>
      <c r="KT33" s="38" t="b">
        <f aca="false">TRUE()</f>
        <v>1</v>
      </c>
      <c r="KU33" s="44"/>
    </row>
    <row r="34" customFormat="false" ht="14.4" hidden="false" customHeight="false" outlineLevel="0" collapsed="false">
      <c r="A34" s="37" t="s">
        <v>305</v>
      </c>
      <c r="B34" s="37" t="s">
        <v>1050</v>
      </c>
      <c r="C34" s="37"/>
      <c r="D34" s="37"/>
      <c r="E34" s="37"/>
      <c r="F34" s="37" t="s">
        <v>1051</v>
      </c>
      <c r="G34" s="37" t="s">
        <v>1052</v>
      </c>
      <c r="H34" s="37" t="s">
        <v>388</v>
      </c>
      <c r="I34" s="37" t="s">
        <v>310</v>
      </c>
      <c r="J34" s="37" t="s">
        <v>311</v>
      </c>
      <c r="K34" s="37"/>
      <c r="L34" s="37"/>
      <c r="M34" s="37"/>
      <c r="N34" s="37"/>
      <c r="O34" s="37" t="s">
        <v>1053</v>
      </c>
      <c r="P34" s="37" t="s">
        <v>1054</v>
      </c>
      <c r="Q34" s="37" t="s">
        <v>1055</v>
      </c>
      <c r="R34" s="37" t="s">
        <v>1056</v>
      </c>
      <c r="S34" s="37" t="s">
        <v>1057</v>
      </c>
      <c r="T34" s="37" t="s">
        <v>1058</v>
      </c>
      <c r="U34" s="37" t="s">
        <v>1059</v>
      </c>
      <c r="V34" s="37" t="s">
        <v>1060</v>
      </c>
      <c r="W34" s="37" t="s">
        <v>1061</v>
      </c>
      <c r="X34" s="37" t="s">
        <v>1062</v>
      </c>
      <c r="Y34" s="37" t="s">
        <v>1063</v>
      </c>
      <c r="Z34" s="37" t="s">
        <v>1064</v>
      </c>
      <c r="AA34" s="37" t="n">
        <v>45</v>
      </c>
      <c r="AB34" s="37" t="n">
        <v>102</v>
      </c>
      <c r="AC34" s="37" t="n">
        <v>104</v>
      </c>
      <c r="AD34" s="37" t="n">
        <v>2</v>
      </c>
      <c r="AE34" s="37" t="n">
        <v>59</v>
      </c>
      <c r="AF34" s="37" t="s">
        <v>401</v>
      </c>
      <c r="AG34" s="37" t="s">
        <v>1065</v>
      </c>
      <c r="AH34" s="37" t="s">
        <v>1066</v>
      </c>
      <c r="AI34" s="37" t="s">
        <v>404</v>
      </c>
      <c r="AJ34" s="37" t="s">
        <v>405</v>
      </c>
      <c r="AK34" s="37"/>
      <c r="AL34" s="37" t="s">
        <v>406</v>
      </c>
      <c r="AM34" s="37" t="s">
        <v>407</v>
      </c>
      <c r="AN34" s="37" t="s">
        <v>572</v>
      </c>
      <c r="AO34" s="37" t="n">
        <v>2020</v>
      </c>
      <c r="AP34" s="37" t="n">
        <v>178</v>
      </c>
      <c r="AQ34" s="37"/>
      <c r="AR34" s="37"/>
      <c r="AS34" s="37"/>
      <c r="AT34" s="37"/>
      <c r="AU34" s="37" t="n">
        <v>105728</v>
      </c>
      <c r="AV34" s="37" t="s">
        <v>1067</v>
      </c>
      <c r="AW34" s="37" t="str">
        <f aca="false">HYPERLINK("http://dx.doi.org/10.1016/j.compag.2020.105728","http://dx.doi.org/10.1016/j.compag.2020.105728")</f>
        <v>http://dx.doi.org/10.1016/j.compag.2020.105728</v>
      </c>
      <c r="AX34" s="37"/>
      <c r="AY34" s="37" t="n">
        <v>14</v>
      </c>
      <c r="AZ34" s="37" t="s">
        <v>411</v>
      </c>
      <c r="BA34" s="37" t="s">
        <v>331</v>
      </c>
      <c r="BB34" s="37" t="s">
        <v>412</v>
      </c>
      <c r="BC34" s="37" t="s">
        <v>1068</v>
      </c>
      <c r="BD34" s="37"/>
      <c r="BE34" s="37"/>
      <c r="BF34" s="37" t="s">
        <v>334</v>
      </c>
      <c r="BG34" s="37" t="s">
        <v>1069</v>
      </c>
      <c r="BH34" s="37" t="str">
        <f aca="false">HYPERLINK("https%3A%2F%2Fwww.webofscience.com%2Fwos%2Fwoscc%2Ffull-record%2FWOS:000596390600001","View Full Record in Web of Science")</f>
        <v>View Full Record in Web of Science</v>
      </c>
      <c r="BI34" s="40" t="s">
        <v>336</v>
      </c>
      <c r="BJ34" s="39"/>
      <c r="BK34" s="39"/>
      <c r="BL34" s="40"/>
      <c r="BM34" s="39"/>
      <c r="BN34" s="40"/>
      <c r="BO34" s="39"/>
      <c r="BP34" s="39"/>
      <c r="BQ34" s="39"/>
      <c r="BR34" s="38" t="b">
        <f aca="false">TRUE()</f>
        <v>1</v>
      </c>
      <c r="BS34" s="39"/>
      <c r="BT34" s="39"/>
      <c r="BU34" s="39"/>
      <c r="BV34" s="39"/>
      <c r="BW34" s="39"/>
      <c r="BX34" s="39"/>
      <c r="BY34" s="38" t="b">
        <f aca="false">TRUE()</f>
        <v>1</v>
      </c>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8" t="b">
        <f aca="false">TRUE()</f>
        <v>1</v>
      </c>
      <c r="CX34" s="39"/>
      <c r="CY34" s="39"/>
      <c r="CZ34" s="39"/>
      <c r="DA34" s="39"/>
      <c r="DB34" s="39"/>
      <c r="DC34" s="39"/>
      <c r="DD34" s="39"/>
      <c r="DE34" s="39"/>
      <c r="DF34" s="39"/>
      <c r="DG34" s="39"/>
      <c r="DH34" s="39"/>
      <c r="DI34" s="39"/>
      <c r="DJ34" s="39"/>
      <c r="DK34" s="39"/>
      <c r="DL34" s="39"/>
      <c r="DM34" s="39"/>
      <c r="DN34" s="39"/>
      <c r="DO34" s="39"/>
      <c r="DP34" s="39"/>
      <c r="DQ34" s="39"/>
      <c r="DR34" s="40"/>
      <c r="DS34" s="39"/>
      <c r="DT34" s="39"/>
      <c r="DU34" s="39"/>
      <c r="DV34" s="39"/>
      <c r="DW34" s="39"/>
      <c r="DX34" s="39"/>
      <c r="DY34" s="39"/>
      <c r="DZ34" s="39"/>
      <c r="EA34" s="38" t="b">
        <f aca="false">TRUE()</f>
        <v>1</v>
      </c>
      <c r="EB34" s="39"/>
      <c r="EC34" s="40"/>
      <c r="ED34" s="40"/>
      <c r="EE34" s="40"/>
      <c r="EF34" s="39"/>
      <c r="EG34" s="39"/>
      <c r="EH34" s="39"/>
      <c r="EI34" s="38" t="b">
        <f aca="false">TRUE()</f>
        <v>1</v>
      </c>
      <c r="EJ34" s="39"/>
      <c r="EK34" s="40"/>
      <c r="EL34" s="40"/>
      <c r="EM34" s="39"/>
      <c r="EN34" s="40"/>
      <c r="EO34" s="40"/>
      <c r="EP34" s="39"/>
      <c r="EQ34" s="39"/>
      <c r="ER34" s="39"/>
      <c r="ES34" s="39"/>
      <c r="ET34" s="40"/>
      <c r="EU34" s="40"/>
      <c r="EV34" s="40"/>
      <c r="EW34" s="39"/>
      <c r="EX34" s="39"/>
      <c r="EY34" s="38" t="b">
        <f aca="false">TRUE()</f>
        <v>1</v>
      </c>
      <c r="EZ34" s="39"/>
      <c r="FA34" s="40"/>
      <c r="FB34" s="40"/>
      <c r="FC34" s="38" t="b">
        <f aca="false">TRUE()</f>
        <v>1</v>
      </c>
      <c r="FD34" s="40"/>
      <c r="FE34" s="40"/>
      <c r="FF34" s="39"/>
      <c r="FG34" s="39"/>
      <c r="FH34" s="39"/>
      <c r="FI34" s="39"/>
      <c r="FJ34" s="39"/>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38" t="b">
        <f aca="false">TRUE()</f>
        <v>1</v>
      </c>
      <c r="HF34" s="40"/>
      <c r="HG34" s="40"/>
      <c r="HH34" s="40"/>
      <c r="HI34" s="40"/>
      <c r="HJ34" s="40"/>
      <c r="HK34" s="38" t="b">
        <f aca="false">TRUE()</f>
        <v>1</v>
      </c>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40"/>
      <c r="IO34" s="40"/>
      <c r="IP34" s="40"/>
      <c r="IQ34" s="40"/>
      <c r="IR34" s="40"/>
      <c r="IS34" s="40"/>
      <c r="IT34" s="40"/>
      <c r="IU34" s="40"/>
      <c r="IV34" s="40"/>
      <c r="IW34" s="40"/>
      <c r="IX34" s="40"/>
      <c r="IY34" s="40"/>
      <c r="IZ34" s="40"/>
      <c r="JA34" s="40"/>
      <c r="JB34" s="40"/>
      <c r="JC34" s="40"/>
      <c r="JD34" s="38" t="b">
        <f aca="false">TRUE()</f>
        <v>1</v>
      </c>
      <c r="JE34" s="40"/>
      <c r="JF34" s="40"/>
      <c r="JG34" s="40"/>
      <c r="JH34" s="40"/>
      <c r="JI34" s="40"/>
      <c r="JJ34" s="40"/>
      <c r="JK34" s="40"/>
      <c r="JL34" s="40"/>
      <c r="JM34" s="40"/>
      <c r="JN34" s="40"/>
      <c r="JO34" s="40"/>
      <c r="JP34" s="40"/>
      <c r="JQ34" s="40"/>
      <c r="JR34" s="40"/>
      <c r="JS34" s="40"/>
      <c r="JT34" s="38" t="b">
        <f aca="false">TRUE()</f>
        <v>1</v>
      </c>
      <c r="JU34" s="38" t="b">
        <f aca="false">TRUE()</f>
        <v>1</v>
      </c>
      <c r="JV34" s="40"/>
      <c r="JW34" s="40"/>
      <c r="JX34" s="40"/>
      <c r="JY34" s="40"/>
      <c r="JZ34" s="40"/>
      <c r="KA34" s="40"/>
      <c r="KB34" s="40"/>
      <c r="KC34" s="40"/>
      <c r="KD34" s="40"/>
      <c r="KE34" s="40"/>
      <c r="KF34" s="40"/>
      <c r="KG34" s="40"/>
      <c r="KH34" s="40"/>
      <c r="KI34" s="40"/>
      <c r="KJ34" s="38" t="b">
        <f aca="false">TRUE()</f>
        <v>1</v>
      </c>
      <c r="KK34" s="40"/>
      <c r="KL34" s="40"/>
      <c r="KM34" s="40"/>
      <c r="KN34" s="40"/>
      <c r="KO34" s="40"/>
      <c r="KP34" s="40"/>
      <c r="KQ34" s="40"/>
      <c r="KR34" s="39"/>
      <c r="KS34" s="39"/>
      <c r="KT34" s="41" t="b">
        <f aca="false">TRUE()</f>
        <v>1</v>
      </c>
      <c r="KU34" s="42"/>
    </row>
    <row r="35" customFormat="false" ht="14.4" hidden="false" customHeight="false" outlineLevel="0" collapsed="false">
      <c r="A35" s="37" t="s">
        <v>305</v>
      </c>
      <c r="B35" s="37" t="s">
        <v>1070</v>
      </c>
      <c r="C35" s="37"/>
      <c r="D35" s="37"/>
      <c r="E35" s="37"/>
      <c r="F35" s="37" t="s">
        <v>1071</v>
      </c>
      <c r="G35" s="37" t="s">
        <v>1072</v>
      </c>
      <c r="H35" s="37" t="s">
        <v>340</v>
      </c>
      <c r="I35" s="37" t="s">
        <v>310</v>
      </c>
      <c r="J35" s="37" t="s">
        <v>311</v>
      </c>
      <c r="K35" s="37"/>
      <c r="L35" s="37"/>
      <c r="M35" s="37"/>
      <c r="N35" s="37"/>
      <c r="O35" s="37" t="s">
        <v>1073</v>
      </c>
      <c r="P35" s="37" t="s">
        <v>1074</v>
      </c>
      <c r="Q35" s="37" t="s">
        <v>1075</v>
      </c>
      <c r="R35" s="37" t="s">
        <v>1076</v>
      </c>
      <c r="S35" s="37" t="s">
        <v>1077</v>
      </c>
      <c r="T35" s="37" t="s">
        <v>1078</v>
      </c>
      <c r="U35" s="37" t="s">
        <v>1079</v>
      </c>
      <c r="V35" s="37" t="s">
        <v>1080</v>
      </c>
      <c r="W35" s="37" t="s">
        <v>1081</v>
      </c>
      <c r="X35" s="37" t="s">
        <v>1082</v>
      </c>
      <c r="Y35" s="37" t="s">
        <v>1083</v>
      </c>
      <c r="Z35" s="37" t="s">
        <v>1084</v>
      </c>
      <c r="AA35" s="37" t="n">
        <v>79</v>
      </c>
      <c r="AB35" s="37" t="n">
        <v>18</v>
      </c>
      <c r="AC35" s="37" t="n">
        <v>19</v>
      </c>
      <c r="AD35" s="37" t="n">
        <v>19</v>
      </c>
      <c r="AE35" s="37" t="n">
        <v>59</v>
      </c>
      <c r="AF35" s="37" t="s">
        <v>353</v>
      </c>
      <c r="AG35" s="37" t="s">
        <v>354</v>
      </c>
      <c r="AH35" s="37" t="s">
        <v>355</v>
      </c>
      <c r="AI35" s="37" t="s">
        <v>356</v>
      </c>
      <c r="AJ35" s="37" t="s">
        <v>357</v>
      </c>
      <c r="AK35" s="37"/>
      <c r="AL35" s="37" t="s">
        <v>358</v>
      </c>
      <c r="AM35" s="37" t="s">
        <v>359</v>
      </c>
      <c r="AN35" s="37" t="s">
        <v>572</v>
      </c>
      <c r="AO35" s="37" t="n">
        <v>2022</v>
      </c>
      <c r="AP35" s="37" t="n">
        <v>614</v>
      </c>
      <c r="AQ35" s="37"/>
      <c r="AR35" s="37" t="s">
        <v>652</v>
      </c>
      <c r="AS35" s="37"/>
      <c r="AT35" s="37"/>
      <c r="AU35" s="37" t="n">
        <v>128567</v>
      </c>
      <c r="AV35" s="37" t="s">
        <v>1085</v>
      </c>
      <c r="AW35" s="37" t="str">
        <f aca="false">HYPERLINK("http://dx.doi.org/10.1016/j.jhydrol.2022.128567","http://dx.doi.org/10.1016/j.jhydrol.2022.128567")</f>
        <v>http://dx.doi.org/10.1016/j.jhydrol.2022.128567</v>
      </c>
      <c r="AX35" s="37" t="s">
        <v>919</v>
      </c>
      <c r="AY35" s="37" t="n">
        <v>15</v>
      </c>
      <c r="AZ35" s="37" t="s">
        <v>362</v>
      </c>
      <c r="BA35" s="37" t="s">
        <v>331</v>
      </c>
      <c r="BB35" s="37" t="s">
        <v>363</v>
      </c>
      <c r="BC35" s="37" t="s">
        <v>1086</v>
      </c>
      <c r="BD35" s="37"/>
      <c r="BE35" s="37"/>
      <c r="BF35" s="37" t="s">
        <v>334</v>
      </c>
      <c r="BG35" s="37" t="s">
        <v>1087</v>
      </c>
      <c r="BH35" s="37" t="str">
        <f aca="false">HYPERLINK("https%3A%2F%2Fwww.webofscience.com%2Fwos%2Fwoscc%2Ffull-record%2FWOS:000883786500002","View Full Record in Web of Science")</f>
        <v>View Full Record in Web of Science</v>
      </c>
      <c r="BI35" s="40" t="s">
        <v>336</v>
      </c>
      <c r="BJ35" s="39"/>
      <c r="BK35" s="39"/>
      <c r="BL35" s="40"/>
      <c r="BM35" s="39"/>
      <c r="BN35" s="38" t="b">
        <f aca="false">TRUE()</f>
        <v>1</v>
      </c>
      <c r="BO35" s="39"/>
      <c r="BP35" s="39"/>
      <c r="BQ35" s="39"/>
      <c r="BR35" s="38" t="b">
        <f aca="false">TRUE()</f>
        <v>1</v>
      </c>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39"/>
      <c r="EA35" s="38" t="b">
        <f aca="false">TRUE()</f>
        <v>1</v>
      </c>
      <c r="EB35" s="39"/>
      <c r="EC35" s="40"/>
      <c r="ED35" s="40"/>
      <c r="EE35" s="40"/>
      <c r="EF35" s="39"/>
      <c r="EG35" s="39"/>
      <c r="EH35" s="39"/>
      <c r="EI35" s="40"/>
      <c r="EJ35" s="39"/>
      <c r="EK35" s="40"/>
      <c r="EL35" s="40"/>
      <c r="EM35" s="39"/>
      <c r="EN35" s="38" t="b">
        <f aca="false">TRUE()</f>
        <v>1</v>
      </c>
      <c r="EO35" s="40"/>
      <c r="EP35" s="39"/>
      <c r="EQ35" s="39"/>
      <c r="ER35" s="39"/>
      <c r="ES35" s="39"/>
      <c r="ET35" s="40"/>
      <c r="EU35" s="40"/>
      <c r="EV35" s="40"/>
      <c r="EW35" s="39"/>
      <c r="EX35" s="39"/>
      <c r="EY35" s="38" t="b">
        <f aca="false">TRUE()</f>
        <v>1</v>
      </c>
      <c r="EZ35" s="39"/>
      <c r="FA35" s="40"/>
      <c r="FB35" s="40"/>
      <c r="FC35" s="38" t="b">
        <f aca="false">TRUE()</f>
        <v>1</v>
      </c>
      <c r="FD35" s="40"/>
      <c r="FE35" s="40"/>
      <c r="FF35" s="39"/>
      <c r="FG35" s="39"/>
      <c r="FH35" s="39"/>
      <c r="FI35" s="39"/>
      <c r="FJ35" s="39"/>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38" t="b">
        <f aca="false">TRUE()</f>
        <v>1</v>
      </c>
      <c r="HL35" s="40"/>
      <c r="HM35" s="40"/>
      <c r="HN35" s="40"/>
      <c r="HO35" s="40"/>
      <c r="HP35" s="40"/>
      <c r="HQ35" s="40"/>
      <c r="HR35" s="40"/>
      <c r="HS35" s="40"/>
      <c r="HT35" s="40"/>
      <c r="HU35" s="40"/>
      <c r="HV35" s="40"/>
      <c r="HW35" s="40"/>
      <c r="HX35" s="40"/>
      <c r="HY35" s="40"/>
      <c r="HZ35" s="40"/>
      <c r="IA35" s="40"/>
      <c r="IB35" s="40"/>
      <c r="IC35" s="40"/>
      <c r="ID35" s="38" t="b">
        <f aca="false">TRUE()</f>
        <v>1</v>
      </c>
      <c r="IE35" s="40"/>
      <c r="IF35" s="40"/>
      <c r="IG35" s="40"/>
      <c r="IH35" s="40"/>
      <c r="II35" s="40"/>
      <c r="IJ35" s="40"/>
      <c r="IK35" s="40"/>
      <c r="IL35" s="40"/>
      <c r="IM35" s="40"/>
      <c r="IN35" s="40"/>
      <c r="IO35" s="40"/>
      <c r="IP35" s="40"/>
      <c r="IQ35" s="40"/>
      <c r="IR35" s="40"/>
      <c r="IS35" s="40"/>
      <c r="IT35" s="40"/>
      <c r="IU35" s="40"/>
      <c r="IV35" s="40"/>
      <c r="IW35" s="40"/>
      <c r="IX35" s="40"/>
      <c r="IY35" s="40"/>
      <c r="IZ35" s="40"/>
      <c r="JA35" s="40"/>
      <c r="JB35" s="40"/>
      <c r="JC35" s="40"/>
      <c r="JD35" s="40"/>
      <c r="JE35" s="40"/>
      <c r="JF35" s="40"/>
      <c r="JG35" s="40"/>
      <c r="JH35" s="40"/>
      <c r="JI35" s="40"/>
      <c r="JJ35" s="40"/>
      <c r="JK35" s="40"/>
      <c r="JL35" s="40"/>
      <c r="JM35" s="40"/>
      <c r="JN35" s="40"/>
      <c r="JO35" s="40"/>
      <c r="JP35" s="40"/>
      <c r="JQ35" s="40"/>
      <c r="JR35" s="40"/>
      <c r="JS35" s="40"/>
      <c r="JT35" s="38" t="b">
        <f aca="false">TRUE()</f>
        <v>1</v>
      </c>
      <c r="JU35" s="39"/>
      <c r="JV35" s="39"/>
      <c r="JW35" s="39"/>
      <c r="JX35" s="39"/>
      <c r="JY35" s="39"/>
      <c r="JZ35" s="39"/>
      <c r="KA35" s="39"/>
      <c r="KB35" s="39"/>
      <c r="KC35" s="39"/>
      <c r="KD35" s="39"/>
      <c r="KE35" s="39"/>
      <c r="KF35" s="39"/>
      <c r="KG35" s="39"/>
      <c r="KH35" s="39"/>
      <c r="KI35" s="39"/>
      <c r="KJ35" s="41" t="b">
        <f aca="false">TRUE()</f>
        <v>1</v>
      </c>
      <c r="KK35" s="40"/>
      <c r="KL35" s="39"/>
      <c r="KM35" s="39"/>
      <c r="KN35" s="39"/>
      <c r="KO35" s="39"/>
      <c r="KP35" s="38" t="b">
        <f aca="false">TRUE()</f>
        <v>1</v>
      </c>
      <c r="KQ35" s="40"/>
      <c r="KR35" s="40"/>
      <c r="KS35" s="40"/>
      <c r="KT35" s="38" t="b">
        <f aca="false">TRUE()</f>
        <v>1</v>
      </c>
      <c r="KU35" s="44"/>
    </row>
    <row r="36" customFormat="false" ht="14.4" hidden="false" customHeight="false" outlineLevel="0" collapsed="false">
      <c r="A36" s="37" t="s">
        <v>305</v>
      </c>
      <c r="B36" s="37" t="s">
        <v>1088</v>
      </c>
      <c r="C36" s="37"/>
      <c r="D36" s="37"/>
      <c r="E36" s="37"/>
      <c r="F36" s="37" t="s">
        <v>1089</v>
      </c>
      <c r="G36" s="37" t="s">
        <v>1090</v>
      </c>
      <c r="H36" s="37" t="s">
        <v>1091</v>
      </c>
      <c r="I36" s="37" t="s">
        <v>310</v>
      </c>
      <c r="J36" s="37" t="s">
        <v>311</v>
      </c>
      <c r="K36" s="37"/>
      <c r="L36" s="37"/>
      <c r="M36" s="37"/>
      <c r="N36" s="37"/>
      <c r="O36" s="37" t="s">
        <v>1092</v>
      </c>
      <c r="P36" s="37" t="s">
        <v>1093</v>
      </c>
      <c r="Q36" s="37" t="s">
        <v>1094</v>
      </c>
      <c r="R36" s="37" t="s">
        <v>1095</v>
      </c>
      <c r="S36" s="37" t="s">
        <v>1096</v>
      </c>
      <c r="T36" s="37" t="s">
        <v>1097</v>
      </c>
      <c r="U36" s="37" t="s">
        <v>1098</v>
      </c>
      <c r="V36" s="37" t="s">
        <v>1099</v>
      </c>
      <c r="W36" s="37" t="s">
        <v>1100</v>
      </c>
      <c r="X36" s="37" t="s">
        <v>1101</v>
      </c>
      <c r="Y36" s="37" t="s">
        <v>1102</v>
      </c>
      <c r="Z36" s="37" t="s">
        <v>1103</v>
      </c>
      <c r="AA36" s="37" t="n">
        <v>35</v>
      </c>
      <c r="AB36" s="37" t="n">
        <v>21</v>
      </c>
      <c r="AC36" s="37" t="n">
        <v>21</v>
      </c>
      <c r="AD36" s="37" t="n">
        <v>7</v>
      </c>
      <c r="AE36" s="37" t="n">
        <v>59</v>
      </c>
      <c r="AF36" s="37" t="s">
        <v>546</v>
      </c>
      <c r="AG36" s="37" t="s">
        <v>547</v>
      </c>
      <c r="AH36" s="37" t="s">
        <v>548</v>
      </c>
      <c r="AI36" s="37"/>
      <c r="AJ36" s="37" t="s">
        <v>1104</v>
      </c>
      <c r="AK36" s="37"/>
      <c r="AL36" s="37" t="s">
        <v>1091</v>
      </c>
      <c r="AM36" s="37" t="s">
        <v>1105</v>
      </c>
      <c r="AN36" s="37" t="s">
        <v>132</v>
      </c>
      <c r="AO36" s="37" t="n">
        <v>2022</v>
      </c>
      <c r="AP36" s="37" t="n">
        <v>12</v>
      </c>
      <c r="AQ36" s="37" t="n">
        <v>9</v>
      </c>
      <c r="AR36" s="37"/>
      <c r="AS36" s="37"/>
      <c r="AT36" s="37"/>
      <c r="AU36" s="37" t="n">
        <v>2169</v>
      </c>
      <c r="AV36" s="37" t="s">
        <v>1106</v>
      </c>
      <c r="AW36" s="37" t="str">
        <f aca="false">HYPERLINK("http://dx.doi.org/10.3390/agronomy12092169","http://dx.doi.org/10.3390/agronomy12092169")</f>
        <v>http://dx.doi.org/10.3390/agronomy12092169</v>
      </c>
      <c r="AX36" s="37"/>
      <c r="AY36" s="37" t="n">
        <v>13</v>
      </c>
      <c r="AZ36" s="37" t="s">
        <v>1107</v>
      </c>
      <c r="BA36" s="37" t="s">
        <v>331</v>
      </c>
      <c r="BB36" s="37" t="s">
        <v>1108</v>
      </c>
      <c r="BC36" s="37" t="s">
        <v>1109</v>
      </c>
      <c r="BD36" s="37"/>
      <c r="BE36" s="37" t="s">
        <v>503</v>
      </c>
      <c r="BF36" s="37" t="s">
        <v>334</v>
      </c>
      <c r="BG36" s="37" t="s">
        <v>1110</v>
      </c>
      <c r="BH36" s="37" t="str">
        <f aca="false">HYPERLINK("https%3A%2F%2Fwww.webofscience.com%2Fwos%2Fwoscc%2Ffull-record%2FWOS:000857440300001","View Full Record in Web of Science")</f>
        <v>View Full Record in Web of Science</v>
      </c>
      <c r="BI36" s="39"/>
      <c r="BJ36" s="39"/>
      <c r="BK36" s="39"/>
      <c r="BL36" s="39"/>
      <c r="BM36" s="39"/>
      <c r="BN36" s="39"/>
      <c r="BO36" s="39"/>
      <c r="BP36" s="39"/>
      <c r="BQ36" s="39"/>
      <c r="BR36" s="41" t="b">
        <f aca="false">TRUE()</f>
        <v>1</v>
      </c>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41" t="b">
        <f aca="false">TRUE()</f>
        <v>1</v>
      </c>
      <c r="EB36" s="39"/>
      <c r="EC36" s="39"/>
      <c r="ED36" s="41" t="b">
        <f aca="false">TRUE()</f>
        <v>1</v>
      </c>
      <c r="EE36" s="39"/>
      <c r="EF36" s="39"/>
      <c r="EG36" s="39"/>
      <c r="EH36" s="39"/>
      <c r="EI36" s="39"/>
      <c r="EJ36" s="39"/>
      <c r="EK36" s="39"/>
      <c r="EL36" s="39"/>
      <c r="EM36" s="39"/>
      <c r="EN36" s="39"/>
      <c r="EO36" s="39"/>
      <c r="EP36" s="39"/>
      <c r="EQ36" s="39"/>
      <c r="ER36" s="39"/>
      <c r="ES36" s="39"/>
      <c r="ET36" s="39"/>
      <c r="EU36" s="39"/>
      <c r="EV36" s="39"/>
      <c r="EW36" s="39"/>
      <c r="EX36" s="39"/>
      <c r="EY36" s="38" t="b">
        <f aca="false">TRUE()</f>
        <v>1</v>
      </c>
      <c r="EZ36" s="39"/>
      <c r="FA36" s="39"/>
      <c r="FB36" s="40"/>
      <c r="FC36" s="39"/>
      <c r="FD36" s="39"/>
      <c r="FE36" s="39"/>
      <c r="FF36" s="41" t="b">
        <f aca="false">TRUE()</f>
        <v>1</v>
      </c>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39"/>
      <c r="HE36" s="39"/>
      <c r="HF36" s="39"/>
      <c r="HG36" s="39"/>
      <c r="HH36" s="39"/>
      <c r="HI36" s="39"/>
      <c r="HJ36" s="39"/>
      <c r="HK36" s="39"/>
      <c r="HL36" s="39"/>
      <c r="HM36" s="39"/>
      <c r="HN36" s="39"/>
      <c r="HO36" s="39"/>
      <c r="HP36" s="39"/>
      <c r="HQ36" s="39"/>
      <c r="HR36" s="39"/>
      <c r="HS36" s="39"/>
      <c r="HT36" s="39"/>
      <c r="HU36" s="39"/>
      <c r="HV36" s="39"/>
      <c r="HW36" s="39"/>
      <c r="HX36" s="39"/>
      <c r="HY36" s="39"/>
      <c r="HZ36" s="39"/>
      <c r="IA36" s="39"/>
      <c r="IB36" s="39"/>
      <c r="IC36" s="39"/>
      <c r="ID36" s="39"/>
      <c r="IE36" s="39"/>
      <c r="IF36" s="39"/>
      <c r="IG36" s="39"/>
      <c r="IH36" s="39"/>
      <c r="II36" s="39"/>
      <c r="IJ36" s="39"/>
      <c r="IK36" s="39"/>
      <c r="IL36" s="39"/>
      <c r="IM36" s="39"/>
      <c r="IN36" s="39"/>
      <c r="IO36" s="39"/>
      <c r="IP36" s="39"/>
      <c r="IQ36" s="39"/>
      <c r="IR36" s="39"/>
      <c r="IS36" s="39"/>
      <c r="IT36" s="39"/>
      <c r="IU36" s="39"/>
      <c r="IV36" s="39"/>
      <c r="IW36" s="39"/>
      <c r="IX36" s="39"/>
      <c r="IY36" s="39"/>
      <c r="IZ36" s="39"/>
      <c r="JA36" s="39"/>
      <c r="JB36" s="39"/>
      <c r="JC36" s="39"/>
      <c r="JD36" s="39"/>
      <c r="JE36" s="39"/>
      <c r="JF36" s="39"/>
      <c r="JG36" s="39"/>
      <c r="JH36" s="39"/>
      <c r="JI36" s="39"/>
      <c r="JJ36" s="39"/>
      <c r="JK36" s="39"/>
      <c r="JL36" s="39"/>
      <c r="JM36" s="39"/>
      <c r="JN36" s="39"/>
      <c r="JO36" s="39"/>
      <c r="JP36" s="39"/>
      <c r="JQ36" s="39"/>
      <c r="JR36" s="39"/>
      <c r="JS36" s="39"/>
      <c r="JT36" s="41" t="b">
        <f aca="false">TRUE()</f>
        <v>1</v>
      </c>
      <c r="JU36" s="41" t="b">
        <f aca="false">TRUE()</f>
        <v>1</v>
      </c>
      <c r="JV36" s="39"/>
      <c r="JW36" s="39"/>
      <c r="JX36" s="39"/>
      <c r="JY36" s="39"/>
      <c r="JZ36" s="39"/>
      <c r="KA36" s="39"/>
      <c r="KB36" s="39"/>
      <c r="KC36" s="39"/>
      <c r="KD36" s="39"/>
      <c r="KE36" s="39"/>
      <c r="KF36" s="39"/>
      <c r="KG36" s="39"/>
      <c r="KH36" s="39"/>
      <c r="KI36" s="39"/>
      <c r="KJ36" s="39"/>
      <c r="KK36" s="39"/>
      <c r="KL36" s="39"/>
      <c r="KM36" s="39"/>
      <c r="KN36" s="39"/>
      <c r="KO36" s="39"/>
      <c r="KP36" s="41" t="b">
        <f aca="false">TRUE()</f>
        <v>1</v>
      </c>
      <c r="KQ36" s="39"/>
      <c r="KR36" s="39"/>
      <c r="KS36" s="41" t="b">
        <f aca="false">TRUE()</f>
        <v>1</v>
      </c>
      <c r="KT36" s="39"/>
      <c r="KU36" s="42"/>
    </row>
    <row r="37" customFormat="false" ht="14.4" hidden="false" customHeight="false" outlineLevel="0" collapsed="false">
      <c r="A37" s="37" t="s">
        <v>305</v>
      </c>
      <c r="B37" s="37" t="s">
        <v>1111</v>
      </c>
      <c r="C37" s="37"/>
      <c r="D37" s="37"/>
      <c r="E37" s="37"/>
      <c r="F37" s="37" t="s">
        <v>1112</v>
      </c>
      <c r="G37" s="37" t="s">
        <v>1113</v>
      </c>
      <c r="H37" s="37" t="s">
        <v>619</v>
      </c>
      <c r="I37" s="37" t="s">
        <v>310</v>
      </c>
      <c r="J37" s="37" t="s">
        <v>311</v>
      </c>
      <c r="K37" s="37"/>
      <c r="L37" s="37"/>
      <c r="M37" s="37"/>
      <c r="N37" s="37"/>
      <c r="O37" s="37" t="s">
        <v>1114</v>
      </c>
      <c r="P37" s="37" t="s">
        <v>1115</v>
      </c>
      <c r="Q37" s="37" t="s">
        <v>1116</v>
      </c>
      <c r="R37" s="37" t="s">
        <v>1117</v>
      </c>
      <c r="S37" s="37" t="s">
        <v>1118</v>
      </c>
      <c r="T37" s="37" t="s">
        <v>1119</v>
      </c>
      <c r="U37" s="37" t="s">
        <v>1120</v>
      </c>
      <c r="V37" s="37" t="s">
        <v>1121</v>
      </c>
      <c r="W37" s="37" t="s">
        <v>1122</v>
      </c>
      <c r="X37" s="37" t="s">
        <v>1123</v>
      </c>
      <c r="Y37" s="37" t="s">
        <v>1124</v>
      </c>
      <c r="Z37" s="37" t="s">
        <v>1125</v>
      </c>
      <c r="AA37" s="37" t="n">
        <v>27</v>
      </c>
      <c r="AB37" s="37" t="n">
        <v>95</v>
      </c>
      <c r="AC37" s="37" t="n">
        <v>100</v>
      </c>
      <c r="AD37" s="37" t="n">
        <v>5</v>
      </c>
      <c r="AE37" s="37" t="n">
        <v>62</v>
      </c>
      <c r="AF37" s="37" t="s">
        <v>546</v>
      </c>
      <c r="AG37" s="37" t="s">
        <v>547</v>
      </c>
      <c r="AH37" s="37" t="s">
        <v>548</v>
      </c>
      <c r="AI37" s="37"/>
      <c r="AJ37" s="37" t="s">
        <v>629</v>
      </c>
      <c r="AK37" s="37"/>
      <c r="AL37" s="37" t="s">
        <v>630</v>
      </c>
      <c r="AM37" s="37" t="s">
        <v>631</v>
      </c>
      <c r="AN37" s="37" t="s">
        <v>328</v>
      </c>
      <c r="AO37" s="37" t="n">
        <v>2020</v>
      </c>
      <c r="AP37" s="37" t="n">
        <v>12</v>
      </c>
      <c r="AQ37" s="37" t="n">
        <v>1</v>
      </c>
      <c r="AR37" s="37"/>
      <c r="AS37" s="37"/>
      <c r="AT37" s="37"/>
      <c r="AU37" s="37" t="n">
        <v>5</v>
      </c>
      <c r="AV37" s="37" t="s">
        <v>1126</v>
      </c>
      <c r="AW37" s="37" t="str">
        <f aca="false">HYPERLINK("http://dx.doi.org/10.3390/w12010005","http://dx.doi.org/10.3390/w12010005")</f>
        <v>http://dx.doi.org/10.3390/w12010005</v>
      </c>
      <c r="AX37" s="37"/>
      <c r="AY37" s="37" t="n">
        <v>18</v>
      </c>
      <c r="AZ37" s="37" t="s">
        <v>633</v>
      </c>
      <c r="BA37" s="37" t="s">
        <v>331</v>
      </c>
      <c r="BB37" s="37" t="s">
        <v>634</v>
      </c>
      <c r="BC37" s="37" t="s">
        <v>1127</v>
      </c>
      <c r="BD37" s="37"/>
      <c r="BE37" s="37" t="s">
        <v>947</v>
      </c>
      <c r="BF37" s="37" t="s">
        <v>334</v>
      </c>
      <c r="BG37" s="37" t="s">
        <v>1128</v>
      </c>
      <c r="BH37" s="37" t="str">
        <f aca="false">HYPERLINK("https%3A%2F%2Fwww.webofscience.com%2Fwos%2Fwoscc%2Ffull-record%2FWOS:000519847200005","View Full Record in Web of Science")</f>
        <v>View Full Record in Web of Science</v>
      </c>
      <c r="BI37" s="39"/>
      <c r="BJ37" s="41" t="b">
        <f aca="false">TRUE()</f>
        <v>1</v>
      </c>
      <c r="BK37" s="39"/>
      <c r="BL37" s="39"/>
      <c r="BM37" s="39"/>
      <c r="BN37" s="39"/>
      <c r="BO37" s="39"/>
      <c r="BP37" s="39"/>
      <c r="BQ37" s="39"/>
      <c r="BR37" s="41" t="b">
        <f aca="false">TRUE()</f>
        <v>1</v>
      </c>
      <c r="BS37" s="39"/>
      <c r="BT37" s="39"/>
      <c r="BU37" s="39"/>
      <c r="BV37" s="39"/>
      <c r="BW37" s="39"/>
      <c r="BX37" s="39"/>
      <c r="BY37" s="41" t="b">
        <f aca="false">TRUE()</f>
        <v>1</v>
      </c>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39"/>
      <c r="EA37" s="41" t="b">
        <f aca="false">TRUE()</f>
        <v>1</v>
      </c>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41" t="b">
        <f aca="false">TRUE()</f>
        <v>1</v>
      </c>
      <c r="EZ37" s="39"/>
      <c r="FA37" s="39"/>
      <c r="FB37" s="39"/>
      <c r="FC37" s="39"/>
      <c r="FD37" s="39"/>
      <c r="FE37" s="39"/>
      <c r="FF37" s="41" t="b">
        <f aca="false">TRUE()</f>
        <v>1</v>
      </c>
      <c r="FG37" s="39"/>
      <c r="FH37" s="39"/>
      <c r="FI37" s="39"/>
      <c r="FJ37" s="39"/>
      <c r="FK37" s="39"/>
      <c r="FL37" s="39"/>
      <c r="FM37" s="39"/>
      <c r="FN37" s="39"/>
      <c r="FO37" s="39"/>
      <c r="FP37" s="39"/>
      <c r="FQ37" s="39"/>
      <c r="FR37" s="39"/>
      <c r="FS37" s="39"/>
      <c r="FT37" s="39"/>
      <c r="FU37" s="39"/>
      <c r="FV37" s="39"/>
      <c r="FW37" s="39"/>
      <c r="FX37" s="39"/>
      <c r="FY37" s="39"/>
      <c r="FZ37" s="39"/>
      <c r="GA37" s="39"/>
      <c r="GB37" s="39"/>
      <c r="GC37" s="39"/>
      <c r="GD37" s="39"/>
      <c r="GE37" s="39"/>
      <c r="GF37" s="39"/>
      <c r="GG37" s="39"/>
      <c r="GH37" s="39"/>
      <c r="GI37" s="39"/>
      <c r="GJ37" s="39"/>
      <c r="GK37" s="39"/>
      <c r="GL37" s="39"/>
      <c r="GM37" s="39"/>
      <c r="GN37" s="39"/>
      <c r="GO37" s="39"/>
      <c r="GP37" s="39"/>
      <c r="GQ37" s="39"/>
      <c r="GR37" s="39"/>
      <c r="GS37" s="39"/>
      <c r="GT37" s="39"/>
      <c r="GU37" s="39"/>
      <c r="GV37" s="39"/>
      <c r="GW37" s="39"/>
      <c r="GX37" s="39"/>
      <c r="GY37" s="39"/>
      <c r="GZ37" s="39"/>
      <c r="HA37" s="39"/>
      <c r="HB37" s="39"/>
      <c r="HC37" s="39"/>
      <c r="HD37" s="39"/>
      <c r="HE37" s="39"/>
      <c r="HF37" s="39"/>
      <c r="HG37" s="39"/>
      <c r="HH37" s="39"/>
      <c r="HI37" s="39"/>
      <c r="HJ37" s="39"/>
      <c r="HK37" s="39"/>
      <c r="HL37" s="39"/>
      <c r="HM37" s="39"/>
      <c r="HN37" s="39"/>
      <c r="HO37" s="39"/>
      <c r="HP37" s="39"/>
      <c r="HQ37" s="39"/>
      <c r="HR37" s="39"/>
      <c r="HS37" s="39"/>
      <c r="HT37" s="39"/>
      <c r="HU37" s="39"/>
      <c r="HV37" s="39"/>
      <c r="HW37" s="39"/>
      <c r="HX37" s="39"/>
      <c r="HY37" s="39"/>
      <c r="HZ37" s="39"/>
      <c r="IA37" s="41" t="b">
        <f aca="false">TRUE()</f>
        <v>1</v>
      </c>
      <c r="IB37" s="39"/>
      <c r="IC37" s="39"/>
      <c r="ID37" s="39"/>
      <c r="IE37" s="39"/>
      <c r="IF37" s="39"/>
      <c r="IG37" s="39"/>
      <c r="IH37" s="39"/>
      <c r="II37" s="39"/>
      <c r="IJ37" s="39"/>
      <c r="IK37" s="39"/>
      <c r="IL37" s="39"/>
      <c r="IM37" s="39"/>
      <c r="IN37" s="39"/>
      <c r="IO37" s="39"/>
      <c r="IP37" s="39"/>
      <c r="IQ37" s="39"/>
      <c r="IR37" s="39"/>
      <c r="IS37" s="39"/>
      <c r="IT37" s="39"/>
      <c r="IU37" s="39"/>
      <c r="IV37" s="39"/>
      <c r="IW37" s="39"/>
      <c r="IX37" s="39"/>
      <c r="IY37" s="39"/>
      <c r="IZ37" s="39"/>
      <c r="JA37" s="39"/>
      <c r="JB37" s="39"/>
      <c r="JC37" s="39"/>
      <c r="JD37" s="39"/>
      <c r="JE37" s="39"/>
      <c r="JF37" s="39"/>
      <c r="JG37" s="39"/>
      <c r="JH37" s="39"/>
      <c r="JI37" s="39"/>
      <c r="JJ37" s="39"/>
      <c r="JK37" s="39"/>
      <c r="JL37" s="39"/>
      <c r="JM37" s="39"/>
      <c r="JN37" s="39"/>
      <c r="JO37" s="39"/>
      <c r="JP37" s="39"/>
      <c r="JQ37" s="39"/>
      <c r="JR37" s="39"/>
      <c r="JS37" s="39"/>
      <c r="JT37" s="41" t="b">
        <f aca="false">TRUE()</f>
        <v>1</v>
      </c>
      <c r="JU37" s="41" t="b">
        <f aca="false">TRUE()</f>
        <v>1</v>
      </c>
      <c r="JV37" s="39"/>
      <c r="JW37" s="39"/>
      <c r="JX37" s="39"/>
      <c r="JY37" s="39"/>
      <c r="JZ37" s="39"/>
      <c r="KA37" s="39"/>
      <c r="KB37" s="39"/>
      <c r="KC37" s="39"/>
      <c r="KD37" s="39"/>
      <c r="KE37" s="39"/>
      <c r="KF37" s="39"/>
      <c r="KG37" s="39"/>
      <c r="KH37" s="39"/>
      <c r="KI37" s="39"/>
      <c r="KJ37" s="39"/>
      <c r="KK37" s="39"/>
      <c r="KL37" s="39"/>
      <c r="KM37" s="39"/>
      <c r="KN37" s="39"/>
      <c r="KO37" s="39"/>
      <c r="KP37" s="41" t="b">
        <f aca="false">TRUE()</f>
        <v>1</v>
      </c>
      <c r="KQ37" s="39"/>
      <c r="KR37" s="39"/>
      <c r="KS37" s="41" t="b">
        <f aca="false">TRUE()</f>
        <v>1</v>
      </c>
      <c r="KT37" s="41" t="b">
        <f aca="false">TRUE()</f>
        <v>1</v>
      </c>
      <c r="KU37" s="39"/>
    </row>
    <row r="38" customFormat="false" ht="14.4" hidden="false" customHeight="false" outlineLevel="0" collapsed="false">
      <c r="A38" s="37" t="s">
        <v>305</v>
      </c>
      <c r="B38" s="37" t="s">
        <v>442</v>
      </c>
      <c r="C38" s="37"/>
      <c r="D38" s="37"/>
      <c r="E38" s="37"/>
      <c r="F38" s="37" t="s">
        <v>443</v>
      </c>
      <c r="G38" s="37" t="s">
        <v>1129</v>
      </c>
      <c r="H38" s="37" t="s">
        <v>388</v>
      </c>
      <c r="I38" s="37" t="s">
        <v>310</v>
      </c>
      <c r="J38" s="37" t="s">
        <v>311</v>
      </c>
      <c r="K38" s="37"/>
      <c r="L38" s="37"/>
      <c r="M38" s="37"/>
      <c r="N38" s="37"/>
      <c r="O38" s="37" t="s">
        <v>1130</v>
      </c>
      <c r="P38" s="37" t="s">
        <v>1131</v>
      </c>
      <c r="Q38" s="37" t="s">
        <v>1132</v>
      </c>
      <c r="R38" s="37" t="s">
        <v>1133</v>
      </c>
      <c r="S38" s="37" t="s">
        <v>450</v>
      </c>
      <c r="T38" s="37" t="s">
        <v>1134</v>
      </c>
      <c r="U38" s="37" t="s">
        <v>452</v>
      </c>
      <c r="V38" s="37" t="s">
        <v>1135</v>
      </c>
      <c r="W38" s="37" t="s">
        <v>454</v>
      </c>
      <c r="X38" s="37"/>
      <c r="Y38" s="37"/>
      <c r="Z38" s="37"/>
      <c r="AA38" s="37" t="n">
        <v>54</v>
      </c>
      <c r="AB38" s="37" t="n">
        <v>16</v>
      </c>
      <c r="AC38" s="37" t="n">
        <v>17</v>
      </c>
      <c r="AD38" s="37" t="n">
        <v>5</v>
      </c>
      <c r="AE38" s="37" t="n">
        <v>26</v>
      </c>
      <c r="AF38" s="37" t="s">
        <v>401</v>
      </c>
      <c r="AG38" s="37" t="s">
        <v>402</v>
      </c>
      <c r="AH38" s="37" t="s">
        <v>403</v>
      </c>
      <c r="AI38" s="37" t="s">
        <v>404</v>
      </c>
      <c r="AJ38" s="37" t="s">
        <v>405</v>
      </c>
      <c r="AK38" s="37"/>
      <c r="AL38" s="37" t="s">
        <v>406</v>
      </c>
      <c r="AM38" s="37" t="s">
        <v>407</v>
      </c>
      <c r="AN38" s="37" t="s">
        <v>572</v>
      </c>
      <c r="AO38" s="37" t="n">
        <v>2022</v>
      </c>
      <c r="AP38" s="37" t="n">
        <v>202</v>
      </c>
      <c r="AQ38" s="37"/>
      <c r="AR38" s="37"/>
      <c r="AS38" s="37"/>
      <c r="AT38" s="37"/>
      <c r="AU38" s="37" t="n">
        <v>107338</v>
      </c>
      <c r="AV38" s="37" t="s">
        <v>1136</v>
      </c>
      <c r="AW38" s="37" t="str">
        <f aca="false">HYPERLINK("http://dx.doi.org/10.1016/j.compag.2022.107338","http://dx.doi.org/10.1016/j.compag.2022.107338")</f>
        <v>http://dx.doi.org/10.1016/j.compag.2022.107338</v>
      </c>
      <c r="AX38" s="37" t="s">
        <v>1137</v>
      </c>
      <c r="AY38" s="37" t="n">
        <v>16</v>
      </c>
      <c r="AZ38" s="37" t="s">
        <v>411</v>
      </c>
      <c r="BA38" s="37" t="s">
        <v>331</v>
      </c>
      <c r="BB38" s="37" t="s">
        <v>412</v>
      </c>
      <c r="BC38" s="37" t="s">
        <v>1138</v>
      </c>
      <c r="BD38" s="37"/>
      <c r="BE38" s="37"/>
      <c r="BF38" s="37" t="s">
        <v>334</v>
      </c>
      <c r="BG38" s="37" t="s">
        <v>1139</v>
      </c>
      <c r="BH38" s="37" t="str">
        <f aca="false">HYPERLINK("https%3A%2F%2Fwww.webofscience.com%2Fwos%2Fwoscc%2Ffull-record%2FWOS:000861101100001","View Full Record in Web of Science")</f>
        <v>View Full Record in Web of Science</v>
      </c>
      <c r="BI38" s="39"/>
      <c r="BJ38" s="39"/>
      <c r="BK38" s="39"/>
      <c r="BL38" s="39"/>
      <c r="BM38" s="39"/>
      <c r="BN38" s="39"/>
      <c r="BO38" s="41" t="b">
        <f aca="false">TRUE()</f>
        <v>1</v>
      </c>
      <c r="BP38" s="39"/>
      <c r="BQ38" s="39"/>
      <c r="BR38" s="39"/>
      <c r="BS38" s="39"/>
      <c r="BT38" s="39"/>
      <c r="BU38" s="39"/>
      <c r="BV38" s="39"/>
      <c r="BW38" s="39"/>
      <c r="BX38" s="39"/>
      <c r="BY38" s="41" t="b">
        <f aca="false">TRUE()</f>
        <v>1</v>
      </c>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41" t="b">
        <f aca="false">TRUE()</f>
        <v>1</v>
      </c>
      <c r="DB38" s="39"/>
      <c r="DC38" s="39"/>
      <c r="DD38" s="39"/>
      <c r="DE38" s="39"/>
      <c r="DF38" s="39"/>
      <c r="DG38" s="39"/>
      <c r="DH38" s="39"/>
      <c r="DI38" s="39"/>
      <c r="DJ38" s="39"/>
      <c r="DK38" s="39"/>
      <c r="DL38" s="39"/>
      <c r="DM38" s="39"/>
      <c r="DN38" s="39"/>
      <c r="DO38" s="39"/>
      <c r="DP38" s="39"/>
      <c r="DQ38" s="39"/>
      <c r="DR38" s="39"/>
      <c r="DS38" s="39"/>
      <c r="DT38" s="39"/>
      <c r="DU38" s="41" t="b">
        <f aca="false">TRUE()</f>
        <v>1</v>
      </c>
      <c r="DV38" s="39"/>
      <c r="DW38" s="39"/>
      <c r="DX38" s="39"/>
      <c r="DY38" s="39"/>
      <c r="DZ38" s="39"/>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41" t="b">
        <f aca="false">TRUE()</f>
        <v>1</v>
      </c>
      <c r="FD38" s="39"/>
      <c r="FE38" s="39"/>
      <c r="FF38" s="41" t="b">
        <f aca="false">TRUE()</f>
        <v>1</v>
      </c>
      <c r="FG38" s="39"/>
      <c r="FH38" s="39"/>
      <c r="FI38" s="39"/>
      <c r="FJ38" s="39"/>
      <c r="FK38" s="39"/>
      <c r="FL38" s="39"/>
      <c r="FM38" s="39"/>
      <c r="FN38" s="39"/>
      <c r="FO38" s="39"/>
      <c r="FP38" s="39"/>
      <c r="FQ38" s="39"/>
      <c r="FR38" s="39"/>
      <c r="FS38" s="39"/>
      <c r="FT38" s="39"/>
      <c r="FU38" s="39"/>
      <c r="FV38" s="39"/>
      <c r="FW38" s="39"/>
      <c r="FX38" s="39"/>
      <c r="FY38" s="39"/>
      <c r="FZ38" s="39"/>
      <c r="GA38" s="39"/>
      <c r="GB38" s="39"/>
      <c r="GC38" s="39"/>
      <c r="GD38" s="39"/>
      <c r="GE38" s="39"/>
      <c r="GF38" s="39"/>
      <c r="GG38" s="39"/>
      <c r="GH38" s="39"/>
      <c r="GI38" s="39"/>
      <c r="GJ38" s="39"/>
      <c r="GK38" s="39"/>
      <c r="GL38" s="39"/>
      <c r="GM38" s="39"/>
      <c r="GN38" s="39"/>
      <c r="GO38" s="39"/>
      <c r="GP38" s="39"/>
      <c r="GQ38" s="39"/>
      <c r="GR38" s="39"/>
      <c r="GS38" s="39"/>
      <c r="GT38" s="39"/>
      <c r="GU38" s="39"/>
      <c r="GV38" s="39"/>
      <c r="GW38" s="39"/>
      <c r="GX38" s="39"/>
      <c r="GY38" s="39"/>
      <c r="GZ38" s="39"/>
      <c r="HA38" s="39"/>
      <c r="HB38" s="39"/>
      <c r="HC38" s="39"/>
      <c r="HD38" s="39"/>
      <c r="HE38" s="39"/>
      <c r="HF38" s="39"/>
      <c r="HG38" s="39"/>
      <c r="HH38" s="39"/>
      <c r="HI38" s="39"/>
      <c r="HJ38" s="39"/>
      <c r="HK38" s="39"/>
      <c r="HL38" s="39"/>
      <c r="HM38" s="39"/>
      <c r="HN38" s="39"/>
      <c r="HO38" s="39"/>
      <c r="HP38" s="39"/>
      <c r="HQ38" s="39"/>
      <c r="HR38" s="39"/>
      <c r="HS38" s="39"/>
      <c r="HT38" s="39"/>
      <c r="HU38" s="39"/>
      <c r="HV38" s="39"/>
      <c r="HW38" s="39"/>
      <c r="HX38" s="39"/>
      <c r="HY38" s="39"/>
      <c r="HZ38" s="39"/>
      <c r="IA38" s="39"/>
      <c r="IB38" s="39"/>
      <c r="IC38" s="39"/>
      <c r="ID38" s="39"/>
      <c r="IE38" s="39"/>
      <c r="IF38" s="39"/>
      <c r="IG38" s="39"/>
      <c r="IH38" s="39"/>
      <c r="II38" s="39"/>
      <c r="IJ38" s="39"/>
      <c r="IK38" s="39"/>
      <c r="IL38" s="39"/>
      <c r="IM38" s="39"/>
      <c r="IN38" s="39"/>
      <c r="IO38" s="39"/>
      <c r="IP38" s="39"/>
      <c r="IQ38" s="39"/>
      <c r="IR38" s="39"/>
      <c r="IS38" s="39"/>
      <c r="IT38" s="39"/>
      <c r="IU38" s="39"/>
      <c r="IV38" s="39"/>
      <c r="IW38" s="39"/>
      <c r="IX38" s="39"/>
      <c r="IY38" s="39"/>
      <c r="IZ38" s="39"/>
      <c r="JA38" s="39"/>
      <c r="JB38" s="39"/>
      <c r="JC38" s="39"/>
      <c r="JD38" s="39"/>
      <c r="JE38" s="39"/>
      <c r="JF38" s="39"/>
      <c r="JG38" s="39"/>
      <c r="JH38" s="39"/>
      <c r="JI38" s="39"/>
      <c r="JJ38" s="39"/>
      <c r="JK38" s="39"/>
      <c r="JL38" s="39"/>
      <c r="JM38" s="39"/>
      <c r="JN38" s="39"/>
      <c r="JO38" s="39"/>
      <c r="JP38" s="39"/>
      <c r="JQ38" s="39"/>
      <c r="JR38" s="39"/>
      <c r="JS38" s="39"/>
      <c r="JT38" s="41" t="b">
        <f aca="false">TRUE()</f>
        <v>1</v>
      </c>
      <c r="JU38" s="39"/>
      <c r="JV38" s="39"/>
      <c r="JW38" s="39"/>
      <c r="JX38" s="39"/>
      <c r="JY38" s="39"/>
      <c r="JZ38" s="39"/>
      <c r="KA38" s="39"/>
      <c r="KB38" s="39"/>
      <c r="KC38" s="39"/>
      <c r="KD38" s="39"/>
      <c r="KE38" s="39"/>
      <c r="KF38" s="39"/>
      <c r="KG38" s="39"/>
      <c r="KH38" s="39"/>
      <c r="KI38" s="39"/>
      <c r="KJ38" s="39"/>
      <c r="KK38" s="39"/>
      <c r="KL38" s="39"/>
      <c r="KM38" s="39"/>
      <c r="KN38" s="39"/>
      <c r="KO38" s="39"/>
      <c r="KP38" s="41" t="b">
        <f aca="false">TRUE()</f>
        <v>1</v>
      </c>
      <c r="KQ38" s="41" t="b">
        <f aca="false">TRUE()</f>
        <v>1</v>
      </c>
      <c r="KR38" s="41" t="b">
        <f aca="false">TRUE()</f>
        <v>1</v>
      </c>
      <c r="KS38" s="41" t="b">
        <f aca="false">TRUE()</f>
        <v>1</v>
      </c>
      <c r="KT38" s="41" t="b">
        <f aca="false">TRUE()</f>
        <v>1</v>
      </c>
      <c r="KU38" s="41" t="b">
        <f aca="false">TRUE()</f>
        <v>1</v>
      </c>
    </row>
    <row r="39" customFormat="false" ht="14.4" hidden="false" customHeight="false" outlineLevel="0" collapsed="false">
      <c r="A39" s="37" t="s">
        <v>305</v>
      </c>
      <c r="B39" s="37" t="s">
        <v>1140</v>
      </c>
      <c r="C39" s="37"/>
      <c r="D39" s="37"/>
      <c r="E39" s="37"/>
      <c r="F39" s="37" t="s">
        <v>1141</v>
      </c>
      <c r="G39" s="37" t="s">
        <v>1142</v>
      </c>
      <c r="H39" s="37" t="s">
        <v>1143</v>
      </c>
      <c r="I39" s="37" t="s">
        <v>310</v>
      </c>
      <c r="J39" s="37" t="s">
        <v>311</v>
      </c>
      <c r="K39" s="37"/>
      <c r="L39" s="37"/>
      <c r="M39" s="37"/>
      <c r="N39" s="37"/>
      <c r="O39" s="37" t="s">
        <v>1144</v>
      </c>
      <c r="P39" s="37"/>
      <c r="Q39" s="37" t="s">
        <v>1145</v>
      </c>
      <c r="R39" s="37" t="s">
        <v>1146</v>
      </c>
      <c r="S39" s="37" t="s">
        <v>1147</v>
      </c>
      <c r="T39" s="37" t="s">
        <v>1148</v>
      </c>
      <c r="U39" s="37" t="s">
        <v>1149</v>
      </c>
      <c r="V39" s="37" t="s">
        <v>1150</v>
      </c>
      <c r="W39" s="37"/>
      <c r="X39" s="37"/>
      <c r="Y39" s="37"/>
      <c r="Z39" s="37"/>
      <c r="AA39" s="37" t="n">
        <v>34</v>
      </c>
      <c r="AB39" s="37" t="n">
        <v>0</v>
      </c>
      <c r="AC39" s="37" t="n">
        <v>0</v>
      </c>
      <c r="AD39" s="37" t="n">
        <v>2</v>
      </c>
      <c r="AE39" s="37" t="n">
        <v>2</v>
      </c>
      <c r="AF39" s="37" t="s">
        <v>321</v>
      </c>
      <c r="AG39" s="37" t="s">
        <v>322</v>
      </c>
      <c r="AH39" s="37" t="s">
        <v>323</v>
      </c>
      <c r="AI39" s="37" t="s">
        <v>1151</v>
      </c>
      <c r="AJ39" s="37" t="s">
        <v>1152</v>
      </c>
      <c r="AK39" s="37"/>
      <c r="AL39" s="37" t="s">
        <v>1153</v>
      </c>
      <c r="AM39" s="37" t="s">
        <v>1154</v>
      </c>
      <c r="AN39" s="37" t="s">
        <v>1046</v>
      </c>
      <c r="AO39" s="37" t="n">
        <v>2025</v>
      </c>
      <c r="AP39" s="37" t="n">
        <v>11</v>
      </c>
      <c r="AQ39" s="37" t="n">
        <v>1</v>
      </c>
      <c r="AR39" s="37"/>
      <c r="AS39" s="37"/>
      <c r="AT39" s="37"/>
      <c r="AU39" s="37" t="n">
        <v>41</v>
      </c>
      <c r="AV39" s="37" t="s">
        <v>1155</v>
      </c>
      <c r="AW39" s="37" t="str">
        <f aca="false">HYPERLINK("http://dx.doi.org/10.1007/s40808-024-02268-w","http://dx.doi.org/10.1007/s40808-024-02268-w")</f>
        <v>http://dx.doi.org/10.1007/s40808-024-02268-w</v>
      </c>
      <c r="AX39" s="37"/>
      <c r="AY39" s="37" t="n">
        <v>13</v>
      </c>
      <c r="AZ39" s="37" t="s">
        <v>500</v>
      </c>
      <c r="BA39" s="37" t="s">
        <v>575</v>
      </c>
      <c r="BB39" s="37" t="s">
        <v>501</v>
      </c>
      <c r="BC39" s="37" t="s">
        <v>1156</v>
      </c>
      <c r="BD39" s="37"/>
      <c r="BE39" s="37"/>
      <c r="BF39" s="37" t="s">
        <v>334</v>
      </c>
      <c r="BG39" s="37" t="s">
        <v>1157</v>
      </c>
      <c r="BH39" s="37" t="str">
        <f aca="false">HYPERLINK("https%3A%2F%2Fwww.webofscience.com%2Fwos%2Fwoscc%2Ffull-record%2FWOS:001386848900009","View Full Record in Web of Science")</f>
        <v>View Full Record in Web of Science</v>
      </c>
      <c r="BI39" s="39"/>
      <c r="BJ39" s="41" t="b">
        <f aca="false">TRUE()</f>
        <v>1</v>
      </c>
      <c r="BK39" s="39"/>
      <c r="BL39" s="39"/>
      <c r="BM39" s="39"/>
      <c r="BN39" s="39"/>
      <c r="BO39" s="39"/>
      <c r="BP39" s="39"/>
      <c r="BQ39" s="39"/>
      <c r="BR39" s="41" t="b">
        <f aca="false">TRUE()</f>
        <v>1</v>
      </c>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c r="DA39" s="39"/>
      <c r="DB39" s="39"/>
      <c r="DC39" s="39"/>
      <c r="DD39" s="39"/>
      <c r="DE39" s="39"/>
      <c r="DF39" s="39"/>
      <c r="DG39" s="39"/>
      <c r="DH39" s="39"/>
      <c r="DI39" s="39"/>
      <c r="DJ39" s="39"/>
      <c r="DK39" s="39"/>
      <c r="DL39" s="39"/>
      <c r="DM39" s="39"/>
      <c r="DN39" s="39"/>
      <c r="DO39" s="39"/>
      <c r="DP39" s="39"/>
      <c r="DQ39" s="39"/>
      <c r="DR39" s="39"/>
      <c r="DS39" s="39"/>
      <c r="DT39" s="39"/>
      <c r="DU39" s="39"/>
      <c r="DV39" s="39"/>
      <c r="DW39" s="39"/>
      <c r="DX39" s="39"/>
      <c r="DY39" s="39"/>
      <c r="DZ39" s="39"/>
      <c r="EA39" s="41" t="b">
        <f aca="false">TRUE()</f>
        <v>1</v>
      </c>
      <c r="EB39" s="39"/>
      <c r="EC39" s="39"/>
      <c r="ED39" s="39"/>
      <c r="EE39" s="39"/>
      <c r="EF39" s="39"/>
      <c r="EG39" s="39"/>
      <c r="EH39" s="39"/>
      <c r="EI39" s="39"/>
      <c r="EJ39" s="39"/>
      <c r="EK39" s="39"/>
      <c r="EL39" s="39"/>
      <c r="EM39" s="39"/>
      <c r="EN39" s="39"/>
      <c r="EO39" s="39"/>
      <c r="EP39" s="39"/>
      <c r="EQ39" s="39"/>
      <c r="ER39" s="39"/>
      <c r="ES39" s="39"/>
      <c r="ET39" s="39"/>
      <c r="EU39" s="39"/>
      <c r="EV39" s="39"/>
      <c r="EW39" s="39"/>
      <c r="EX39" s="39"/>
      <c r="EY39" s="39"/>
      <c r="EZ39" s="39"/>
      <c r="FA39" s="39"/>
      <c r="FB39" s="39"/>
      <c r="FC39" s="41" t="b">
        <f aca="false">TRUE()</f>
        <v>1</v>
      </c>
      <c r="FD39" s="39"/>
      <c r="FE39" s="39"/>
      <c r="FF39" s="41" t="b">
        <f aca="false">TRUE()</f>
        <v>1</v>
      </c>
      <c r="FG39" s="39"/>
      <c r="FH39" s="39"/>
      <c r="FI39" s="39"/>
      <c r="FJ39" s="39"/>
      <c r="FK39" s="39"/>
      <c r="FL39" s="39"/>
      <c r="FM39" s="39"/>
      <c r="FN39" s="39"/>
      <c r="FO39" s="39"/>
      <c r="FP39" s="39"/>
      <c r="FQ39" s="39"/>
      <c r="FR39" s="39"/>
      <c r="FS39" s="39"/>
      <c r="FT39" s="39"/>
      <c r="FU39" s="39"/>
      <c r="FV39" s="39"/>
      <c r="FW39" s="39"/>
      <c r="FX39" s="39"/>
      <c r="FY39" s="39"/>
      <c r="FZ39" s="39"/>
      <c r="GA39" s="39"/>
      <c r="GB39" s="39"/>
      <c r="GC39" s="39"/>
      <c r="GD39" s="39"/>
      <c r="GE39" s="39"/>
      <c r="GF39" s="39"/>
      <c r="GG39" s="39"/>
      <c r="GH39" s="39"/>
      <c r="GI39" s="39"/>
      <c r="GJ39" s="39"/>
      <c r="GK39" s="39"/>
      <c r="GL39" s="39"/>
      <c r="GM39" s="41" t="b">
        <f aca="false">TRUE()</f>
        <v>1</v>
      </c>
      <c r="GN39" s="39"/>
      <c r="GO39" s="39"/>
      <c r="GP39" s="39"/>
      <c r="GQ39" s="39"/>
      <c r="GR39" s="39"/>
      <c r="GS39" s="39"/>
      <c r="GT39" s="39"/>
      <c r="GU39" s="39"/>
      <c r="GV39" s="39"/>
      <c r="GW39" s="39"/>
      <c r="GX39" s="39"/>
      <c r="GY39" s="39"/>
      <c r="GZ39" s="39"/>
      <c r="HA39" s="39"/>
      <c r="HB39" s="39"/>
      <c r="HC39" s="39"/>
      <c r="HD39" s="39"/>
      <c r="HE39" s="39"/>
      <c r="HF39" s="39"/>
      <c r="HG39" s="39"/>
      <c r="HH39" s="39"/>
      <c r="HI39" s="39"/>
      <c r="HJ39" s="39"/>
      <c r="HK39" s="39"/>
      <c r="HL39" s="39"/>
      <c r="HM39" s="39"/>
      <c r="HN39" s="39"/>
      <c r="HO39" s="39"/>
      <c r="HP39" s="39"/>
      <c r="HQ39" s="39"/>
      <c r="HR39" s="39"/>
      <c r="HS39" s="39"/>
      <c r="HT39" s="39"/>
      <c r="HU39" s="39"/>
      <c r="HV39" s="39"/>
      <c r="HW39" s="39"/>
      <c r="HX39" s="39"/>
      <c r="HY39" s="41" t="b">
        <f aca="false">TRUE()</f>
        <v>1</v>
      </c>
      <c r="HZ39" s="39"/>
      <c r="IA39" s="39"/>
      <c r="IB39" s="39"/>
      <c r="IC39" s="39"/>
      <c r="ID39" s="39"/>
      <c r="IE39" s="39"/>
      <c r="IF39" s="39"/>
      <c r="IG39" s="39"/>
      <c r="IH39" s="39"/>
      <c r="II39" s="39"/>
      <c r="IJ39" s="39"/>
      <c r="IK39" s="39"/>
      <c r="IL39" s="39"/>
      <c r="IM39" s="39"/>
      <c r="IN39" s="39"/>
      <c r="IO39" s="39"/>
      <c r="IP39" s="39"/>
      <c r="IQ39" s="39"/>
      <c r="IR39" s="39"/>
      <c r="IS39" s="39"/>
      <c r="IT39" s="39"/>
      <c r="IU39" s="39"/>
      <c r="IV39" s="39"/>
      <c r="IW39" s="39"/>
      <c r="IX39" s="39"/>
      <c r="IY39" s="39"/>
      <c r="IZ39" s="39"/>
      <c r="JA39" s="39"/>
      <c r="JB39" s="39"/>
      <c r="JC39" s="39"/>
      <c r="JD39" s="39"/>
      <c r="JE39" s="39"/>
      <c r="JF39" s="39"/>
      <c r="JG39" s="39"/>
      <c r="JH39" s="39"/>
      <c r="JI39" s="39"/>
      <c r="JJ39" s="39"/>
      <c r="JK39" s="39"/>
      <c r="JL39" s="39"/>
      <c r="JM39" s="39"/>
      <c r="JN39" s="39"/>
      <c r="JO39" s="39"/>
      <c r="JP39" s="39"/>
      <c r="JQ39" s="39"/>
      <c r="JR39" s="39"/>
      <c r="JS39" s="39"/>
      <c r="JT39" s="41" t="b">
        <f aca="false">TRUE()</f>
        <v>1</v>
      </c>
      <c r="JU39" s="39"/>
      <c r="JV39" s="39"/>
      <c r="JW39" s="39"/>
      <c r="JX39" s="39"/>
      <c r="JY39" s="39"/>
      <c r="JZ39" s="39"/>
      <c r="KA39" s="39"/>
      <c r="KB39" s="39"/>
      <c r="KC39" s="39"/>
      <c r="KD39" s="39"/>
      <c r="KE39" s="39"/>
      <c r="KF39" s="39"/>
      <c r="KG39" s="39"/>
      <c r="KH39" s="39"/>
      <c r="KI39" s="39"/>
      <c r="KJ39" s="41" t="b">
        <f aca="false">TRUE()</f>
        <v>1</v>
      </c>
      <c r="KK39" s="39"/>
      <c r="KL39" s="39"/>
      <c r="KM39" s="39"/>
      <c r="KN39" s="39"/>
      <c r="KO39" s="39"/>
      <c r="KP39" s="41" t="b">
        <f aca="false">TRUE()</f>
        <v>1</v>
      </c>
      <c r="KQ39" s="41" t="b">
        <f aca="false">TRUE()</f>
        <v>1</v>
      </c>
      <c r="KR39" s="41" t="b">
        <f aca="false">TRUE()</f>
        <v>1</v>
      </c>
      <c r="KS39" s="41" t="b">
        <f aca="false">TRUE()</f>
        <v>1</v>
      </c>
      <c r="KT39" s="41" t="b">
        <f aca="false">TRUE()</f>
        <v>1</v>
      </c>
      <c r="KU39" s="39"/>
    </row>
    <row r="40" customFormat="false" ht="14.4" hidden="false" customHeight="false" outlineLevel="0" collapsed="false">
      <c r="A40" s="45" t="s">
        <v>505</v>
      </c>
      <c r="B40" s="45" t="s">
        <v>1158</v>
      </c>
      <c r="C40" s="45"/>
      <c r="D40" s="45"/>
      <c r="E40" s="45" t="s">
        <v>1159</v>
      </c>
      <c r="F40" s="45" t="s">
        <v>1160</v>
      </c>
      <c r="G40" s="45" t="s">
        <v>1161</v>
      </c>
      <c r="H40" s="45" t="s">
        <v>1162</v>
      </c>
      <c r="I40" s="45" t="s">
        <v>310</v>
      </c>
      <c r="J40" s="45" t="s">
        <v>511</v>
      </c>
      <c r="K40" s="45" t="s">
        <v>1163</v>
      </c>
      <c r="L40" s="45" t="s">
        <v>1164</v>
      </c>
      <c r="M40" s="45" t="s">
        <v>1165</v>
      </c>
      <c r="N40" s="45" t="s">
        <v>1166</v>
      </c>
      <c r="O40" s="45" t="s">
        <v>1167</v>
      </c>
      <c r="P40" s="45"/>
      <c r="Q40" s="45" t="s">
        <v>1168</v>
      </c>
      <c r="R40" s="45" t="s">
        <v>1169</v>
      </c>
      <c r="S40" s="45" t="s">
        <v>1170</v>
      </c>
      <c r="T40" s="45" t="s">
        <v>1171</v>
      </c>
      <c r="U40" s="45"/>
      <c r="V40" s="45"/>
      <c r="W40" s="45"/>
      <c r="X40" s="45" t="s">
        <v>1172</v>
      </c>
      <c r="Y40" s="45" t="s">
        <v>1172</v>
      </c>
      <c r="Z40" s="45" t="s">
        <v>1173</v>
      </c>
      <c r="AA40" s="45" t="n">
        <v>9</v>
      </c>
      <c r="AB40" s="45" t="n">
        <v>0</v>
      </c>
      <c r="AC40" s="45" t="n">
        <v>0</v>
      </c>
      <c r="AD40" s="45" t="n">
        <v>0</v>
      </c>
      <c r="AE40" s="45" t="n">
        <v>0</v>
      </c>
      <c r="AF40" s="45" t="s">
        <v>1159</v>
      </c>
      <c r="AG40" s="45" t="s">
        <v>525</v>
      </c>
      <c r="AH40" s="45" t="s">
        <v>1174</v>
      </c>
      <c r="AI40" s="45" t="s">
        <v>1175</v>
      </c>
      <c r="AJ40" s="45"/>
      <c r="AK40" s="45" t="s">
        <v>1176</v>
      </c>
      <c r="AL40" s="45" t="s">
        <v>1177</v>
      </c>
      <c r="AM40" s="45"/>
      <c r="AN40" s="45"/>
      <c r="AO40" s="45" t="n">
        <v>2024</v>
      </c>
      <c r="AP40" s="45"/>
      <c r="AQ40" s="45"/>
      <c r="AR40" s="45"/>
      <c r="AS40" s="45" t="n">
        <v>301</v>
      </c>
      <c r="AT40" s="45" t="n">
        <v>304</v>
      </c>
      <c r="AU40" s="45"/>
      <c r="AV40" s="45" t="s">
        <v>1178</v>
      </c>
      <c r="AW40" s="45" t="str">
        <f aca="false">HYPERLINK("http://dx.doi.org/10.1109/IGARSS53475.2024.10642364","http://dx.doi.org/10.1109/IGARSS53475.2024.10642364")</f>
        <v>http://dx.doi.org/10.1109/IGARSS53475.2024.10642364</v>
      </c>
      <c r="AX40" s="45"/>
      <c r="AY40" s="45" t="n">
        <v>4</v>
      </c>
      <c r="AZ40" s="45" t="s">
        <v>1179</v>
      </c>
      <c r="BA40" s="45" t="s">
        <v>530</v>
      </c>
      <c r="BB40" s="45" t="s">
        <v>1180</v>
      </c>
      <c r="BC40" s="45" t="s">
        <v>1181</v>
      </c>
      <c r="BD40" s="45"/>
      <c r="BE40" s="45"/>
      <c r="BF40" s="45" t="s">
        <v>334</v>
      </c>
      <c r="BG40" s="45" t="s">
        <v>1182</v>
      </c>
      <c r="BH40" s="45" t="str">
        <f aca="false">HYPERLINK("https%3A%2F%2Fwww.webofscience.com%2Fwos%2Fwoscc%2Ffull-record%2FWOS:001316158500072","View Full Record in Web of Science")</f>
        <v>View Full Record in Web of Science</v>
      </c>
      <c r="BI40" s="52" t="b">
        <f aca="false">TRUE()</f>
        <v>1</v>
      </c>
      <c r="BJ40" s="47"/>
      <c r="BK40" s="47"/>
      <c r="BL40" s="47"/>
      <c r="BM40" s="47"/>
      <c r="BN40" s="47"/>
      <c r="BO40" s="47"/>
      <c r="BP40" s="47"/>
      <c r="BQ40" s="47"/>
      <c r="BR40" s="47"/>
      <c r="BS40" s="47"/>
      <c r="BT40" s="47"/>
      <c r="BU40" s="47"/>
      <c r="BV40" s="47"/>
      <c r="BW40" s="47"/>
      <c r="BX40" s="47"/>
      <c r="BY40" s="52" t="b">
        <f aca="false">TRUE()</f>
        <v>1</v>
      </c>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52" t="b">
        <f aca="false">TRUE()</f>
        <v>1</v>
      </c>
      <c r="DO40" s="47"/>
      <c r="DP40" s="47"/>
      <c r="DQ40" s="47"/>
      <c r="DR40" s="47"/>
      <c r="DS40" s="47"/>
      <c r="DT40" s="47"/>
      <c r="DU40" s="47"/>
      <c r="DV40" s="47"/>
      <c r="DW40" s="47"/>
      <c r="DX40" s="47"/>
      <c r="DY40" s="47"/>
      <c r="DZ40" s="47"/>
      <c r="EA40" s="47"/>
      <c r="EB40" s="52" t="b">
        <f aca="false">TRUE()</f>
        <v>1</v>
      </c>
      <c r="EC40" s="47"/>
      <c r="ED40" s="47"/>
      <c r="EE40" s="47"/>
      <c r="EF40" s="47"/>
      <c r="EG40" s="47"/>
      <c r="EH40" s="47"/>
      <c r="EI40" s="47"/>
      <c r="EJ40" s="47"/>
      <c r="EK40" s="47"/>
      <c r="EL40" s="47"/>
      <c r="EM40" s="47"/>
      <c r="EN40" s="47"/>
      <c r="EO40" s="47"/>
      <c r="EP40" s="47"/>
      <c r="EQ40" s="47"/>
      <c r="ER40" s="47"/>
      <c r="ES40" s="47"/>
      <c r="ET40" s="47"/>
      <c r="EU40" s="47"/>
      <c r="EV40" s="47"/>
      <c r="EW40" s="47"/>
      <c r="EX40" s="47"/>
      <c r="EY40" s="52" t="b">
        <f aca="false">TRUE()</f>
        <v>1</v>
      </c>
      <c r="EZ40" s="47"/>
      <c r="FA40" s="47"/>
      <c r="FB40" s="47"/>
      <c r="FC40" s="47"/>
      <c r="FD40" s="47"/>
      <c r="FE40" s="47"/>
      <c r="FF40" s="47"/>
      <c r="FG40" s="47"/>
      <c r="FH40" s="47"/>
      <c r="FI40" s="47"/>
      <c r="FJ40" s="47"/>
      <c r="FK40" s="47"/>
      <c r="FL40" s="52" t="b">
        <f aca="false">TRUE()</f>
        <v>1</v>
      </c>
      <c r="FM40" s="47"/>
      <c r="FN40" s="47"/>
      <c r="FO40" s="47"/>
      <c r="FP40" s="47"/>
      <c r="FQ40" s="47"/>
      <c r="FR40" s="47"/>
      <c r="FS40" s="47"/>
      <c r="FT40" s="47"/>
      <c r="FU40" s="47"/>
      <c r="FV40" s="47"/>
      <c r="FW40" s="47"/>
      <c r="FX40" s="47"/>
      <c r="FY40" s="47"/>
      <c r="FZ40" s="47"/>
      <c r="GA40" s="47"/>
      <c r="GB40" s="52" t="b">
        <f aca="false">TRUE()</f>
        <v>1</v>
      </c>
      <c r="GC40" s="52" t="b">
        <f aca="false">TRUE()</f>
        <v>1</v>
      </c>
      <c r="GD40" s="47"/>
      <c r="GE40" s="47"/>
      <c r="GF40" s="47"/>
      <c r="GG40" s="47"/>
      <c r="GH40" s="47"/>
      <c r="GI40" s="47"/>
      <c r="GJ40" s="47"/>
      <c r="GK40" s="47"/>
      <c r="GL40" s="47"/>
      <c r="GM40" s="47"/>
      <c r="GN40" s="47"/>
      <c r="GO40" s="47"/>
      <c r="GP40" s="47"/>
      <c r="GQ40" s="47"/>
      <c r="GR40" s="47"/>
      <c r="GS40" s="47"/>
      <c r="GT40" s="47"/>
      <c r="GU40" s="47"/>
      <c r="GV40" s="47"/>
      <c r="GW40" s="47"/>
      <c r="GX40" s="47"/>
      <c r="GY40" s="47"/>
      <c r="GZ40" s="47"/>
      <c r="HA40" s="47"/>
      <c r="HB40" s="47"/>
      <c r="HC40" s="47"/>
      <c r="HD40" s="47"/>
      <c r="HE40" s="47"/>
      <c r="HF40" s="47"/>
      <c r="HG40" s="47"/>
      <c r="HH40" s="47"/>
      <c r="HI40" s="47"/>
      <c r="HJ40" s="47"/>
      <c r="HK40" s="47"/>
      <c r="HL40" s="47"/>
      <c r="HM40" s="47"/>
      <c r="HN40" s="47"/>
      <c r="HO40" s="47"/>
      <c r="HP40" s="47"/>
      <c r="HQ40" s="47"/>
      <c r="HR40" s="47"/>
      <c r="HS40" s="47"/>
      <c r="HT40" s="47"/>
      <c r="HU40" s="47"/>
      <c r="HV40" s="47"/>
      <c r="HW40" s="47"/>
      <c r="HX40" s="47"/>
      <c r="HY40" s="47"/>
      <c r="HZ40" s="47"/>
      <c r="IA40" s="47"/>
      <c r="IB40" s="47"/>
      <c r="IC40" s="47"/>
      <c r="ID40" s="47"/>
      <c r="IE40" s="47"/>
      <c r="IF40" s="47"/>
      <c r="IG40" s="47"/>
      <c r="IH40" s="47"/>
      <c r="II40" s="47"/>
      <c r="IJ40" s="47"/>
      <c r="IK40" s="47"/>
      <c r="IL40" s="47"/>
      <c r="IM40" s="47"/>
      <c r="IN40" s="47"/>
      <c r="IO40" s="47"/>
      <c r="IP40" s="47"/>
      <c r="IQ40" s="47"/>
      <c r="IR40" s="47"/>
      <c r="IS40" s="47"/>
      <c r="IT40" s="47"/>
      <c r="IU40" s="47"/>
      <c r="IV40" s="47"/>
      <c r="IW40" s="47"/>
      <c r="IX40" s="47"/>
      <c r="IY40" s="47"/>
      <c r="IZ40" s="47"/>
      <c r="JA40" s="47"/>
      <c r="JB40" s="47"/>
      <c r="JC40" s="47"/>
      <c r="JD40" s="47"/>
      <c r="JE40" s="47"/>
      <c r="JF40" s="47"/>
      <c r="JG40" s="47"/>
      <c r="JH40" s="47"/>
      <c r="JI40" s="52" t="b">
        <f aca="false">TRUE()</f>
        <v>1</v>
      </c>
      <c r="JJ40" s="52" t="b">
        <f aca="false">TRUE()</f>
        <v>1</v>
      </c>
      <c r="JK40" s="47"/>
      <c r="JL40" s="47"/>
      <c r="JM40" s="47"/>
      <c r="JN40" s="47"/>
      <c r="JO40" s="47"/>
      <c r="JP40" s="47"/>
      <c r="JQ40" s="47"/>
      <c r="JR40" s="52" t="b">
        <f aca="false">TRUE()</f>
        <v>1</v>
      </c>
      <c r="JS40" s="47"/>
      <c r="JT40" s="52" t="b">
        <f aca="false">TRUE()</f>
        <v>1</v>
      </c>
      <c r="JU40" s="52" t="b">
        <f aca="false">TRUE()</f>
        <v>1</v>
      </c>
      <c r="JV40" s="47"/>
      <c r="JW40" s="47"/>
      <c r="JX40" s="47"/>
      <c r="JY40" s="47"/>
      <c r="JZ40" s="47"/>
      <c r="KA40" s="47"/>
      <c r="KB40" s="47"/>
      <c r="KC40" s="47"/>
      <c r="KD40" s="47"/>
      <c r="KE40" s="47"/>
      <c r="KF40" s="47"/>
      <c r="KG40" s="47"/>
      <c r="KH40" s="47"/>
      <c r="KI40" s="47"/>
      <c r="KJ40" s="47"/>
      <c r="KK40" s="47"/>
      <c r="KL40" s="47"/>
      <c r="KM40" s="47"/>
      <c r="KN40" s="47"/>
      <c r="KO40" s="52" t="b">
        <f aca="false">TRUE()</f>
        <v>1</v>
      </c>
      <c r="KP40" s="47"/>
      <c r="KQ40" s="47"/>
      <c r="KR40" s="47"/>
      <c r="KS40" s="47"/>
      <c r="KT40" s="52" t="b">
        <f aca="false">TRUE()</f>
        <v>1</v>
      </c>
      <c r="KU40" s="47"/>
    </row>
    <row r="41" customFormat="false" ht="14.4" hidden="false" customHeight="false" outlineLevel="0" collapsed="false">
      <c r="A41" s="37" t="s">
        <v>305</v>
      </c>
      <c r="B41" s="37" t="s">
        <v>1183</v>
      </c>
      <c r="C41" s="37"/>
      <c r="D41" s="37"/>
      <c r="E41" s="37"/>
      <c r="F41" s="37" t="s">
        <v>1184</v>
      </c>
      <c r="G41" s="37" t="s">
        <v>1185</v>
      </c>
      <c r="H41" s="37" t="s">
        <v>1186</v>
      </c>
      <c r="I41" s="37" t="s">
        <v>310</v>
      </c>
      <c r="J41" s="37" t="s">
        <v>311</v>
      </c>
      <c r="K41" s="37"/>
      <c r="L41" s="37"/>
      <c r="M41" s="37"/>
      <c r="N41" s="37"/>
      <c r="O41" s="37" t="s">
        <v>1187</v>
      </c>
      <c r="P41" s="37" t="s">
        <v>1188</v>
      </c>
      <c r="Q41" s="37" t="s">
        <v>1189</v>
      </c>
      <c r="R41" s="37" t="s">
        <v>1190</v>
      </c>
      <c r="S41" s="37" t="s">
        <v>1191</v>
      </c>
      <c r="T41" s="37" t="s">
        <v>1192</v>
      </c>
      <c r="U41" s="37" t="s">
        <v>1193</v>
      </c>
      <c r="V41" s="37" t="s">
        <v>1194</v>
      </c>
      <c r="W41" s="37" t="s">
        <v>1195</v>
      </c>
      <c r="X41" s="37" t="s">
        <v>1196</v>
      </c>
      <c r="Y41" s="37" t="s">
        <v>1197</v>
      </c>
      <c r="Z41" s="37" t="s">
        <v>1198</v>
      </c>
      <c r="AA41" s="37" t="n">
        <v>65</v>
      </c>
      <c r="AB41" s="37" t="n">
        <v>6</v>
      </c>
      <c r="AC41" s="37" t="n">
        <v>6</v>
      </c>
      <c r="AD41" s="37" t="n">
        <v>8</v>
      </c>
      <c r="AE41" s="37" t="n">
        <v>39</v>
      </c>
      <c r="AF41" s="37" t="s">
        <v>428</v>
      </c>
      <c r="AG41" s="37" t="s">
        <v>429</v>
      </c>
      <c r="AH41" s="37" t="s">
        <v>430</v>
      </c>
      <c r="AI41" s="37" t="s">
        <v>1199</v>
      </c>
      <c r="AJ41" s="37" t="s">
        <v>1200</v>
      </c>
      <c r="AK41" s="37"/>
      <c r="AL41" s="37" t="s">
        <v>1201</v>
      </c>
      <c r="AM41" s="37" t="s">
        <v>1202</v>
      </c>
      <c r="AN41" s="37" t="s">
        <v>775</v>
      </c>
      <c r="AO41" s="37" t="n">
        <v>2022</v>
      </c>
      <c r="AP41" s="37" t="n">
        <v>36</v>
      </c>
      <c r="AQ41" s="37" t="n">
        <v>5</v>
      </c>
      <c r="AR41" s="37"/>
      <c r="AS41" s="37"/>
      <c r="AT41" s="37"/>
      <c r="AU41" s="37" t="s">
        <v>1203</v>
      </c>
      <c r="AV41" s="37" t="s">
        <v>1204</v>
      </c>
      <c r="AW41" s="37" t="str">
        <f aca="false">HYPERLINK("http://dx.doi.org/10.1002/hyp.14571","http://dx.doi.org/10.1002/hyp.14571")</f>
        <v>http://dx.doi.org/10.1002/hyp.14571</v>
      </c>
      <c r="AX41" s="37"/>
      <c r="AY41" s="37" t="n">
        <v>21</v>
      </c>
      <c r="AZ41" s="37" t="s">
        <v>727</v>
      </c>
      <c r="BA41" s="37" t="s">
        <v>331</v>
      </c>
      <c r="BB41" s="37" t="s">
        <v>727</v>
      </c>
      <c r="BC41" s="37" t="s">
        <v>1205</v>
      </c>
      <c r="BD41" s="37"/>
      <c r="BE41" s="37"/>
      <c r="BF41" s="37" t="s">
        <v>334</v>
      </c>
      <c r="BG41" s="37" t="s">
        <v>1206</v>
      </c>
      <c r="BH41" s="37" t="str">
        <f aca="false">HYPERLINK("https%3A%2F%2Fwww.webofscience.com%2Fwos%2Fwoscc%2Ffull-record%2FWOS:000789986200001","View Full Record in Web of Science")</f>
        <v>View Full Record in Web of Science</v>
      </c>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39"/>
      <c r="DA41" s="39"/>
      <c r="DB41" s="39"/>
      <c r="DC41" s="39"/>
      <c r="DD41" s="39"/>
      <c r="DE41" s="39"/>
      <c r="DF41" s="39"/>
      <c r="DG41" s="39"/>
      <c r="DH41" s="39"/>
      <c r="DI41" s="39"/>
      <c r="DJ41" s="39"/>
      <c r="DK41" s="39"/>
      <c r="DL41" s="39"/>
      <c r="DM41" s="39"/>
      <c r="DN41" s="39"/>
      <c r="DO41" s="39"/>
      <c r="DP41" s="39"/>
      <c r="DQ41" s="39"/>
      <c r="DR41" s="39"/>
      <c r="DS41" s="39"/>
      <c r="DT41" s="39"/>
      <c r="DU41" s="39"/>
      <c r="DV41" s="39"/>
      <c r="DW41" s="39"/>
      <c r="DX41" s="39"/>
      <c r="DY41" s="39"/>
      <c r="DZ41" s="41" t="b">
        <f aca="false">TRUE()</f>
        <v>1</v>
      </c>
      <c r="EA41" s="41" t="b">
        <f aca="false">TRUE()</f>
        <v>1</v>
      </c>
      <c r="EB41" s="41" t="b">
        <f aca="false">TRUE()</f>
        <v>1</v>
      </c>
      <c r="EC41" s="39"/>
      <c r="ED41" s="39"/>
      <c r="EE41" s="39"/>
      <c r="EF41" s="39"/>
      <c r="EG41" s="39"/>
      <c r="EH41" s="39"/>
      <c r="EI41" s="41" t="b">
        <f aca="false">TRUE()</f>
        <v>1</v>
      </c>
      <c r="EJ41" s="39"/>
      <c r="EK41" s="39"/>
      <c r="EL41" s="39"/>
      <c r="EM41" s="39"/>
      <c r="EN41" s="39"/>
      <c r="EO41" s="39"/>
      <c r="EP41" s="39"/>
      <c r="EQ41" s="39"/>
      <c r="ER41" s="39"/>
      <c r="ES41" s="39"/>
      <c r="ET41" s="39"/>
      <c r="EU41" s="39"/>
      <c r="EV41" s="39"/>
      <c r="EW41" s="39"/>
      <c r="EX41" s="39"/>
      <c r="EY41" s="41" t="b">
        <f aca="false">TRUE()</f>
        <v>1</v>
      </c>
      <c r="EZ41" s="39"/>
      <c r="FA41" s="39"/>
      <c r="FB41" s="39"/>
      <c r="FC41" s="39"/>
      <c r="FD41" s="39"/>
      <c r="FE41" s="39"/>
      <c r="FF41" s="39"/>
      <c r="FG41" s="39"/>
      <c r="FH41" s="39"/>
      <c r="FI41" s="39"/>
      <c r="FJ41" s="39"/>
      <c r="FK41" s="39"/>
      <c r="FL41" s="39"/>
      <c r="FM41" s="39"/>
      <c r="FN41" s="39"/>
      <c r="FO41" s="39"/>
      <c r="FP41" s="39"/>
      <c r="FQ41" s="39"/>
      <c r="FR41" s="39"/>
      <c r="FS41" s="39"/>
      <c r="FT41" s="39"/>
      <c r="FU41" s="39"/>
      <c r="FV41" s="39"/>
      <c r="FW41" s="39"/>
      <c r="FX41" s="39"/>
      <c r="FY41" s="39"/>
      <c r="FZ41" s="39"/>
      <c r="GA41" s="39"/>
      <c r="GB41" s="39"/>
      <c r="GC41" s="39"/>
      <c r="GD41" s="39"/>
      <c r="GE41" s="39"/>
      <c r="GF41" s="39"/>
      <c r="GG41" s="39"/>
      <c r="GH41" s="39"/>
      <c r="GI41" s="39"/>
      <c r="GJ41" s="39"/>
      <c r="GK41" s="39"/>
      <c r="GL41" s="39"/>
      <c r="GM41" s="39"/>
      <c r="GN41" s="39"/>
      <c r="GO41" s="39"/>
      <c r="GP41" s="39"/>
      <c r="GQ41" s="39"/>
      <c r="GR41" s="39"/>
      <c r="GS41" s="39"/>
      <c r="GT41" s="39"/>
      <c r="GU41" s="39"/>
      <c r="GV41" s="39"/>
      <c r="GW41" s="39"/>
      <c r="GX41" s="39"/>
      <c r="GY41" s="39"/>
      <c r="GZ41" s="39"/>
      <c r="HA41" s="41" t="b">
        <f aca="false">TRUE()</f>
        <v>1</v>
      </c>
      <c r="HB41" s="39"/>
      <c r="HC41" s="39"/>
      <c r="HD41" s="39"/>
      <c r="HE41" s="39"/>
      <c r="HF41" s="39"/>
      <c r="HG41" s="39"/>
      <c r="HH41" s="39"/>
      <c r="HI41" s="39"/>
      <c r="HJ41" s="39"/>
      <c r="HK41" s="39"/>
      <c r="HL41" s="39"/>
      <c r="HM41" s="39"/>
      <c r="HN41" s="39"/>
      <c r="HO41" s="39"/>
      <c r="HP41" s="39"/>
      <c r="HQ41" s="39"/>
      <c r="HR41" s="41" t="b">
        <f aca="false">TRUE()</f>
        <v>1</v>
      </c>
      <c r="HS41" s="39"/>
      <c r="HT41" s="39"/>
      <c r="HU41" s="39"/>
      <c r="HV41" s="39"/>
      <c r="HW41" s="39"/>
      <c r="HX41" s="39"/>
      <c r="HY41" s="39"/>
      <c r="HZ41" s="39"/>
      <c r="IA41" s="39"/>
      <c r="IB41" s="39"/>
      <c r="IC41" s="39"/>
      <c r="ID41" s="39"/>
      <c r="IE41" s="39"/>
      <c r="IF41" s="41" t="b">
        <f aca="false">TRUE()</f>
        <v>1</v>
      </c>
      <c r="IG41" s="39"/>
      <c r="IH41" s="39"/>
      <c r="II41" s="39"/>
      <c r="IJ41" s="39"/>
      <c r="IK41" s="39"/>
      <c r="IL41" s="39"/>
      <c r="IM41" s="39"/>
      <c r="IN41" s="39"/>
      <c r="IO41" s="39"/>
      <c r="IP41" s="39"/>
      <c r="IQ41" s="39"/>
      <c r="IR41" s="39"/>
      <c r="IS41" s="39"/>
      <c r="IT41" s="39"/>
      <c r="IU41" s="39"/>
      <c r="IV41" s="39"/>
      <c r="IW41" s="39"/>
      <c r="IX41" s="39"/>
      <c r="IY41" s="39"/>
      <c r="IZ41" s="39"/>
      <c r="JA41" s="39"/>
      <c r="JB41" s="39"/>
      <c r="JC41" s="39"/>
      <c r="JD41" s="39"/>
      <c r="JE41" s="39"/>
      <c r="JF41" s="39"/>
      <c r="JG41" s="39"/>
      <c r="JH41" s="39"/>
      <c r="JI41" s="39"/>
      <c r="JJ41" s="39"/>
      <c r="JK41" s="39"/>
      <c r="JL41" s="39"/>
      <c r="JM41" s="39"/>
      <c r="JN41" s="39"/>
      <c r="JO41" s="39"/>
      <c r="JP41" s="39"/>
      <c r="JQ41" s="39"/>
      <c r="JR41" s="39"/>
      <c r="JS41" s="39"/>
      <c r="JT41" s="41" t="b">
        <f aca="false">TRUE()</f>
        <v>1</v>
      </c>
      <c r="JU41" s="39"/>
      <c r="JV41" s="39"/>
      <c r="JW41" s="39"/>
      <c r="JX41" s="39"/>
      <c r="JY41" s="39"/>
      <c r="JZ41" s="39"/>
      <c r="KA41" s="39"/>
      <c r="KB41" s="39"/>
      <c r="KC41" s="39"/>
      <c r="KD41" s="39"/>
      <c r="KE41" s="39"/>
      <c r="KF41" s="39"/>
      <c r="KG41" s="39"/>
      <c r="KH41" s="39"/>
      <c r="KI41" s="39"/>
      <c r="KJ41" s="39"/>
      <c r="KK41" s="39"/>
      <c r="KL41" s="39"/>
      <c r="KM41" s="39"/>
      <c r="KN41" s="39"/>
      <c r="KO41" s="39"/>
      <c r="KP41" s="39"/>
      <c r="KQ41" s="39"/>
      <c r="KR41" s="39"/>
      <c r="KS41" s="39"/>
      <c r="KT41" s="41" t="b">
        <f aca="false">TRUE()</f>
        <v>1</v>
      </c>
      <c r="KU41" s="39"/>
    </row>
    <row r="42" customFormat="false" ht="14.4" hidden="false" customHeight="false" outlineLevel="0" collapsed="false">
      <c r="A42" s="37" t="s">
        <v>305</v>
      </c>
      <c r="B42" s="37" t="s">
        <v>1207</v>
      </c>
      <c r="C42" s="37"/>
      <c r="D42" s="37"/>
      <c r="E42" s="37"/>
      <c r="F42" s="37" t="s">
        <v>1208</v>
      </c>
      <c r="G42" s="37" t="s">
        <v>1209</v>
      </c>
      <c r="H42" s="37" t="s">
        <v>309</v>
      </c>
      <c r="I42" s="37" t="s">
        <v>310</v>
      </c>
      <c r="J42" s="37" t="s">
        <v>311</v>
      </c>
      <c r="K42" s="37"/>
      <c r="L42" s="37"/>
      <c r="M42" s="37"/>
      <c r="N42" s="37"/>
      <c r="O42" s="37" t="s">
        <v>1210</v>
      </c>
      <c r="P42" s="37" t="s">
        <v>1211</v>
      </c>
      <c r="Q42" s="37" t="s">
        <v>1212</v>
      </c>
      <c r="R42" s="37" t="s">
        <v>1213</v>
      </c>
      <c r="S42" s="37" t="s">
        <v>1214</v>
      </c>
      <c r="T42" s="37" t="s">
        <v>1215</v>
      </c>
      <c r="U42" s="37" t="s">
        <v>1216</v>
      </c>
      <c r="V42" s="37" t="s">
        <v>1217</v>
      </c>
      <c r="W42" s="37"/>
      <c r="X42" s="37" t="s">
        <v>1218</v>
      </c>
      <c r="Y42" s="37" t="s">
        <v>378</v>
      </c>
      <c r="Z42" s="37" t="s">
        <v>1219</v>
      </c>
      <c r="AA42" s="37" t="n">
        <v>39</v>
      </c>
      <c r="AB42" s="37" t="n">
        <v>4</v>
      </c>
      <c r="AC42" s="37" t="n">
        <v>4</v>
      </c>
      <c r="AD42" s="37" t="n">
        <v>12</v>
      </c>
      <c r="AE42" s="37" t="n">
        <v>39</v>
      </c>
      <c r="AF42" s="37" t="s">
        <v>321</v>
      </c>
      <c r="AG42" s="37" t="s">
        <v>322</v>
      </c>
      <c r="AH42" s="37" t="s">
        <v>323</v>
      </c>
      <c r="AI42" s="37" t="s">
        <v>324</v>
      </c>
      <c r="AJ42" s="37" t="s">
        <v>325</v>
      </c>
      <c r="AK42" s="37"/>
      <c r="AL42" s="37" t="s">
        <v>326</v>
      </c>
      <c r="AM42" s="37" t="s">
        <v>327</v>
      </c>
      <c r="AN42" s="37" t="s">
        <v>408</v>
      </c>
      <c r="AO42" s="37" t="n">
        <v>2023</v>
      </c>
      <c r="AP42" s="37" t="n">
        <v>16</v>
      </c>
      <c r="AQ42" s="37" t="n">
        <v>4</v>
      </c>
      <c r="AR42" s="37"/>
      <c r="AS42" s="37" t="n">
        <v>3469</v>
      </c>
      <c r="AT42" s="37" t="n">
        <v>3487</v>
      </c>
      <c r="AU42" s="37"/>
      <c r="AV42" s="37" t="s">
        <v>1220</v>
      </c>
      <c r="AW42" s="37" t="str">
        <f aca="false">HYPERLINK("http://dx.doi.org/10.1007/s12145-023-01103-7","http://dx.doi.org/10.1007/s12145-023-01103-7")</f>
        <v>http://dx.doi.org/10.1007/s12145-023-01103-7</v>
      </c>
      <c r="AX42" s="37" t="s">
        <v>751</v>
      </c>
      <c r="AY42" s="37" t="n">
        <v>19</v>
      </c>
      <c r="AZ42" s="37" t="s">
        <v>330</v>
      </c>
      <c r="BA42" s="37" t="s">
        <v>331</v>
      </c>
      <c r="BB42" s="37" t="s">
        <v>332</v>
      </c>
      <c r="BC42" s="37" t="s">
        <v>1221</v>
      </c>
      <c r="BD42" s="37"/>
      <c r="BE42" s="37"/>
      <c r="BF42" s="37" t="s">
        <v>334</v>
      </c>
      <c r="BG42" s="37" t="s">
        <v>1222</v>
      </c>
      <c r="BH42" s="37" t="str">
        <f aca="false">HYPERLINK("https%3A%2F%2Fwww.webofscience.com%2Fwos%2Fwoscc%2Ffull-record%2FWOS:001065089800001","View Full Record in Web of Science")</f>
        <v>View Full Record in Web of Science</v>
      </c>
      <c r="BI42" s="39"/>
      <c r="BJ42" s="39"/>
      <c r="BK42" s="39"/>
      <c r="BL42" s="39"/>
      <c r="BM42" s="39"/>
      <c r="BN42" s="39"/>
      <c r="BO42" s="39"/>
      <c r="BP42" s="39"/>
      <c r="BQ42" s="39"/>
      <c r="BR42" s="39"/>
      <c r="BS42" s="41" t="b">
        <f aca="false">TRUE()</f>
        <v>1</v>
      </c>
      <c r="BT42" s="39"/>
      <c r="BU42" s="39"/>
      <c r="BV42" s="39"/>
      <c r="BW42" s="39"/>
      <c r="BX42" s="39"/>
      <c r="BY42" s="41" t="b">
        <f aca="false">TRUE()</f>
        <v>1</v>
      </c>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G42" s="39"/>
      <c r="DH42" s="39"/>
      <c r="DI42" s="39"/>
      <c r="DJ42" s="39"/>
      <c r="DK42" s="39"/>
      <c r="DL42" s="39"/>
      <c r="DM42" s="39"/>
      <c r="DN42" s="39"/>
      <c r="DO42" s="39"/>
      <c r="DP42" s="39"/>
      <c r="DQ42" s="39"/>
      <c r="DR42" s="39"/>
      <c r="DS42" s="39"/>
      <c r="DT42" s="39"/>
      <c r="DU42" s="39"/>
      <c r="DV42" s="39"/>
      <c r="DW42" s="39"/>
      <c r="DX42" s="39"/>
      <c r="DY42" s="39"/>
      <c r="DZ42" s="39"/>
      <c r="EA42" s="41" t="b">
        <f aca="false">TRUE()</f>
        <v>1</v>
      </c>
      <c r="EB42" s="41" t="b">
        <f aca="false">TRUE()</f>
        <v>1</v>
      </c>
      <c r="EC42" s="39"/>
      <c r="ED42" s="39"/>
      <c r="EE42" s="39"/>
      <c r="EF42" s="39"/>
      <c r="EG42" s="39"/>
      <c r="EH42" s="39"/>
      <c r="EI42" s="41" t="b">
        <f aca="false">TRUE()</f>
        <v>1</v>
      </c>
      <c r="EJ42" s="39"/>
      <c r="EK42" s="39"/>
      <c r="EL42" s="39"/>
      <c r="EM42" s="39"/>
      <c r="EN42" s="39"/>
      <c r="EO42" s="39"/>
      <c r="EP42" s="39"/>
      <c r="EQ42" s="39"/>
      <c r="ER42" s="39"/>
      <c r="ES42" s="39"/>
      <c r="ET42" s="39"/>
      <c r="EU42" s="39"/>
      <c r="EV42" s="39"/>
      <c r="EW42" s="39"/>
      <c r="EX42" s="39"/>
      <c r="EY42" s="41" t="b">
        <f aca="false">TRUE()</f>
        <v>1</v>
      </c>
      <c r="EZ42" s="39"/>
      <c r="FA42" s="39"/>
      <c r="FB42" s="39"/>
      <c r="FC42" s="39"/>
      <c r="FD42" s="39"/>
      <c r="FE42" s="39"/>
      <c r="FF42" s="39"/>
      <c r="FG42" s="39"/>
      <c r="FH42" s="39"/>
      <c r="FI42" s="39"/>
      <c r="FJ42" s="39"/>
      <c r="FK42" s="39"/>
      <c r="FL42" s="39"/>
      <c r="FM42" s="39"/>
      <c r="FN42" s="39"/>
      <c r="FO42" s="39"/>
      <c r="FP42" s="39"/>
      <c r="FQ42" s="39"/>
      <c r="FR42" s="39"/>
      <c r="FS42" s="39"/>
      <c r="FT42" s="39"/>
      <c r="FU42" s="39"/>
      <c r="FV42" s="39"/>
      <c r="FW42" s="39"/>
      <c r="FX42" s="39"/>
      <c r="FY42" s="39"/>
      <c r="FZ42" s="39"/>
      <c r="GA42" s="39"/>
      <c r="GB42" s="39"/>
      <c r="GC42" s="39"/>
      <c r="GD42" s="39"/>
      <c r="GE42" s="39"/>
      <c r="GF42" s="39"/>
      <c r="GG42" s="39"/>
      <c r="GH42" s="39"/>
      <c r="GI42" s="39"/>
      <c r="GJ42" s="39"/>
      <c r="GK42" s="39"/>
      <c r="GL42" s="39"/>
      <c r="GM42" s="39"/>
      <c r="GN42" s="39"/>
      <c r="GO42" s="39"/>
      <c r="GP42" s="39"/>
      <c r="GQ42" s="39"/>
      <c r="GR42" s="39"/>
      <c r="GS42" s="39"/>
      <c r="GT42" s="39"/>
      <c r="GU42" s="39"/>
      <c r="GV42" s="39"/>
      <c r="GW42" s="39"/>
      <c r="GX42" s="39"/>
      <c r="GY42" s="39"/>
      <c r="GZ42" s="39"/>
      <c r="HA42" s="39"/>
      <c r="HB42" s="39"/>
      <c r="HC42" s="39"/>
      <c r="HD42" s="39"/>
      <c r="HE42" s="39"/>
      <c r="HF42" s="39"/>
      <c r="HG42" s="39"/>
      <c r="HH42" s="39"/>
      <c r="HI42" s="39"/>
      <c r="HJ42" s="39"/>
      <c r="HK42" s="39"/>
      <c r="HL42" s="39"/>
      <c r="HM42" s="39"/>
      <c r="HN42" s="39"/>
      <c r="HO42" s="39"/>
      <c r="HP42" s="39"/>
      <c r="HQ42" s="39"/>
      <c r="HR42" s="39"/>
      <c r="HS42" s="39"/>
      <c r="HT42" s="39"/>
      <c r="HU42" s="39"/>
      <c r="HV42" s="39"/>
      <c r="HW42" s="39"/>
      <c r="HX42" s="39"/>
      <c r="HY42" s="39"/>
      <c r="HZ42" s="39"/>
      <c r="IA42" s="39"/>
      <c r="IB42" s="39"/>
      <c r="IC42" s="39"/>
      <c r="ID42" s="41" t="b">
        <f aca="false">TRUE()</f>
        <v>1</v>
      </c>
      <c r="IE42" s="39"/>
      <c r="IF42" s="39"/>
      <c r="IG42" s="39"/>
      <c r="IH42" s="39"/>
      <c r="II42" s="39"/>
      <c r="IJ42" s="39"/>
      <c r="IK42" s="39"/>
      <c r="IL42" s="39"/>
      <c r="IM42" s="39"/>
      <c r="IN42" s="39"/>
      <c r="IO42" s="39"/>
      <c r="IP42" s="39"/>
      <c r="IQ42" s="39"/>
      <c r="IR42" s="39"/>
      <c r="IS42" s="39"/>
      <c r="IT42" s="39"/>
      <c r="IU42" s="39"/>
      <c r="IV42" s="39"/>
      <c r="IW42" s="39"/>
      <c r="IX42" s="39"/>
      <c r="IY42" s="39"/>
      <c r="IZ42" s="39"/>
      <c r="JA42" s="39"/>
      <c r="JB42" s="39"/>
      <c r="JC42" s="39"/>
      <c r="JD42" s="39"/>
      <c r="JE42" s="39"/>
      <c r="JF42" s="39"/>
      <c r="JG42" s="39"/>
      <c r="JH42" s="39"/>
      <c r="JI42" s="39"/>
      <c r="JJ42" s="39"/>
      <c r="JK42" s="39"/>
      <c r="JL42" s="39"/>
      <c r="JM42" s="39"/>
      <c r="JN42" s="39"/>
      <c r="JO42" s="39"/>
      <c r="JP42" s="39"/>
      <c r="JQ42" s="39"/>
      <c r="JR42" s="39"/>
      <c r="JS42" s="39"/>
      <c r="JT42" s="41" t="b">
        <f aca="false">TRUE()</f>
        <v>1</v>
      </c>
      <c r="JU42" s="39"/>
      <c r="JV42" s="39"/>
      <c r="JW42" s="39"/>
      <c r="JX42" s="39"/>
      <c r="JY42" s="39"/>
      <c r="JZ42" s="39"/>
      <c r="KA42" s="39"/>
      <c r="KB42" s="39"/>
      <c r="KC42" s="39"/>
      <c r="KD42" s="39"/>
      <c r="KE42" s="39"/>
      <c r="KF42" s="39"/>
      <c r="KG42" s="39"/>
      <c r="KH42" s="39"/>
      <c r="KI42" s="39"/>
      <c r="KJ42" s="41" t="b">
        <f aca="false">TRUE()</f>
        <v>1</v>
      </c>
      <c r="KK42" s="39"/>
      <c r="KL42" s="39"/>
      <c r="KM42" s="39"/>
      <c r="KN42" s="39"/>
      <c r="KO42" s="41" t="b">
        <f aca="false">TRUE()</f>
        <v>1</v>
      </c>
      <c r="KP42" s="39"/>
      <c r="KQ42" s="41" t="b">
        <f aca="false">TRUE()</f>
        <v>1</v>
      </c>
      <c r="KR42" s="41" t="b">
        <f aca="false">TRUE()</f>
        <v>1</v>
      </c>
      <c r="KS42" s="39"/>
      <c r="KT42" s="41" t="b">
        <f aca="false">TRUE()</f>
        <v>1</v>
      </c>
      <c r="KU42" s="39"/>
    </row>
    <row r="43" customFormat="false" ht="14.4" hidden="false" customHeight="false" outlineLevel="0" collapsed="false">
      <c r="A43" s="37" t="s">
        <v>305</v>
      </c>
      <c r="B43" s="37" t="s">
        <v>1223</v>
      </c>
      <c r="C43" s="37"/>
      <c r="D43" s="37"/>
      <c r="E43" s="37"/>
      <c r="F43" s="37" t="s">
        <v>1224</v>
      </c>
      <c r="G43" s="37" t="s">
        <v>1225</v>
      </c>
      <c r="H43" s="37" t="s">
        <v>1226</v>
      </c>
      <c r="I43" s="37" t="s">
        <v>310</v>
      </c>
      <c r="J43" s="37" t="s">
        <v>311</v>
      </c>
      <c r="K43" s="37"/>
      <c r="L43" s="37"/>
      <c r="M43" s="37"/>
      <c r="N43" s="37"/>
      <c r="O43" s="37" t="s">
        <v>1227</v>
      </c>
      <c r="P43" s="37" t="s">
        <v>1228</v>
      </c>
      <c r="Q43" s="37" t="s">
        <v>1229</v>
      </c>
      <c r="R43" s="37" t="s">
        <v>1230</v>
      </c>
      <c r="S43" s="37" t="s">
        <v>1231</v>
      </c>
      <c r="T43" s="37" t="s">
        <v>1232</v>
      </c>
      <c r="U43" s="37" t="s">
        <v>1233</v>
      </c>
      <c r="V43" s="37" t="s">
        <v>1234</v>
      </c>
      <c r="W43" s="37" t="s">
        <v>1235</v>
      </c>
      <c r="X43" s="37" t="s">
        <v>1236</v>
      </c>
      <c r="Y43" s="37" t="s">
        <v>1236</v>
      </c>
      <c r="Z43" s="37" t="s">
        <v>1237</v>
      </c>
      <c r="AA43" s="37" t="n">
        <v>74</v>
      </c>
      <c r="AB43" s="37" t="n">
        <v>24</v>
      </c>
      <c r="AC43" s="37" t="n">
        <v>24</v>
      </c>
      <c r="AD43" s="37" t="n">
        <v>9</v>
      </c>
      <c r="AE43" s="37" t="n">
        <v>73</v>
      </c>
      <c r="AF43" s="37" t="s">
        <v>1238</v>
      </c>
      <c r="AG43" s="37" t="s">
        <v>1239</v>
      </c>
      <c r="AH43" s="37" t="s">
        <v>1240</v>
      </c>
      <c r="AI43" s="37" t="s">
        <v>1241</v>
      </c>
      <c r="AJ43" s="37"/>
      <c r="AK43" s="37"/>
      <c r="AL43" s="37" t="s">
        <v>1226</v>
      </c>
      <c r="AM43" s="37" t="s">
        <v>1242</v>
      </c>
      <c r="AN43" s="37"/>
      <c r="AO43" s="37" t="n">
        <v>2021</v>
      </c>
      <c r="AP43" s="37" t="n">
        <v>9</v>
      </c>
      <c r="AQ43" s="37"/>
      <c r="AR43" s="37"/>
      <c r="AS43" s="37" t="n">
        <v>166695</v>
      </c>
      <c r="AT43" s="37" t="n">
        <v>166708</v>
      </c>
      <c r="AU43" s="37"/>
      <c r="AV43" s="37" t="s">
        <v>1243</v>
      </c>
      <c r="AW43" s="37" t="str">
        <f aca="false">HYPERLINK("http://dx.doi.org/10.1109/ACCESS.2021.3135362","http://dx.doi.org/10.1109/ACCESS.2021.3135362")</f>
        <v>http://dx.doi.org/10.1109/ACCESS.2021.3135362</v>
      </c>
      <c r="AX43" s="37"/>
      <c r="AY43" s="37" t="n">
        <v>14</v>
      </c>
      <c r="AZ43" s="37" t="s">
        <v>1008</v>
      </c>
      <c r="BA43" s="37" t="s">
        <v>331</v>
      </c>
      <c r="BB43" s="37" t="s">
        <v>1009</v>
      </c>
      <c r="BC43" s="37" t="s">
        <v>1244</v>
      </c>
      <c r="BD43" s="37"/>
      <c r="BE43" s="37" t="s">
        <v>503</v>
      </c>
      <c r="BF43" s="37" t="s">
        <v>334</v>
      </c>
      <c r="BG43" s="37" t="s">
        <v>1245</v>
      </c>
      <c r="BH43" s="37" t="str">
        <f aca="false">HYPERLINK("https%3A%2F%2Fwww.webofscience.com%2Fwos%2Fwoscc%2Ffull-record%2FWOS:000733935000001","View Full Record in Web of Science")</f>
        <v>View Full Record in Web of Science</v>
      </c>
      <c r="BI43" s="41" t="b">
        <f aca="false">TRUE()</f>
        <v>1</v>
      </c>
      <c r="BJ43" s="39"/>
      <c r="BK43" s="39"/>
      <c r="BL43" s="39"/>
      <c r="BM43" s="39"/>
      <c r="BN43" s="39"/>
      <c r="BO43" s="39"/>
      <c r="BP43" s="39"/>
      <c r="BQ43" s="39"/>
      <c r="BR43" s="41" t="b">
        <f aca="false">TRUE()</f>
        <v>1</v>
      </c>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41" t="b">
        <f aca="false">TRUE()</f>
        <v>1</v>
      </c>
      <c r="CT43" s="39"/>
      <c r="CU43" s="39"/>
      <c r="CV43" s="39"/>
      <c r="CW43" s="41" t="b">
        <f aca="false">TRUE()</f>
        <v>1</v>
      </c>
      <c r="CX43" s="39"/>
      <c r="CY43" s="39"/>
      <c r="CZ43" s="39"/>
      <c r="DA43" s="39"/>
      <c r="DB43" s="39"/>
      <c r="DC43" s="39"/>
      <c r="DD43" s="39"/>
      <c r="DE43" s="39"/>
      <c r="DF43" s="39"/>
      <c r="DG43" s="39"/>
      <c r="DH43" s="39"/>
      <c r="DI43" s="39"/>
      <c r="DJ43" s="39"/>
      <c r="DK43" s="39"/>
      <c r="DL43" s="41" t="b">
        <f aca="false">TRUE()</f>
        <v>1</v>
      </c>
      <c r="DM43" s="39"/>
      <c r="DN43" s="39"/>
      <c r="DO43" s="39"/>
      <c r="DP43" s="39"/>
      <c r="DQ43" s="39"/>
      <c r="DR43" s="39"/>
      <c r="DS43" s="39"/>
      <c r="DT43" s="39"/>
      <c r="DU43" s="39"/>
      <c r="DV43" s="39"/>
      <c r="DW43" s="39"/>
      <c r="DX43" s="39"/>
      <c r="DY43" s="39"/>
      <c r="DZ43" s="39"/>
      <c r="EA43" s="41" t="b">
        <f aca="false">TRUE()</f>
        <v>1</v>
      </c>
      <c r="EB43" s="39"/>
      <c r="EC43" s="39"/>
      <c r="ED43" s="39"/>
      <c r="EE43" s="39"/>
      <c r="EF43" s="39"/>
      <c r="EG43" s="39"/>
      <c r="EH43" s="39"/>
      <c r="EI43" s="39"/>
      <c r="EJ43" s="39"/>
      <c r="EK43" s="39"/>
      <c r="EL43" s="39"/>
      <c r="EM43" s="39"/>
      <c r="EN43" s="39"/>
      <c r="EO43" s="39"/>
      <c r="EP43" s="39"/>
      <c r="EQ43" s="41" t="b">
        <f aca="false">TRUE()</f>
        <v>1</v>
      </c>
      <c r="ER43" s="39"/>
      <c r="ES43" s="39"/>
      <c r="ET43" s="39"/>
      <c r="EU43" s="39"/>
      <c r="EV43" s="39"/>
      <c r="EW43" s="39"/>
      <c r="EX43" s="39"/>
      <c r="EY43" s="39"/>
      <c r="EZ43" s="39"/>
      <c r="FA43" s="39"/>
      <c r="FB43" s="39"/>
      <c r="FC43" s="39"/>
      <c r="FD43" s="39"/>
      <c r="FE43" s="39"/>
      <c r="FF43" s="39"/>
      <c r="FG43" s="39"/>
      <c r="FH43" s="39"/>
      <c r="FI43" s="39"/>
      <c r="FJ43" s="39"/>
      <c r="FK43" s="39"/>
      <c r="FL43" s="39"/>
      <c r="FM43" s="39"/>
      <c r="FN43" s="39"/>
      <c r="FO43" s="39"/>
      <c r="FP43" s="39"/>
      <c r="FQ43" s="39"/>
      <c r="FR43" s="39"/>
      <c r="FS43" s="39"/>
      <c r="FT43" s="39"/>
      <c r="FU43" s="39"/>
      <c r="FV43" s="39"/>
      <c r="FW43" s="39"/>
      <c r="FX43" s="39"/>
      <c r="FY43" s="39"/>
      <c r="FZ43" s="39"/>
      <c r="GA43" s="39"/>
      <c r="GB43" s="39"/>
      <c r="GC43" s="39"/>
      <c r="GD43" s="39"/>
      <c r="GE43" s="39"/>
      <c r="GF43" s="39"/>
      <c r="GG43" s="39"/>
      <c r="GH43" s="39"/>
      <c r="GI43" s="39"/>
      <c r="GJ43" s="39"/>
      <c r="GK43" s="39"/>
      <c r="GL43" s="39"/>
      <c r="GM43" s="39"/>
      <c r="GN43" s="41" t="b">
        <f aca="false">TRUE()</f>
        <v>1</v>
      </c>
      <c r="GO43" s="39"/>
      <c r="GP43" s="39"/>
      <c r="GQ43" s="39"/>
      <c r="GR43" s="39"/>
      <c r="GS43" s="39"/>
      <c r="GT43" s="39"/>
      <c r="GU43" s="39"/>
      <c r="GV43" s="39"/>
      <c r="GW43" s="39"/>
      <c r="GX43" s="39"/>
      <c r="GY43" s="39"/>
      <c r="GZ43" s="39"/>
      <c r="HA43" s="39"/>
      <c r="HB43" s="39"/>
      <c r="HC43" s="39"/>
      <c r="HD43" s="39"/>
      <c r="HE43" s="39"/>
      <c r="HF43" s="39"/>
      <c r="HG43" s="39"/>
      <c r="HH43" s="39"/>
      <c r="HI43" s="39"/>
      <c r="HJ43" s="39"/>
      <c r="HK43" s="41" t="b">
        <f aca="false">TRUE()</f>
        <v>1</v>
      </c>
      <c r="HL43" s="39"/>
      <c r="HM43" s="39"/>
      <c r="HN43" s="39"/>
      <c r="HO43" s="39"/>
      <c r="HP43" s="39"/>
      <c r="HQ43" s="39"/>
      <c r="HR43" s="39"/>
      <c r="HS43" s="39"/>
      <c r="HT43" s="39"/>
      <c r="HU43" s="39"/>
      <c r="HV43" s="39"/>
      <c r="HW43" s="39"/>
      <c r="HX43" s="39"/>
      <c r="HY43" s="39"/>
      <c r="HZ43" s="39"/>
      <c r="IA43" s="39"/>
      <c r="IB43" s="41" t="b">
        <f aca="false">TRUE()</f>
        <v>1</v>
      </c>
      <c r="IC43" s="39"/>
      <c r="ID43" s="39"/>
      <c r="IE43" s="39"/>
      <c r="IF43" s="39"/>
      <c r="IG43" s="39"/>
      <c r="IH43" s="39"/>
      <c r="II43" s="39"/>
      <c r="IJ43" s="39"/>
      <c r="IK43" s="39"/>
      <c r="IL43" s="39"/>
      <c r="IM43" s="39"/>
      <c r="IN43" s="39"/>
      <c r="IO43" s="39"/>
      <c r="IP43" s="39"/>
      <c r="IQ43" s="39"/>
      <c r="IR43" s="39"/>
      <c r="IS43" s="39"/>
      <c r="IT43" s="39"/>
      <c r="IU43" s="39"/>
      <c r="IV43" s="39"/>
      <c r="IW43" s="39"/>
      <c r="IX43" s="39"/>
      <c r="IY43" s="39"/>
      <c r="IZ43" s="39"/>
      <c r="JA43" s="39"/>
      <c r="JB43" s="39"/>
      <c r="JC43" s="39"/>
      <c r="JD43" s="39"/>
      <c r="JE43" s="39"/>
      <c r="JF43" s="39"/>
      <c r="JG43" s="39"/>
      <c r="JH43" s="39"/>
      <c r="JI43" s="39"/>
      <c r="JJ43" s="39"/>
      <c r="JK43" s="39"/>
      <c r="JL43" s="39"/>
      <c r="JM43" s="39"/>
      <c r="JN43" s="39"/>
      <c r="JO43" s="39"/>
      <c r="JP43" s="39"/>
      <c r="JQ43" s="39"/>
      <c r="JR43" s="39"/>
      <c r="JS43" s="39"/>
      <c r="JT43" s="39"/>
      <c r="JU43" s="41" t="b">
        <f aca="false">TRUE()</f>
        <v>1</v>
      </c>
      <c r="JV43" s="39"/>
      <c r="JW43" s="39"/>
      <c r="JX43" s="39"/>
      <c r="JY43" s="39"/>
      <c r="JZ43" s="39"/>
      <c r="KA43" s="39"/>
      <c r="KB43" s="39"/>
      <c r="KC43" s="39"/>
      <c r="KD43" s="39"/>
      <c r="KE43" s="39"/>
      <c r="KF43" s="39"/>
      <c r="KG43" s="39"/>
      <c r="KH43" s="39"/>
      <c r="KI43" s="39"/>
      <c r="KJ43" s="41" t="b">
        <f aca="false">TRUE()</f>
        <v>1</v>
      </c>
      <c r="KK43" s="39"/>
      <c r="KL43" s="39"/>
      <c r="KM43" s="39"/>
      <c r="KN43" s="39"/>
      <c r="KO43" s="41" t="b">
        <f aca="false">TRUE()</f>
        <v>1</v>
      </c>
      <c r="KP43" s="39"/>
      <c r="KQ43" s="41" t="b">
        <f aca="false">TRUE()</f>
        <v>1</v>
      </c>
      <c r="KR43" s="41" t="b">
        <f aca="false">TRUE()</f>
        <v>1</v>
      </c>
      <c r="KS43" s="39"/>
      <c r="KT43" s="41" t="b">
        <f aca="false">TRUE()</f>
        <v>1</v>
      </c>
      <c r="KU43" s="39"/>
    </row>
    <row r="44" customFormat="false" ht="14.4" hidden="false" customHeight="false" outlineLevel="0" collapsed="false">
      <c r="A44" s="37" t="s">
        <v>305</v>
      </c>
      <c r="B44" s="37" t="s">
        <v>1246</v>
      </c>
      <c r="C44" s="37"/>
      <c r="D44" s="37"/>
      <c r="E44" s="37"/>
      <c r="F44" s="37" t="s">
        <v>1247</v>
      </c>
      <c r="G44" s="37" t="s">
        <v>1248</v>
      </c>
      <c r="H44" s="37" t="s">
        <v>659</v>
      </c>
      <c r="I44" s="37" t="s">
        <v>310</v>
      </c>
      <c r="J44" s="37" t="s">
        <v>311</v>
      </c>
      <c r="K44" s="37"/>
      <c r="L44" s="37"/>
      <c r="M44" s="37"/>
      <c r="N44" s="37"/>
      <c r="O44" s="37" t="s">
        <v>1249</v>
      </c>
      <c r="P44" s="37" t="s">
        <v>1250</v>
      </c>
      <c r="Q44" s="37" t="s">
        <v>1251</v>
      </c>
      <c r="R44" s="37" t="s">
        <v>1252</v>
      </c>
      <c r="S44" s="37" t="s">
        <v>1253</v>
      </c>
      <c r="T44" s="37" t="s">
        <v>1254</v>
      </c>
      <c r="U44" s="37" t="s">
        <v>1255</v>
      </c>
      <c r="V44" s="37"/>
      <c r="W44" s="37" t="s">
        <v>1256</v>
      </c>
      <c r="X44" s="37" t="s">
        <v>1257</v>
      </c>
      <c r="Y44" s="37" t="s">
        <v>1258</v>
      </c>
      <c r="Z44" s="37" t="s">
        <v>1259</v>
      </c>
      <c r="AA44" s="37" t="n">
        <v>117</v>
      </c>
      <c r="AB44" s="37" t="n">
        <v>2</v>
      </c>
      <c r="AC44" s="37" t="n">
        <v>2</v>
      </c>
      <c r="AD44" s="37" t="n">
        <v>15</v>
      </c>
      <c r="AE44" s="37" t="n">
        <v>24</v>
      </c>
      <c r="AF44" s="37" t="s">
        <v>672</v>
      </c>
      <c r="AG44" s="37" t="s">
        <v>673</v>
      </c>
      <c r="AH44" s="37" t="s">
        <v>674</v>
      </c>
      <c r="AI44" s="37" t="s">
        <v>675</v>
      </c>
      <c r="AJ44" s="37" t="s">
        <v>676</v>
      </c>
      <c r="AK44" s="37"/>
      <c r="AL44" s="37" t="s">
        <v>677</v>
      </c>
      <c r="AM44" s="37" t="s">
        <v>678</v>
      </c>
      <c r="AN44" s="37" t="s">
        <v>380</v>
      </c>
      <c r="AO44" s="37" t="n">
        <v>2024</v>
      </c>
      <c r="AP44" s="37" t="n">
        <v>60</v>
      </c>
      <c r="AQ44" s="37" t="n">
        <v>4</v>
      </c>
      <c r="AR44" s="37"/>
      <c r="AS44" s="37"/>
      <c r="AT44" s="37"/>
      <c r="AU44" s="37" t="s">
        <v>1260</v>
      </c>
      <c r="AV44" s="37" t="s">
        <v>1261</v>
      </c>
      <c r="AW44" s="37" t="str">
        <f aca="false">HYPERLINK("http://dx.doi.org/10.1029/2023WR036313","http://dx.doi.org/10.1029/2023WR036313")</f>
        <v>http://dx.doi.org/10.1029/2023WR036313</v>
      </c>
      <c r="AX44" s="37"/>
      <c r="AY44" s="37" t="n">
        <v>27</v>
      </c>
      <c r="AZ44" s="37" t="s">
        <v>681</v>
      </c>
      <c r="BA44" s="37" t="s">
        <v>331</v>
      </c>
      <c r="BB44" s="37" t="s">
        <v>682</v>
      </c>
      <c r="BC44" s="37" t="s">
        <v>1262</v>
      </c>
      <c r="BD44" s="37"/>
      <c r="BE44" s="37" t="s">
        <v>684</v>
      </c>
      <c r="BF44" s="37" t="s">
        <v>334</v>
      </c>
      <c r="BG44" s="37" t="s">
        <v>1263</v>
      </c>
      <c r="BH44" s="37" t="str">
        <f aca="false">HYPERLINK("https%3A%2F%2Fwww.webofscience.com%2Fwos%2Fwoscc%2Ffull-record%2FWOS:001205966900001","View Full Record in Web of Science")</f>
        <v>View Full Record in Web of Science</v>
      </c>
      <c r="BI44" s="41" t="b">
        <f aca="false">TRUE()</f>
        <v>1</v>
      </c>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41" t="b">
        <f aca="false">TRUE()</f>
        <v>1</v>
      </c>
      <c r="CX44" s="39"/>
      <c r="CY44" s="39"/>
      <c r="CZ44" s="39"/>
      <c r="DA44" s="39"/>
      <c r="DB44" s="39"/>
      <c r="DC44" s="39"/>
      <c r="DD44" s="39"/>
      <c r="DE44" s="39"/>
      <c r="DF44" s="39"/>
      <c r="DG44" s="39"/>
      <c r="DH44" s="39"/>
      <c r="DI44" s="39"/>
      <c r="DJ44" s="39"/>
      <c r="DK44" s="39"/>
      <c r="DL44" s="39"/>
      <c r="DM44" s="39"/>
      <c r="DN44" s="39"/>
      <c r="DO44" s="39"/>
      <c r="DP44" s="39"/>
      <c r="DQ44" s="39"/>
      <c r="DR44" s="39"/>
      <c r="DS44" s="39"/>
      <c r="DT44" s="39"/>
      <c r="DU44" s="39"/>
      <c r="DV44" s="39"/>
      <c r="DW44" s="39"/>
      <c r="DX44" s="39"/>
      <c r="DY44" s="39"/>
      <c r="DZ44" s="39"/>
      <c r="EA44" s="41" t="b">
        <f aca="false">TRUE()</f>
        <v>1</v>
      </c>
      <c r="EB44" s="39"/>
      <c r="EC44" s="39"/>
      <c r="ED44" s="39"/>
      <c r="EE44" s="39"/>
      <c r="EF44" s="39"/>
      <c r="EG44" s="39"/>
      <c r="EH44" s="39"/>
      <c r="EI44" s="39"/>
      <c r="EJ44" s="39"/>
      <c r="EK44" s="39"/>
      <c r="EL44" s="39"/>
      <c r="EM44" s="39"/>
      <c r="EN44" s="39"/>
      <c r="EO44" s="39"/>
      <c r="EP44" s="39"/>
      <c r="EQ44" s="39"/>
      <c r="ER44" s="39"/>
      <c r="ES44" s="39"/>
      <c r="ET44" s="39"/>
      <c r="EU44" s="39"/>
      <c r="EV44" s="39"/>
      <c r="EW44" s="39"/>
      <c r="EX44" s="39"/>
      <c r="EY44" s="41" t="b">
        <f aca="false">TRUE()</f>
        <v>1</v>
      </c>
      <c r="EZ44" s="39"/>
      <c r="FA44" s="39"/>
      <c r="FB44" s="41" t="b">
        <f aca="false">TRUE()</f>
        <v>1</v>
      </c>
      <c r="FC44" s="39"/>
      <c r="FD44" s="39"/>
      <c r="FE44" s="39"/>
      <c r="FF44" s="39"/>
      <c r="FG44" s="39"/>
      <c r="FH44" s="39"/>
      <c r="FI44" s="39"/>
      <c r="FJ44" s="39"/>
      <c r="FK44" s="41" t="b">
        <f aca="false">TRUE()</f>
        <v>1</v>
      </c>
      <c r="FL44" s="39"/>
      <c r="FM44" s="41" t="b">
        <f aca="false">TRUE()</f>
        <v>1</v>
      </c>
      <c r="FN44" s="39"/>
      <c r="FO44" s="39"/>
      <c r="FP44" s="39"/>
      <c r="FQ44" s="39"/>
      <c r="FR44" s="39"/>
      <c r="FS44" s="39"/>
      <c r="FT44" s="39"/>
      <c r="FU44" s="39"/>
      <c r="FV44" s="41" t="b">
        <f aca="false">TRUE()</f>
        <v>1</v>
      </c>
      <c r="FW44" s="39"/>
      <c r="FX44" s="39"/>
      <c r="FY44" s="39"/>
      <c r="FZ44" s="39"/>
      <c r="GA44" s="39"/>
      <c r="GB44" s="39"/>
      <c r="GC44" s="41" t="b">
        <f aca="false">TRUE()</f>
        <v>1</v>
      </c>
      <c r="GD44" s="39"/>
      <c r="GE44" s="39"/>
      <c r="GF44" s="39"/>
      <c r="GG44" s="39"/>
      <c r="GH44" s="39"/>
      <c r="GI44" s="39"/>
      <c r="GJ44" s="39"/>
      <c r="GK44" s="39"/>
      <c r="GL44" s="39"/>
      <c r="GM44" s="39"/>
      <c r="GN44" s="39"/>
      <c r="GO44" s="39"/>
      <c r="GP44" s="39"/>
      <c r="GQ44" s="39"/>
      <c r="GR44" s="39"/>
      <c r="GS44" s="39"/>
      <c r="GT44" s="39"/>
      <c r="GU44" s="39"/>
      <c r="GV44" s="39"/>
      <c r="GW44" s="39"/>
      <c r="GX44" s="39"/>
      <c r="GY44" s="39"/>
      <c r="GZ44" s="39"/>
      <c r="HA44" s="39"/>
      <c r="HB44" s="39"/>
      <c r="HC44" s="39"/>
      <c r="HD44" s="39"/>
      <c r="HE44" s="39"/>
      <c r="HF44" s="39"/>
      <c r="HG44" s="39"/>
      <c r="HH44" s="39"/>
      <c r="HI44" s="39"/>
      <c r="HJ44" s="39"/>
      <c r="HK44" s="39"/>
      <c r="HL44" s="39"/>
      <c r="HM44" s="41" t="b">
        <f aca="false">TRUE()</f>
        <v>1</v>
      </c>
      <c r="HN44" s="39"/>
      <c r="HO44" s="39"/>
      <c r="HP44" s="39"/>
      <c r="HQ44" s="39"/>
      <c r="HR44" s="39"/>
      <c r="HS44" s="39"/>
      <c r="HT44" s="39"/>
      <c r="HU44" s="39"/>
      <c r="HV44" s="39"/>
      <c r="HW44" s="39"/>
      <c r="HX44" s="39"/>
      <c r="HY44" s="39"/>
      <c r="HZ44" s="39"/>
      <c r="IA44" s="39"/>
      <c r="IB44" s="39"/>
      <c r="IC44" s="41" t="b">
        <f aca="false">TRUE()</f>
        <v>1</v>
      </c>
      <c r="ID44" s="39"/>
      <c r="IE44" s="39"/>
      <c r="IF44" s="39"/>
      <c r="IG44" s="39"/>
      <c r="IH44" s="39"/>
      <c r="II44" s="39"/>
      <c r="IJ44" s="39"/>
      <c r="IK44" s="39"/>
      <c r="IL44" s="39"/>
      <c r="IM44" s="39"/>
      <c r="IN44" s="39"/>
      <c r="IO44" s="39"/>
      <c r="IP44" s="39"/>
      <c r="IQ44" s="39"/>
      <c r="IR44" s="39"/>
      <c r="IS44" s="39"/>
      <c r="IT44" s="39"/>
      <c r="IU44" s="39"/>
      <c r="IV44" s="39"/>
      <c r="IW44" s="39"/>
      <c r="IX44" s="39"/>
      <c r="IY44" s="39"/>
      <c r="IZ44" s="39"/>
      <c r="JA44" s="39"/>
      <c r="JB44" s="39"/>
      <c r="JC44" s="39"/>
      <c r="JD44" s="39"/>
      <c r="JE44" s="39"/>
      <c r="JF44" s="39"/>
      <c r="JG44" s="39"/>
      <c r="JH44" s="39"/>
      <c r="JI44" s="39"/>
      <c r="JJ44" s="39"/>
      <c r="JK44" s="39"/>
      <c r="JL44" s="39"/>
      <c r="JM44" s="39"/>
      <c r="JN44" s="39"/>
      <c r="JO44" s="39"/>
      <c r="JP44" s="39"/>
      <c r="JQ44" s="39"/>
      <c r="JR44" s="39"/>
      <c r="JS44" s="39"/>
      <c r="JT44" s="41" t="b">
        <f aca="false">TRUE()</f>
        <v>1</v>
      </c>
      <c r="JU44" s="39"/>
      <c r="JV44" s="39"/>
      <c r="JW44" s="39"/>
      <c r="JX44" s="39"/>
      <c r="JY44" s="39"/>
      <c r="JZ44" s="39"/>
      <c r="KA44" s="39"/>
      <c r="KB44" s="39"/>
      <c r="KC44" s="39"/>
      <c r="KD44" s="39"/>
      <c r="KE44" s="39"/>
      <c r="KF44" s="39"/>
      <c r="KG44" s="39"/>
      <c r="KH44" s="39"/>
      <c r="KI44" s="39"/>
      <c r="KJ44" s="41" t="b">
        <f aca="false">TRUE()</f>
        <v>1</v>
      </c>
      <c r="KK44" s="39"/>
      <c r="KL44" s="39"/>
      <c r="KM44" s="39"/>
      <c r="KN44" s="39"/>
      <c r="KO44" s="41" t="b">
        <f aca="false">TRUE()</f>
        <v>1</v>
      </c>
      <c r="KP44" s="41" t="b">
        <f aca="false">TRUE()</f>
        <v>1</v>
      </c>
      <c r="KQ44" s="41" t="b">
        <f aca="false">TRUE()</f>
        <v>1</v>
      </c>
      <c r="KR44" s="39"/>
      <c r="KS44" s="41" t="b">
        <f aca="false">TRUE()</f>
        <v>1</v>
      </c>
      <c r="KT44" s="39"/>
      <c r="KU44" s="39"/>
    </row>
    <row r="45" customFormat="false" ht="14.4" hidden="false" customHeight="false" outlineLevel="0" collapsed="false">
      <c r="A45" s="37" t="s">
        <v>305</v>
      </c>
      <c r="B45" s="37" t="s">
        <v>1264</v>
      </c>
      <c r="C45" s="37"/>
      <c r="D45" s="37"/>
      <c r="E45" s="37"/>
      <c r="F45" s="37" t="s">
        <v>1265</v>
      </c>
      <c r="G45" s="37" t="s">
        <v>1266</v>
      </c>
      <c r="H45" s="37" t="s">
        <v>340</v>
      </c>
      <c r="I45" s="37" t="s">
        <v>310</v>
      </c>
      <c r="J45" s="37" t="s">
        <v>311</v>
      </c>
      <c r="K45" s="37"/>
      <c r="L45" s="37"/>
      <c r="M45" s="37"/>
      <c r="N45" s="37"/>
      <c r="O45" s="37" t="s">
        <v>1267</v>
      </c>
      <c r="P45" s="37" t="s">
        <v>1268</v>
      </c>
      <c r="Q45" s="37" t="s">
        <v>1269</v>
      </c>
      <c r="R45" s="37" t="s">
        <v>1270</v>
      </c>
      <c r="S45" s="37" t="s">
        <v>1271</v>
      </c>
      <c r="T45" s="37" t="s">
        <v>1272</v>
      </c>
      <c r="U45" s="37" t="s">
        <v>1273</v>
      </c>
      <c r="V45" s="37" t="s">
        <v>1274</v>
      </c>
      <c r="W45" s="37"/>
      <c r="X45" s="37" t="s">
        <v>1275</v>
      </c>
      <c r="Y45" s="37" t="s">
        <v>1276</v>
      </c>
      <c r="Z45" s="37" t="s">
        <v>1277</v>
      </c>
      <c r="AA45" s="37" t="n">
        <v>44</v>
      </c>
      <c r="AB45" s="37" t="n">
        <v>48</v>
      </c>
      <c r="AC45" s="37" t="n">
        <v>49</v>
      </c>
      <c r="AD45" s="37" t="n">
        <v>10</v>
      </c>
      <c r="AE45" s="37" t="n">
        <v>101</v>
      </c>
      <c r="AF45" s="37" t="s">
        <v>353</v>
      </c>
      <c r="AG45" s="37" t="s">
        <v>354</v>
      </c>
      <c r="AH45" s="37" t="s">
        <v>355</v>
      </c>
      <c r="AI45" s="37" t="s">
        <v>356</v>
      </c>
      <c r="AJ45" s="37" t="s">
        <v>357</v>
      </c>
      <c r="AK45" s="37"/>
      <c r="AL45" s="37" t="s">
        <v>358</v>
      </c>
      <c r="AM45" s="37" t="s">
        <v>359</v>
      </c>
      <c r="AN45" s="37" t="s">
        <v>328</v>
      </c>
      <c r="AO45" s="37" t="n">
        <v>2022</v>
      </c>
      <c r="AP45" s="37" t="n">
        <v>604</v>
      </c>
      <c r="AQ45" s="37"/>
      <c r="AR45" s="37"/>
      <c r="AS45" s="37"/>
      <c r="AT45" s="37"/>
      <c r="AU45" s="37" t="n">
        <v>127207</v>
      </c>
      <c r="AV45" s="37" t="s">
        <v>1278</v>
      </c>
      <c r="AW45" s="37" t="str">
        <f aca="false">HYPERLINK("http://dx.doi.org/10.1016/j.jhydrol.2021.127207","http://dx.doi.org/10.1016/j.jhydrol.2021.127207")</f>
        <v>http://dx.doi.org/10.1016/j.jhydrol.2021.127207</v>
      </c>
      <c r="AX45" s="37" t="s">
        <v>1279</v>
      </c>
      <c r="AY45" s="37" t="n">
        <v>15</v>
      </c>
      <c r="AZ45" s="37" t="s">
        <v>362</v>
      </c>
      <c r="BA45" s="37" t="s">
        <v>331</v>
      </c>
      <c r="BB45" s="37" t="s">
        <v>363</v>
      </c>
      <c r="BC45" s="37" t="s">
        <v>1280</v>
      </c>
      <c r="BD45" s="37"/>
      <c r="BE45" s="37"/>
      <c r="BF45" s="37" t="s">
        <v>334</v>
      </c>
      <c r="BG45" s="37" t="s">
        <v>1281</v>
      </c>
      <c r="BH45" s="37" t="str">
        <f aca="false">HYPERLINK("https%3A%2F%2Fwww.webofscience.com%2Fwos%2Fwoscc%2Ffull-record%2FWOS:000731346400003","View Full Record in Web of Science")</f>
        <v>View Full Record in Web of Science</v>
      </c>
      <c r="BI45" s="39"/>
      <c r="BJ45" s="39"/>
      <c r="BK45" s="39"/>
      <c r="BL45" s="39"/>
      <c r="BM45" s="39"/>
      <c r="BN45" s="39"/>
      <c r="BO45" s="39"/>
      <c r="BP45" s="39"/>
      <c r="BQ45" s="39"/>
      <c r="BR45" s="39"/>
      <c r="BS45" s="39"/>
      <c r="BT45" s="39"/>
      <c r="BU45" s="39"/>
      <c r="BV45" s="39"/>
      <c r="BW45" s="39"/>
      <c r="BX45" s="39"/>
      <c r="BY45" s="41" t="b">
        <f aca="false">TRUE()</f>
        <v>1</v>
      </c>
      <c r="BZ45" s="39"/>
      <c r="CA45" s="39"/>
      <c r="CB45" s="39"/>
      <c r="CC45" s="39"/>
      <c r="CD45" s="39"/>
      <c r="CE45" s="39"/>
      <c r="CF45" s="39"/>
      <c r="CG45" s="41" t="b">
        <f aca="false">TRUE()</f>
        <v>1</v>
      </c>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41" t="b">
        <f aca="false">TRUE()</f>
        <v>1</v>
      </c>
      <c r="DN45" s="39"/>
      <c r="DO45" s="39"/>
      <c r="DP45" s="39"/>
      <c r="DQ45" s="39"/>
      <c r="DR45" s="39"/>
      <c r="DS45" s="39"/>
      <c r="DT45" s="39"/>
      <c r="DU45" s="39"/>
      <c r="DV45" s="39"/>
      <c r="DW45" s="39"/>
      <c r="DX45" s="39"/>
      <c r="DY45" s="39"/>
      <c r="DZ45" s="39"/>
      <c r="EA45" s="41" t="b">
        <f aca="false">TRUE()</f>
        <v>1</v>
      </c>
      <c r="EB45" s="39"/>
      <c r="EC45" s="39"/>
      <c r="ED45" s="39"/>
      <c r="EE45" s="39"/>
      <c r="EF45" s="39"/>
      <c r="EG45" s="39"/>
      <c r="EH45" s="39"/>
      <c r="EI45" s="41" t="b">
        <f aca="false">TRUE()</f>
        <v>1</v>
      </c>
      <c r="EJ45" s="39"/>
      <c r="EK45" s="39"/>
      <c r="EL45" s="39"/>
      <c r="EM45" s="39"/>
      <c r="EN45" s="39"/>
      <c r="EO45" s="39"/>
      <c r="EP45" s="39"/>
      <c r="EQ45" s="39"/>
      <c r="ER45" s="39"/>
      <c r="ES45" s="39"/>
      <c r="ET45" s="39"/>
      <c r="EU45" s="39"/>
      <c r="EV45" s="39"/>
      <c r="EW45" s="39"/>
      <c r="EX45" s="39"/>
      <c r="EY45" s="41" t="b">
        <f aca="false">TRUE()</f>
        <v>1</v>
      </c>
      <c r="EZ45" s="39"/>
      <c r="FA45" s="39"/>
      <c r="FB45" s="39"/>
      <c r="FC45" s="41" t="b">
        <f aca="false">TRUE()</f>
        <v>1</v>
      </c>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c r="GB45" s="39"/>
      <c r="GC45" s="39"/>
      <c r="GD45" s="39"/>
      <c r="GE45" s="39"/>
      <c r="GF45" s="39"/>
      <c r="GG45" s="39"/>
      <c r="GH45" s="39"/>
      <c r="GI45" s="39"/>
      <c r="GJ45" s="39"/>
      <c r="GK45" s="39"/>
      <c r="GL45" s="39"/>
      <c r="GM45" s="39"/>
      <c r="GN45" s="39"/>
      <c r="GO45" s="39"/>
      <c r="GP45" s="39"/>
      <c r="GQ45" s="39"/>
      <c r="GR45" s="39"/>
      <c r="GS45" s="39"/>
      <c r="GT45" s="39"/>
      <c r="GU45" s="39"/>
      <c r="GV45" s="39"/>
      <c r="GW45" s="39"/>
      <c r="GX45" s="39"/>
      <c r="GY45" s="39"/>
      <c r="GZ45" s="39"/>
      <c r="HA45" s="39"/>
      <c r="HB45" s="39"/>
      <c r="HC45" s="39"/>
      <c r="HD45" s="39"/>
      <c r="HE45" s="39"/>
      <c r="HF45" s="39"/>
      <c r="HG45" s="39"/>
      <c r="HH45" s="39"/>
      <c r="HI45" s="39"/>
      <c r="HJ45" s="39"/>
      <c r="HK45" s="41" t="b">
        <f aca="false">TRUE()</f>
        <v>1</v>
      </c>
      <c r="HL45" s="39"/>
      <c r="HM45" s="39"/>
      <c r="HN45" s="39"/>
      <c r="HO45" s="39"/>
      <c r="HP45" s="39"/>
      <c r="HQ45" s="39"/>
      <c r="HR45" s="39"/>
      <c r="HS45" s="39"/>
      <c r="HT45" s="39"/>
      <c r="HU45" s="39"/>
      <c r="HV45" s="39"/>
      <c r="HW45" s="39"/>
      <c r="HX45" s="39"/>
      <c r="HY45" s="39"/>
      <c r="HZ45" s="39"/>
      <c r="IA45" s="39"/>
      <c r="IB45" s="39"/>
      <c r="IC45" s="39"/>
      <c r="ID45" s="41" t="b">
        <f aca="false">TRUE()</f>
        <v>1</v>
      </c>
      <c r="IE45" s="39"/>
      <c r="IF45" s="39"/>
      <c r="IG45" s="39"/>
      <c r="IH45" s="39"/>
      <c r="II45" s="39"/>
      <c r="IJ45" s="39"/>
      <c r="IK45" s="39"/>
      <c r="IL45" s="39"/>
      <c r="IM45" s="39"/>
      <c r="IN45" s="39"/>
      <c r="IO45" s="39"/>
      <c r="IP45" s="39"/>
      <c r="IQ45" s="39"/>
      <c r="IR45" s="39"/>
      <c r="IS45" s="39"/>
      <c r="IT45" s="39"/>
      <c r="IU45" s="39"/>
      <c r="IV45" s="39"/>
      <c r="IW45" s="39"/>
      <c r="IX45" s="39"/>
      <c r="IY45" s="39"/>
      <c r="IZ45" s="39"/>
      <c r="JA45" s="39"/>
      <c r="JB45" s="39"/>
      <c r="JC45" s="39"/>
      <c r="JD45" s="39"/>
      <c r="JE45" s="39"/>
      <c r="JF45" s="39"/>
      <c r="JG45" s="39"/>
      <c r="JH45" s="39"/>
      <c r="JI45" s="39"/>
      <c r="JJ45" s="39"/>
      <c r="JK45" s="39"/>
      <c r="JL45" s="39"/>
      <c r="JM45" s="39"/>
      <c r="JN45" s="39"/>
      <c r="JO45" s="39"/>
      <c r="JP45" s="39"/>
      <c r="JQ45" s="39"/>
      <c r="JR45" s="39"/>
      <c r="JS45" s="39"/>
      <c r="JT45" s="41" t="b">
        <f aca="false">TRUE()</f>
        <v>1</v>
      </c>
      <c r="JU45" s="41" t="b">
        <f aca="false">TRUE()</f>
        <v>1</v>
      </c>
      <c r="JV45" s="39"/>
      <c r="JW45" s="39"/>
      <c r="JX45" s="39"/>
      <c r="JY45" s="39"/>
      <c r="JZ45" s="39"/>
      <c r="KA45" s="39"/>
      <c r="KB45" s="39"/>
      <c r="KC45" s="39"/>
      <c r="KD45" s="39"/>
      <c r="KE45" s="39"/>
      <c r="KF45" s="39"/>
      <c r="KG45" s="39"/>
      <c r="KH45" s="39"/>
      <c r="KI45" s="39"/>
      <c r="KJ45" s="39"/>
      <c r="KK45" s="39"/>
      <c r="KL45" s="39"/>
      <c r="KM45" s="39"/>
      <c r="KN45" s="39"/>
      <c r="KO45" s="39"/>
      <c r="KP45" s="39"/>
      <c r="KQ45" s="39"/>
      <c r="KR45" s="41" t="b">
        <f aca="false">TRUE()</f>
        <v>1</v>
      </c>
      <c r="KS45" s="39"/>
      <c r="KT45" s="41" t="b">
        <f aca="false">TRUE()</f>
        <v>1</v>
      </c>
      <c r="KU45" s="39"/>
    </row>
    <row r="46" customFormat="false" ht="14.4" hidden="false" customHeight="false" outlineLevel="0" collapsed="false">
      <c r="A46" s="45" t="s">
        <v>505</v>
      </c>
      <c r="B46" s="45" t="s">
        <v>1282</v>
      </c>
      <c r="C46" s="45"/>
      <c r="D46" s="45" t="s">
        <v>1283</v>
      </c>
      <c r="E46" s="45"/>
      <c r="F46" s="45" t="s">
        <v>1284</v>
      </c>
      <c r="G46" s="45" t="s">
        <v>1285</v>
      </c>
      <c r="H46" s="45" t="s">
        <v>1286</v>
      </c>
      <c r="I46" s="45" t="s">
        <v>310</v>
      </c>
      <c r="J46" s="45" t="s">
        <v>511</v>
      </c>
      <c r="K46" s="45" t="s">
        <v>1287</v>
      </c>
      <c r="L46" s="45" t="s">
        <v>1288</v>
      </c>
      <c r="M46" s="45" t="s">
        <v>1289</v>
      </c>
      <c r="N46" s="45" t="s">
        <v>1290</v>
      </c>
      <c r="O46" s="45" t="s">
        <v>1291</v>
      </c>
      <c r="P46" s="45" t="s">
        <v>1292</v>
      </c>
      <c r="Q46" s="45" t="s">
        <v>1293</v>
      </c>
      <c r="R46" s="45" t="s">
        <v>1294</v>
      </c>
      <c r="S46" s="45" t="s">
        <v>1295</v>
      </c>
      <c r="T46" s="45" t="s">
        <v>1296</v>
      </c>
      <c r="U46" s="45" t="s">
        <v>1297</v>
      </c>
      <c r="V46" s="45" t="s">
        <v>1298</v>
      </c>
      <c r="W46" s="45" t="s">
        <v>1299</v>
      </c>
      <c r="X46" s="45" t="s">
        <v>1300</v>
      </c>
      <c r="Y46" s="45" t="s">
        <v>1301</v>
      </c>
      <c r="Z46" s="45"/>
      <c r="AA46" s="45" t="n">
        <v>40</v>
      </c>
      <c r="AB46" s="45" t="n">
        <v>8</v>
      </c>
      <c r="AC46" s="45" t="n">
        <v>9</v>
      </c>
      <c r="AD46" s="45" t="n">
        <v>2</v>
      </c>
      <c r="AE46" s="45" t="n">
        <v>25</v>
      </c>
      <c r="AF46" s="45" t="s">
        <v>1302</v>
      </c>
      <c r="AG46" s="45" t="s">
        <v>1303</v>
      </c>
      <c r="AH46" s="45" t="s">
        <v>1304</v>
      </c>
      <c r="AI46" s="45" t="s">
        <v>1305</v>
      </c>
      <c r="AJ46" s="45" t="s">
        <v>1306</v>
      </c>
      <c r="AK46" s="45" t="s">
        <v>1307</v>
      </c>
      <c r="AL46" s="45" t="s">
        <v>1308</v>
      </c>
      <c r="AM46" s="45"/>
      <c r="AN46" s="45"/>
      <c r="AO46" s="45" t="n">
        <v>2020</v>
      </c>
      <c r="AP46" s="45" t="n">
        <v>11414</v>
      </c>
      <c r="AQ46" s="45"/>
      <c r="AR46" s="45"/>
      <c r="AS46" s="45"/>
      <c r="AT46" s="45"/>
      <c r="AU46" s="45" t="s">
        <v>1309</v>
      </c>
      <c r="AV46" s="45" t="s">
        <v>1310</v>
      </c>
      <c r="AW46" s="45" t="str">
        <f aca="false">HYPERLINK("http://dx.doi.org/10.1117/12.2558824","http://dx.doi.org/10.1117/12.2558824")</f>
        <v>http://dx.doi.org/10.1117/12.2558824</v>
      </c>
      <c r="AX46" s="45"/>
      <c r="AY46" s="45" t="n">
        <v>15</v>
      </c>
      <c r="AZ46" s="45" t="s">
        <v>1311</v>
      </c>
      <c r="BA46" s="45" t="s">
        <v>530</v>
      </c>
      <c r="BB46" s="45" t="s">
        <v>1312</v>
      </c>
      <c r="BC46" s="45" t="s">
        <v>1313</v>
      </c>
      <c r="BD46" s="45" t="n">
        <v>33762795</v>
      </c>
      <c r="BE46" s="45" t="s">
        <v>1314</v>
      </c>
      <c r="BF46" s="45" t="s">
        <v>334</v>
      </c>
      <c r="BG46" s="45" t="s">
        <v>1315</v>
      </c>
      <c r="BH46" s="45" t="str">
        <f aca="false">HYPERLINK("https%3A%2F%2Fwww.webofscience.com%2Fwos%2Fwoscc%2Ffull-record%2FWOS:000589984100008","View Full Record in Web of Science")</f>
        <v>View Full Record in Web of Science</v>
      </c>
      <c r="BI46" s="47"/>
      <c r="BJ46" s="47"/>
      <c r="BK46" s="47"/>
      <c r="BL46" s="47"/>
      <c r="BM46" s="47"/>
      <c r="BN46" s="47"/>
      <c r="BO46" s="52" t="b">
        <f aca="false">TRUE()</f>
        <v>1</v>
      </c>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52" t="b">
        <f aca="false">TRUE()</f>
        <v>1</v>
      </c>
      <c r="FL46" s="47"/>
      <c r="FM46" s="52" t="b">
        <f aca="false">TRUE()</f>
        <v>1</v>
      </c>
      <c r="FN46" s="47"/>
      <c r="FO46" s="47"/>
      <c r="FP46" s="47"/>
      <c r="FQ46" s="47"/>
      <c r="FR46" s="47"/>
      <c r="FS46" s="47"/>
      <c r="FT46" s="47"/>
      <c r="FU46" s="52" t="b">
        <f aca="false">TRUE()</f>
        <v>1</v>
      </c>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52" t="b">
        <f aca="false">TRUE()</f>
        <v>1</v>
      </c>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52" t="b">
        <f aca="false">TRUE()</f>
        <v>1</v>
      </c>
      <c r="ID46" s="47"/>
      <c r="IE46" s="47"/>
      <c r="IF46" s="47"/>
      <c r="IG46" s="47"/>
      <c r="IH46" s="47"/>
      <c r="II46" s="47"/>
      <c r="IJ46" s="47"/>
      <c r="IK46" s="47"/>
      <c r="IL46" s="47"/>
      <c r="IM46" s="47"/>
      <c r="IN46" s="47"/>
      <c r="IO46" s="47"/>
      <c r="IP46" s="47"/>
      <c r="IQ46" s="47"/>
      <c r="IR46" s="47"/>
      <c r="IS46" s="47"/>
      <c r="IT46" s="47"/>
      <c r="IU46" s="47"/>
      <c r="IV46" s="47"/>
      <c r="IW46" s="47"/>
      <c r="IX46" s="47"/>
      <c r="IY46" s="47"/>
      <c r="IZ46" s="47"/>
      <c r="JA46" s="47"/>
      <c r="JB46" s="47"/>
      <c r="JC46" s="47"/>
      <c r="JD46" s="47"/>
      <c r="JE46" s="47"/>
      <c r="JF46" s="47"/>
      <c r="JG46" s="47"/>
      <c r="JH46" s="47"/>
      <c r="JI46" s="47"/>
      <c r="JJ46" s="47"/>
      <c r="JK46" s="47"/>
      <c r="JL46" s="47"/>
      <c r="JM46" s="47"/>
      <c r="JN46" s="47"/>
      <c r="JO46" s="47"/>
      <c r="JP46" s="47"/>
      <c r="JQ46" s="47"/>
      <c r="JR46" s="47"/>
      <c r="JS46" s="47"/>
      <c r="JT46" s="52" t="b">
        <f aca="false">TRUE()</f>
        <v>1</v>
      </c>
      <c r="JU46" s="47"/>
      <c r="JV46" s="47"/>
      <c r="JW46" s="47"/>
      <c r="JX46" s="47"/>
      <c r="JY46" s="47"/>
      <c r="JZ46" s="47"/>
      <c r="KA46" s="47"/>
      <c r="KB46" s="47"/>
      <c r="KC46" s="47"/>
      <c r="KD46" s="47"/>
      <c r="KE46" s="47"/>
      <c r="KF46" s="47"/>
      <c r="KG46" s="47"/>
      <c r="KH46" s="47"/>
      <c r="KI46" s="47"/>
      <c r="KJ46" s="47"/>
      <c r="KK46" s="47"/>
      <c r="KL46" s="47"/>
      <c r="KM46" s="47"/>
      <c r="KN46" s="47"/>
      <c r="KO46" s="47"/>
      <c r="KP46" s="47"/>
      <c r="KQ46" s="52" t="b">
        <f aca="false">TRUE()</f>
        <v>1</v>
      </c>
      <c r="KR46" s="47"/>
      <c r="KS46" s="52" t="b">
        <f aca="false">TRUE()</f>
        <v>1</v>
      </c>
      <c r="KT46" s="47"/>
      <c r="KU46" s="47"/>
    </row>
    <row r="47" customFormat="false" ht="14.4" hidden="false" customHeight="false" outlineLevel="0" collapsed="false">
      <c r="A47" s="37" t="s">
        <v>305</v>
      </c>
      <c r="B47" s="37" t="s">
        <v>1316</v>
      </c>
      <c r="C47" s="37"/>
      <c r="D47" s="37"/>
      <c r="E47" s="37"/>
      <c r="F47" s="37" t="s">
        <v>1317</v>
      </c>
      <c r="G47" s="37" t="s">
        <v>1318</v>
      </c>
      <c r="H47" s="37" t="s">
        <v>733</v>
      </c>
      <c r="I47" s="37" t="s">
        <v>310</v>
      </c>
      <c r="J47" s="37" t="s">
        <v>311</v>
      </c>
      <c r="K47" s="37"/>
      <c r="L47" s="37"/>
      <c r="M47" s="37"/>
      <c r="N47" s="37"/>
      <c r="O47" s="37" t="s">
        <v>1319</v>
      </c>
      <c r="P47" s="37" t="s">
        <v>1320</v>
      </c>
      <c r="Q47" s="37" t="s">
        <v>1321</v>
      </c>
      <c r="R47" s="37" t="s">
        <v>1322</v>
      </c>
      <c r="S47" s="37" t="s">
        <v>1323</v>
      </c>
      <c r="T47" s="37" t="s">
        <v>1324</v>
      </c>
      <c r="U47" s="37" t="s">
        <v>1325</v>
      </c>
      <c r="V47" s="37"/>
      <c r="W47" s="37"/>
      <c r="X47" s="37" t="s">
        <v>1326</v>
      </c>
      <c r="Y47" s="37" t="s">
        <v>1327</v>
      </c>
      <c r="Z47" s="37" t="s">
        <v>1328</v>
      </c>
      <c r="AA47" s="37" t="n">
        <v>78</v>
      </c>
      <c r="AB47" s="37" t="n">
        <v>3</v>
      </c>
      <c r="AC47" s="37" t="n">
        <v>3</v>
      </c>
      <c r="AD47" s="37" t="n">
        <v>13</v>
      </c>
      <c r="AE47" s="37" t="n">
        <v>29</v>
      </c>
      <c r="AF47" s="37" t="s">
        <v>353</v>
      </c>
      <c r="AG47" s="37" t="s">
        <v>354</v>
      </c>
      <c r="AH47" s="37" t="s">
        <v>355</v>
      </c>
      <c r="AI47" s="37" t="s">
        <v>745</v>
      </c>
      <c r="AJ47" s="37" t="s">
        <v>746</v>
      </c>
      <c r="AK47" s="37"/>
      <c r="AL47" s="37" t="s">
        <v>747</v>
      </c>
      <c r="AM47" s="37" t="s">
        <v>748</v>
      </c>
      <c r="AN47" s="37" t="s">
        <v>1329</v>
      </c>
      <c r="AO47" s="37" t="n">
        <v>2024</v>
      </c>
      <c r="AP47" s="37" t="n">
        <v>291</v>
      </c>
      <c r="AQ47" s="37"/>
      <c r="AR47" s="37"/>
      <c r="AS47" s="37"/>
      <c r="AT47" s="37"/>
      <c r="AU47" s="37" t="n">
        <v>108627</v>
      </c>
      <c r="AV47" s="37" t="s">
        <v>1330</v>
      </c>
      <c r="AW47" s="37" t="str">
        <f aca="false">HYPERLINK("http://dx.doi.org/10.1016/j.agwat.2023.108627","http://dx.doi.org/10.1016/j.agwat.2023.108627")</f>
        <v>http://dx.doi.org/10.1016/j.agwat.2023.108627</v>
      </c>
      <c r="AX47" s="37" t="s">
        <v>1331</v>
      </c>
      <c r="AY47" s="37" t="n">
        <v>16</v>
      </c>
      <c r="AZ47" s="37" t="s">
        <v>438</v>
      </c>
      <c r="BA47" s="37" t="s">
        <v>331</v>
      </c>
      <c r="BB47" s="37" t="s">
        <v>439</v>
      </c>
      <c r="BC47" s="37" t="s">
        <v>1332</v>
      </c>
      <c r="BD47" s="37"/>
      <c r="BE47" s="37" t="s">
        <v>684</v>
      </c>
      <c r="BF47" s="37" t="s">
        <v>334</v>
      </c>
      <c r="BG47" s="37" t="s">
        <v>1333</v>
      </c>
      <c r="BH47" s="37" t="str">
        <f aca="false">HYPERLINK("https%3A%2F%2Fwww.webofscience.com%2Fwos%2Fwoscc%2Ffull-record%2FWOS:001134502600001","View Full Record in Web of Science")</f>
        <v>View Full Record in Web of Science</v>
      </c>
      <c r="BI47" s="41" t="b">
        <f aca="false">TRUE()</f>
        <v>1</v>
      </c>
      <c r="BJ47" s="39"/>
      <c r="BK47" s="39"/>
      <c r="BL47" s="39"/>
      <c r="BM47" s="39"/>
      <c r="BN47" s="41" t="b">
        <f aca="false">TRUE()</f>
        <v>1</v>
      </c>
      <c r="BO47" s="39"/>
      <c r="BP47" s="39"/>
      <c r="BQ47" s="39"/>
      <c r="BR47" s="41" t="b">
        <f aca="false">TRUE()</f>
        <v>1</v>
      </c>
      <c r="BS47" s="41" t="b">
        <f aca="false">TRUE()</f>
        <v>1</v>
      </c>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c r="DI47" s="39"/>
      <c r="DJ47" s="39"/>
      <c r="DK47" s="39"/>
      <c r="DL47" s="39"/>
      <c r="DM47" s="39"/>
      <c r="DN47" s="39"/>
      <c r="DO47" s="39"/>
      <c r="DP47" s="39"/>
      <c r="DQ47" s="39"/>
      <c r="DR47" s="39"/>
      <c r="DS47" s="39"/>
      <c r="DT47" s="39"/>
      <c r="DU47" s="39"/>
      <c r="DV47" s="39"/>
      <c r="DW47" s="39"/>
      <c r="DX47" s="39"/>
      <c r="DY47" s="39"/>
      <c r="DZ47" s="39"/>
      <c r="EA47" s="39"/>
      <c r="EB47" s="39"/>
      <c r="EC47" s="41" t="b">
        <f aca="false">TRUE()</f>
        <v>1</v>
      </c>
      <c r="ED47" s="39"/>
      <c r="EE47" s="39"/>
      <c r="EF47" s="39"/>
      <c r="EG47" s="39"/>
      <c r="EH47" s="39"/>
      <c r="EI47" s="39"/>
      <c r="EJ47" s="39"/>
      <c r="EK47" s="39"/>
      <c r="EL47" s="39"/>
      <c r="EM47" s="39"/>
      <c r="EN47" s="41" t="b">
        <f aca="false">TRUE()</f>
        <v>1</v>
      </c>
      <c r="EO47" s="39"/>
      <c r="EP47" s="39"/>
      <c r="EQ47" s="39"/>
      <c r="ER47" s="39"/>
      <c r="ES47" s="39"/>
      <c r="ET47" s="39"/>
      <c r="EU47" s="39"/>
      <c r="EV47" s="39"/>
      <c r="EW47" s="39"/>
      <c r="EX47" s="39"/>
      <c r="EY47" s="39"/>
      <c r="EZ47" s="39"/>
      <c r="FA47" s="39"/>
      <c r="FB47" s="39"/>
      <c r="FC47" s="39"/>
      <c r="FD47" s="39"/>
      <c r="FE47" s="39"/>
      <c r="FF47" s="39"/>
      <c r="FG47" s="39"/>
      <c r="FH47" s="39"/>
      <c r="FI47" s="39"/>
      <c r="FJ47" s="39"/>
      <c r="FK47" s="39"/>
      <c r="FL47" s="39"/>
      <c r="FM47" s="39"/>
      <c r="FN47" s="39"/>
      <c r="FO47" s="39"/>
      <c r="FP47" s="39"/>
      <c r="FQ47" s="39"/>
      <c r="FR47" s="39"/>
      <c r="FS47" s="39"/>
      <c r="FT47" s="39"/>
      <c r="FU47" s="39"/>
      <c r="FV47" s="39"/>
      <c r="FW47" s="39"/>
      <c r="FX47" s="39"/>
      <c r="FY47" s="39"/>
      <c r="FZ47" s="39"/>
      <c r="GA47" s="39"/>
      <c r="GB47" s="39"/>
      <c r="GC47" s="39"/>
      <c r="GD47" s="39"/>
      <c r="GE47" s="39"/>
      <c r="GF47" s="39"/>
      <c r="GG47" s="39"/>
      <c r="GH47" s="39"/>
      <c r="GI47" s="39"/>
      <c r="GJ47" s="39"/>
      <c r="GK47" s="39"/>
      <c r="GL47" s="39"/>
      <c r="GM47" s="39"/>
      <c r="GN47" s="39"/>
      <c r="GO47" s="39"/>
      <c r="GP47" s="39"/>
      <c r="GQ47" s="39"/>
      <c r="GR47" s="39"/>
      <c r="GS47" s="39"/>
      <c r="GT47" s="39"/>
      <c r="GU47" s="39"/>
      <c r="GV47" s="39"/>
      <c r="GW47" s="39"/>
      <c r="GX47" s="39"/>
      <c r="GY47" s="39"/>
      <c r="GZ47" s="39"/>
      <c r="HA47" s="39"/>
      <c r="HB47" s="39"/>
      <c r="HC47" s="39"/>
      <c r="HD47" s="39"/>
      <c r="HE47" s="39"/>
      <c r="HF47" s="39"/>
      <c r="HG47" s="39"/>
      <c r="HH47" s="39"/>
      <c r="HI47" s="39"/>
      <c r="HJ47" s="39"/>
      <c r="HK47" s="39"/>
      <c r="HL47" s="39"/>
      <c r="HM47" s="39"/>
      <c r="HN47" s="39"/>
      <c r="HO47" s="39"/>
      <c r="HP47" s="39"/>
      <c r="HQ47" s="39"/>
      <c r="HR47" s="39"/>
      <c r="HS47" s="39"/>
      <c r="HT47" s="39"/>
      <c r="HU47" s="39"/>
      <c r="HV47" s="39"/>
      <c r="HW47" s="39"/>
      <c r="HX47" s="39"/>
      <c r="HY47" s="39"/>
      <c r="HZ47" s="39"/>
      <c r="IA47" s="39"/>
      <c r="IB47" s="39"/>
      <c r="IC47" s="39"/>
      <c r="ID47" s="39"/>
      <c r="IE47" s="39"/>
      <c r="IF47" s="39"/>
      <c r="IG47" s="39"/>
      <c r="IH47" s="39"/>
      <c r="II47" s="39"/>
      <c r="IJ47" s="39"/>
      <c r="IK47" s="39"/>
      <c r="IL47" s="39"/>
      <c r="IM47" s="39"/>
      <c r="IN47" s="39"/>
      <c r="IO47" s="39"/>
      <c r="IP47" s="39"/>
      <c r="IQ47" s="39"/>
      <c r="IR47" s="39"/>
      <c r="IS47" s="39"/>
      <c r="IT47" s="39"/>
      <c r="IU47" s="39"/>
      <c r="IV47" s="39"/>
      <c r="IW47" s="39"/>
      <c r="IX47" s="39"/>
      <c r="IY47" s="39"/>
      <c r="IZ47" s="39"/>
      <c r="JA47" s="39"/>
      <c r="JB47" s="39"/>
      <c r="JC47" s="39"/>
      <c r="JD47" s="39"/>
      <c r="JE47" s="39"/>
      <c r="JF47" s="39"/>
      <c r="JG47" s="39"/>
      <c r="JH47" s="41" t="b">
        <f aca="false">TRUE()</f>
        <v>1</v>
      </c>
      <c r="JI47" s="39"/>
      <c r="JJ47" s="39"/>
      <c r="JK47" s="39"/>
      <c r="JL47" s="39"/>
      <c r="JM47" s="39"/>
      <c r="JN47" s="39"/>
      <c r="JO47" s="39"/>
      <c r="JP47" s="39"/>
      <c r="JQ47" s="39"/>
      <c r="JR47" s="39"/>
      <c r="JS47" s="39"/>
      <c r="JT47" s="41" t="b">
        <f aca="false">TRUE()</f>
        <v>1</v>
      </c>
      <c r="JU47" s="41" t="b">
        <f aca="false">TRUE()</f>
        <v>1</v>
      </c>
      <c r="JV47" s="39"/>
      <c r="JW47" s="39"/>
      <c r="JX47" s="39"/>
      <c r="JY47" s="39"/>
      <c r="JZ47" s="39"/>
      <c r="KA47" s="39"/>
      <c r="KB47" s="39"/>
      <c r="KC47" s="39"/>
      <c r="KD47" s="39"/>
      <c r="KE47" s="39"/>
      <c r="KF47" s="39"/>
      <c r="KG47" s="39"/>
      <c r="KH47" s="39"/>
      <c r="KI47" s="39"/>
      <c r="KJ47" s="41" t="b">
        <f aca="false">TRUE()</f>
        <v>1</v>
      </c>
      <c r="KK47" s="39"/>
      <c r="KL47" s="39"/>
      <c r="KM47" s="39"/>
      <c r="KN47" s="39"/>
      <c r="KO47" s="41" t="b">
        <f aca="false">TRUE()</f>
        <v>1</v>
      </c>
      <c r="KP47" s="39"/>
      <c r="KQ47" s="41" t="b">
        <f aca="false">TRUE()</f>
        <v>1</v>
      </c>
      <c r="KR47" s="39"/>
      <c r="KS47" s="39"/>
      <c r="KT47" s="41" t="b">
        <f aca="false">TRUE()</f>
        <v>1</v>
      </c>
      <c r="KU47" s="39"/>
    </row>
    <row r="48" customFormat="false" ht="14.4" hidden="false" customHeight="false" outlineLevel="0" collapsed="false">
      <c r="A48" s="37" t="s">
        <v>305</v>
      </c>
      <c r="B48" s="37" t="s">
        <v>1334</v>
      </c>
      <c r="C48" s="37"/>
      <c r="D48" s="37"/>
      <c r="E48" s="37"/>
      <c r="F48" s="37" t="s">
        <v>1335</v>
      </c>
      <c r="G48" s="37" t="s">
        <v>1336</v>
      </c>
      <c r="H48" s="37" t="s">
        <v>1337</v>
      </c>
      <c r="I48" s="37" t="s">
        <v>310</v>
      </c>
      <c r="J48" s="37" t="s">
        <v>311</v>
      </c>
      <c r="K48" s="37"/>
      <c r="L48" s="37"/>
      <c r="M48" s="37"/>
      <c r="N48" s="37"/>
      <c r="O48" s="37" t="s">
        <v>1338</v>
      </c>
      <c r="P48" s="37" t="s">
        <v>1339</v>
      </c>
      <c r="Q48" s="37" t="s">
        <v>1340</v>
      </c>
      <c r="R48" s="37" t="s">
        <v>1341</v>
      </c>
      <c r="S48" s="37" t="s">
        <v>1342</v>
      </c>
      <c r="T48" s="37" t="s">
        <v>1192</v>
      </c>
      <c r="U48" s="37" t="s">
        <v>1193</v>
      </c>
      <c r="V48" s="37" t="s">
        <v>1343</v>
      </c>
      <c r="W48" s="37" t="s">
        <v>1344</v>
      </c>
      <c r="X48" s="37"/>
      <c r="Y48" s="37"/>
      <c r="Z48" s="37"/>
      <c r="AA48" s="37" t="n">
        <v>87</v>
      </c>
      <c r="AB48" s="37" t="n">
        <v>40</v>
      </c>
      <c r="AC48" s="37" t="n">
        <v>40</v>
      </c>
      <c r="AD48" s="37" t="n">
        <v>0</v>
      </c>
      <c r="AE48" s="37" t="n">
        <v>26</v>
      </c>
      <c r="AF48" s="37" t="s">
        <v>1345</v>
      </c>
      <c r="AG48" s="37" t="s">
        <v>1346</v>
      </c>
      <c r="AH48" s="37" t="s">
        <v>1347</v>
      </c>
      <c r="AI48" s="37" t="s">
        <v>1348</v>
      </c>
      <c r="AJ48" s="37" t="s">
        <v>1349</v>
      </c>
      <c r="AK48" s="37"/>
      <c r="AL48" s="37" t="s">
        <v>1350</v>
      </c>
      <c r="AM48" s="37" t="s">
        <v>1351</v>
      </c>
      <c r="AN48" s="37" t="s">
        <v>408</v>
      </c>
      <c r="AO48" s="37" t="n">
        <v>2021</v>
      </c>
      <c r="AP48" s="37" t="n">
        <v>8</v>
      </c>
      <c r="AQ48" s="37" t="n">
        <v>4</v>
      </c>
      <c r="AR48" s="37"/>
      <c r="AS48" s="37" t="n">
        <v>1567</v>
      </c>
      <c r="AT48" s="37" t="n">
        <v>1599</v>
      </c>
      <c r="AU48" s="37"/>
      <c r="AV48" s="37" t="s">
        <v>1352</v>
      </c>
      <c r="AW48" s="37" t="str">
        <f aca="false">HYPERLINK("http://dx.doi.org/10.1007/s40710-021-00543-x","http://dx.doi.org/10.1007/s40710-021-00543-x")</f>
        <v>http://dx.doi.org/10.1007/s40710-021-00543-x</v>
      </c>
      <c r="AX48" s="37" t="s">
        <v>1353</v>
      </c>
      <c r="AY48" s="37" t="n">
        <v>33</v>
      </c>
      <c r="AZ48" s="37" t="s">
        <v>1354</v>
      </c>
      <c r="BA48" s="37" t="s">
        <v>575</v>
      </c>
      <c r="BB48" s="37" t="s">
        <v>1355</v>
      </c>
      <c r="BC48" s="37" t="s">
        <v>1356</v>
      </c>
      <c r="BD48" s="37"/>
      <c r="BE48" s="37" t="s">
        <v>365</v>
      </c>
      <c r="BF48" s="37" t="s">
        <v>334</v>
      </c>
      <c r="BG48" s="37" t="s">
        <v>1357</v>
      </c>
      <c r="BH48" s="37" t="str">
        <f aca="false">HYPERLINK("https%3A%2F%2Fwww.webofscience.com%2Fwos%2Fwoscc%2Ffull-record%2FWOS:000702804400001","View Full Record in Web of Science")</f>
        <v>View Full Record in Web of Science</v>
      </c>
      <c r="BI48" s="41" t="b">
        <f aca="false">TRUE()</f>
        <v>1</v>
      </c>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41" t="b">
        <f aca="false">TRUE()</f>
        <v>1</v>
      </c>
      <c r="CX48" s="39"/>
      <c r="CY48" s="39"/>
      <c r="CZ48" s="39"/>
      <c r="DA48" s="41" t="b">
        <f aca="false">TRUE()</f>
        <v>1</v>
      </c>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41" t="b">
        <f aca="false">TRUE()</f>
        <v>1</v>
      </c>
      <c r="EB48" s="39"/>
      <c r="EC48" s="39"/>
      <c r="ED48" s="39"/>
      <c r="EE48" s="39"/>
      <c r="EF48" s="39"/>
      <c r="EG48" s="39"/>
      <c r="EH48" s="39"/>
      <c r="EI48" s="41" t="b">
        <f aca="false">TRUE()</f>
        <v>1</v>
      </c>
      <c r="EJ48" s="39"/>
      <c r="EK48" s="39"/>
      <c r="EL48" s="39"/>
      <c r="EM48" s="39"/>
      <c r="EN48" s="39"/>
      <c r="EO48" s="39"/>
      <c r="EP48" s="39"/>
      <c r="EQ48" s="39"/>
      <c r="ER48" s="39"/>
      <c r="ES48" s="39"/>
      <c r="ET48" s="39"/>
      <c r="EU48" s="39"/>
      <c r="EV48" s="39"/>
      <c r="EW48" s="39"/>
      <c r="EX48" s="39"/>
      <c r="EY48" s="41" t="b">
        <f aca="false">TRUE()</f>
        <v>1</v>
      </c>
      <c r="EZ48" s="39"/>
      <c r="FA48" s="39"/>
      <c r="FB48" s="39"/>
      <c r="FC48" s="41" t="b">
        <f aca="false">TRUE()</f>
        <v>1</v>
      </c>
      <c r="FD48" s="39"/>
      <c r="FE48" s="39"/>
      <c r="FF48" s="39"/>
      <c r="FG48" s="39"/>
      <c r="FH48" s="39"/>
      <c r="FI48" s="39"/>
      <c r="FJ48" s="39"/>
      <c r="FK48" s="39"/>
      <c r="FL48" s="39"/>
      <c r="FM48" s="39"/>
      <c r="FN48" s="39"/>
      <c r="FO48" s="39"/>
      <c r="FP48" s="39"/>
      <c r="FQ48" s="39"/>
      <c r="FR48" s="39"/>
      <c r="FS48" s="39"/>
      <c r="FT48" s="39"/>
      <c r="FU48" s="39"/>
      <c r="FV48" s="39"/>
      <c r="FW48" s="39"/>
      <c r="FX48" s="39"/>
      <c r="FY48" s="39"/>
      <c r="FZ48" s="39"/>
      <c r="GA48" s="39"/>
      <c r="GB48" s="39"/>
      <c r="GC48" s="39"/>
      <c r="GD48" s="39"/>
      <c r="GE48" s="39"/>
      <c r="GF48" s="39"/>
      <c r="GG48" s="39"/>
      <c r="GH48" s="39"/>
      <c r="GI48" s="39"/>
      <c r="GJ48" s="39"/>
      <c r="GK48" s="39"/>
      <c r="GL48" s="39"/>
      <c r="GM48" s="39"/>
      <c r="GN48" s="39"/>
      <c r="GO48" s="39"/>
      <c r="GP48" s="39"/>
      <c r="GQ48" s="39"/>
      <c r="GR48" s="39"/>
      <c r="GS48" s="39"/>
      <c r="GT48" s="39"/>
      <c r="GU48" s="39"/>
      <c r="GV48" s="39"/>
      <c r="GW48" s="39"/>
      <c r="GX48" s="39"/>
      <c r="GY48" s="39"/>
      <c r="GZ48" s="39"/>
      <c r="HA48" s="41" t="b">
        <f aca="false">TRUE()</f>
        <v>1</v>
      </c>
      <c r="HB48" s="39"/>
      <c r="HC48" s="39"/>
      <c r="HD48" s="39"/>
      <c r="HE48" s="39"/>
      <c r="HF48" s="39"/>
      <c r="HG48" s="39"/>
      <c r="HH48" s="39"/>
      <c r="HI48" s="39"/>
      <c r="HJ48" s="39"/>
      <c r="HK48" s="39"/>
      <c r="HL48" s="39"/>
      <c r="HM48" s="39"/>
      <c r="HN48" s="39"/>
      <c r="HO48" s="39"/>
      <c r="HP48" s="39"/>
      <c r="HQ48" s="39"/>
      <c r="HR48" s="39"/>
      <c r="HS48" s="39"/>
      <c r="HT48" s="39"/>
      <c r="HU48" s="39"/>
      <c r="HV48" s="39"/>
      <c r="HW48" s="39"/>
      <c r="HX48" s="39"/>
      <c r="HY48" s="39"/>
      <c r="HZ48" s="39"/>
      <c r="IA48" s="39"/>
      <c r="IB48" s="39"/>
      <c r="IC48" s="41" t="b">
        <f aca="false">TRUE()</f>
        <v>1</v>
      </c>
      <c r="ID48" s="39"/>
      <c r="IE48" s="39"/>
      <c r="IF48" s="39"/>
      <c r="IG48" s="39"/>
      <c r="IH48" s="39"/>
      <c r="II48" s="39"/>
      <c r="IJ48" s="39"/>
      <c r="IK48" s="39"/>
      <c r="IL48" s="39"/>
      <c r="IM48" s="39"/>
      <c r="IN48" s="39"/>
      <c r="IO48" s="39"/>
      <c r="IP48" s="39"/>
      <c r="IQ48" s="39"/>
      <c r="IR48" s="39"/>
      <c r="IS48" s="39"/>
      <c r="IT48" s="39"/>
      <c r="IU48" s="39"/>
      <c r="IV48" s="39"/>
      <c r="IW48" s="39"/>
      <c r="IX48" s="39"/>
      <c r="IY48" s="39"/>
      <c r="IZ48" s="39"/>
      <c r="JA48" s="39"/>
      <c r="JB48" s="39"/>
      <c r="JC48" s="39"/>
      <c r="JD48" s="39"/>
      <c r="JE48" s="39"/>
      <c r="JF48" s="39"/>
      <c r="JG48" s="39"/>
      <c r="JH48" s="39"/>
      <c r="JI48" s="39"/>
      <c r="JJ48" s="39"/>
      <c r="JK48" s="39"/>
      <c r="JL48" s="39"/>
      <c r="JM48" s="39"/>
      <c r="JN48" s="39"/>
      <c r="JO48" s="39"/>
      <c r="JP48" s="39"/>
      <c r="JQ48" s="39"/>
      <c r="JR48" s="39"/>
      <c r="JS48" s="39"/>
      <c r="JT48" s="41" t="b">
        <f aca="false">TRUE()</f>
        <v>1</v>
      </c>
      <c r="JU48" s="39"/>
      <c r="JV48" s="39"/>
      <c r="JW48" s="39"/>
      <c r="JX48" s="39"/>
      <c r="JY48" s="39"/>
      <c r="JZ48" s="39"/>
      <c r="KA48" s="39"/>
      <c r="KB48" s="39"/>
      <c r="KC48" s="41" t="b">
        <f aca="false">TRUE()</f>
        <v>1</v>
      </c>
      <c r="KD48" s="39"/>
      <c r="KE48" s="39"/>
      <c r="KF48" s="39"/>
      <c r="KG48" s="39"/>
      <c r="KH48" s="39"/>
      <c r="KI48" s="39"/>
      <c r="KJ48" s="41" t="b">
        <f aca="false">TRUE()</f>
        <v>1</v>
      </c>
      <c r="KK48" s="39"/>
      <c r="KL48" s="39"/>
      <c r="KM48" s="39"/>
      <c r="KN48" s="39"/>
      <c r="KO48" s="41" t="b">
        <f aca="false">TRUE()</f>
        <v>1</v>
      </c>
      <c r="KP48" s="41" t="b">
        <f aca="false">TRUE()</f>
        <v>1</v>
      </c>
      <c r="KQ48" s="41" t="b">
        <f aca="false">TRUE()</f>
        <v>1</v>
      </c>
      <c r="KR48" s="39"/>
      <c r="KS48" s="41" t="b">
        <f aca="false">TRUE()</f>
        <v>1</v>
      </c>
      <c r="KT48" s="39"/>
      <c r="KU48" s="39"/>
    </row>
    <row r="49" customFormat="false" ht="14.4" hidden="false" customHeight="false" outlineLevel="0" collapsed="false">
      <c r="A49" s="37" t="s">
        <v>305</v>
      </c>
      <c r="B49" s="37" t="s">
        <v>1358</v>
      </c>
      <c r="C49" s="37"/>
      <c r="D49" s="37"/>
      <c r="E49" s="37"/>
      <c r="F49" s="37" t="s">
        <v>1359</v>
      </c>
      <c r="G49" s="37" t="s">
        <v>1360</v>
      </c>
      <c r="H49" s="37" t="s">
        <v>1143</v>
      </c>
      <c r="I49" s="37" t="s">
        <v>310</v>
      </c>
      <c r="J49" s="37" t="s">
        <v>311</v>
      </c>
      <c r="K49" s="37"/>
      <c r="L49" s="37"/>
      <c r="M49" s="37"/>
      <c r="N49" s="37"/>
      <c r="O49" s="37" t="s">
        <v>1361</v>
      </c>
      <c r="P49" s="37" t="s">
        <v>1362</v>
      </c>
      <c r="Q49" s="37" t="s">
        <v>1363</v>
      </c>
      <c r="R49" s="37" t="s">
        <v>1364</v>
      </c>
      <c r="S49" s="37" t="s">
        <v>1365</v>
      </c>
      <c r="T49" s="37" t="s">
        <v>1366</v>
      </c>
      <c r="U49" s="37" t="s">
        <v>1367</v>
      </c>
      <c r="V49" s="37" t="s">
        <v>1368</v>
      </c>
      <c r="W49" s="37" t="s">
        <v>1369</v>
      </c>
      <c r="X49" s="37" t="s">
        <v>1370</v>
      </c>
      <c r="Y49" s="37" t="s">
        <v>1371</v>
      </c>
      <c r="Z49" s="37" t="s">
        <v>1372</v>
      </c>
      <c r="AA49" s="37" t="n">
        <v>50</v>
      </c>
      <c r="AB49" s="37" t="n">
        <v>6</v>
      </c>
      <c r="AC49" s="37" t="n">
        <v>6</v>
      </c>
      <c r="AD49" s="37" t="n">
        <v>1</v>
      </c>
      <c r="AE49" s="37" t="n">
        <v>4</v>
      </c>
      <c r="AF49" s="37" t="s">
        <v>321</v>
      </c>
      <c r="AG49" s="37" t="s">
        <v>322</v>
      </c>
      <c r="AH49" s="37" t="s">
        <v>323</v>
      </c>
      <c r="AI49" s="37" t="s">
        <v>1151</v>
      </c>
      <c r="AJ49" s="37" t="s">
        <v>1152</v>
      </c>
      <c r="AK49" s="37"/>
      <c r="AL49" s="37" t="s">
        <v>1153</v>
      </c>
      <c r="AM49" s="37" t="s">
        <v>1154</v>
      </c>
      <c r="AN49" s="37" t="s">
        <v>380</v>
      </c>
      <c r="AO49" s="37" t="n">
        <v>2024</v>
      </c>
      <c r="AP49" s="37" t="n">
        <v>10</v>
      </c>
      <c r="AQ49" s="37" t="n">
        <v>2</v>
      </c>
      <c r="AR49" s="37"/>
      <c r="AS49" s="37" t="n">
        <v>1915</v>
      </c>
      <c r="AT49" s="37" t="n">
        <v>1939</v>
      </c>
      <c r="AU49" s="37"/>
      <c r="AV49" s="37" t="s">
        <v>1373</v>
      </c>
      <c r="AW49" s="37" t="str">
        <f aca="false">HYPERLINK("http://dx.doi.org/10.1007/s40808-023-01872-6","http://dx.doi.org/10.1007/s40808-023-01872-6")</f>
        <v>http://dx.doi.org/10.1007/s40808-023-01872-6</v>
      </c>
      <c r="AX49" s="37" t="s">
        <v>1374</v>
      </c>
      <c r="AY49" s="37" t="n">
        <v>25</v>
      </c>
      <c r="AZ49" s="37" t="s">
        <v>500</v>
      </c>
      <c r="BA49" s="37" t="s">
        <v>575</v>
      </c>
      <c r="BB49" s="37" t="s">
        <v>501</v>
      </c>
      <c r="BC49" s="37" t="s">
        <v>1375</v>
      </c>
      <c r="BD49" s="37"/>
      <c r="BE49" s="37"/>
      <c r="BF49" s="37" t="s">
        <v>334</v>
      </c>
      <c r="BG49" s="37" t="s">
        <v>1376</v>
      </c>
      <c r="BH49" s="37" t="str">
        <f aca="false">HYPERLINK("https%3A%2F%2Fwww.webofscience.com%2Fwos%2Fwoscc%2Ffull-record%2FWOS:001088170100001","View Full Record in Web of Science")</f>
        <v>View Full Record in Web of Science</v>
      </c>
      <c r="BI49" s="39"/>
      <c r="BJ49" s="39"/>
      <c r="BK49" s="39"/>
      <c r="BL49" s="39"/>
      <c r="BM49" s="39"/>
      <c r="BN49" s="39"/>
      <c r="BO49" s="39"/>
      <c r="BP49" s="39"/>
      <c r="BQ49" s="39"/>
      <c r="BR49" s="41" t="b">
        <f aca="false">TRUE()</f>
        <v>1</v>
      </c>
      <c r="BS49" s="39"/>
      <c r="BT49" s="41" t="b">
        <f aca="false">TRUE()</f>
        <v>1</v>
      </c>
      <c r="BU49" s="39"/>
      <c r="BV49" s="39"/>
      <c r="BW49" s="39"/>
      <c r="BX49" s="39"/>
      <c r="BY49" s="41" t="b">
        <f aca="false">TRUE()</f>
        <v>1</v>
      </c>
      <c r="BZ49" s="39"/>
      <c r="CA49" s="39"/>
      <c r="CB49" s="39"/>
      <c r="CC49" s="39"/>
      <c r="CD49" s="39"/>
      <c r="CE49" s="39"/>
      <c r="CF49" s="39"/>
      <c r="CG49" s="39"/>
      <c r="CH49" s="39"/>
      <c r="CI49" s="39"/>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c r="DI49" s="39"/>
      <c r="DJ49" s="39"/>
      <c r="DK49" s="39"/>
      <c r="DL49" s="39"/>
      <c r="DM49" s="39"/>
      <c r="DN49" s="39"/>
      <c r="DO49" s="39"/>
      <c r="DP49" s="39"/>
      <c r="DQ49" s="39"/>
      <c r="DR49" s="39"/>
      <c r="DS49" s="39"/>
      <c r="DT49" s="39"/>
      <c r="DU49" s="39"/>
      <c r="DV49" s="39"/>
      <c r="DW49" s="39"/>
      <c r="DX49" s="39"/>
      <c r="DY49" s="39"/>
      <c r="DZ49" s="39"/>
      <c r="EA49" s="41" t="b">
        <f aca="false">TRUE()</f>
        <v>1</v>
      </c>
      <c r="EB49" s="41" t="b">
        <f aca="false">TRUE()</f>
        <v>1</v>
      </c>
      <c r="EC49" s="39"/>
      <c r="ED49" s="39"/>
      <c r="EE49" s="39"/>
      <c r="EF49" s="39"/>
      <c r="EG49" s="39"/>
      <c r="EH49" s="39"/>
      <c r="EI49" s="41" t="b">
        <f aca="false">TRUE()</f>
        <v>1</v>
      </c>
      <c r="EJ49" s="39"/>
      <c r="EK49" s="39"/>
      <c r="EL49" s="39"/>
      <c r="EM49" s="39"/>
      <c r="EN49" s="39"/>
      <c r="EO49" s="39"/>
      <c r="EP49" s="39"/>
      <c r="EQ49" s="39"/>
      <c r="ER49" s="39"/>
      <c r="ES49" s="39"/>
      <c r="ET49" s="39"/>
      <c r="EU49" s="39"/>
      <c r="EV49" s="39"/>
      <c r="EW49" s="39"/>
      <c r="EX49" s="39"/>
      <c r="EY49" s="41" t="b">
        <f aca="false">TRUE()</f>
        <v>1</v>
      </c>
      <c r="EZ49" s="39"/>
      <c r="FA49" s="39"/>
      <c r="FB49" s="39"/>
      <c r="FC49" s="39"/>
      <c r="FD49" s="39"/>
      <c r="FE49" s="39"/>
      <c r="FF49" s="39"/>
      <c r="FG49" s="39"/>
      <c r="FH49" s="39"/>
      <c r="FI49" s="39"/>
      <c r="FJ49" s="39"/>
      <c r="FK49" s="39"/>
      <c r="FL49" s="39"/>
      <c r="FM49" s="39"/>
      <c r="FN49" s="39"/>
      <c r="FO49" s="39"/>
      <c r="FP49" s="39"/>
      <c r="FQ49" s="39"/>
      <c r="FR49" s="39"/>
      <c r="FS49" s="39"/>
      <c r="FT49" s="39"/>
      <c r="FU49" s="39"/>
      <c r="FV49" s="39"/>
      <c r="FW49" s="39"/>
      <c r="FX49" s="39"/>
      <c r="FY49" s="39"/>
      <c r="FZ49" s="39"/>
      <c r="GA49" s="39"/>
      <c r="GB49" s="39"/>
      <c r="GC49" s="41" t="b">
        <f aca="false">TRUE()</f>
        <v>1</v>
      </c>
      <c r="GD49" s="39"/>
      <c r="GE49" s="39"/>
      <c r="GF49" s="39"/>
      <c r="GG49" s="39"/>
      <c r="GH49" s="39"/>
      <c r="GI49" s="39"/>
      <c r="GJ49" s="39"/>
      <c r="GK49" s="39"/>
      <c r="GL49" s="39"/>
      <c r="GM49" s="39"/>
      <c r="GN49" s="39"/>
      <c r="GO49" s="39"/>
      <c r="GP49" s="39"/>
      <c r="GQ49" s="39"/>
      <c r="GR49" s="39"/>
      <c r="GS49" s="39"/>
      <c r="GT49" s="39"/>
      <c r="GU49" s="39"/>
      <c r="GV49" s="39"/>
      <c r="GW49" s="39"/>
      <c r="GX49" s="39"/>
      <c r="GY49" s="39"/>
      <c r="GZ49" s="39"/>
      <c r="HA49" s="39"/>
      <c r="HB49" s="39"/>
      <c r="HC49" s="39"/>
      <c r="HD49" s="39"/>
      <c r="HE49" s="39"/>
      <c r="HF49" s="39"/>
      <c r="HG49" s="39"/>
      <c r="HH49" s="39"/>
      <c r="HI49" s="39"/>
      <c r="HJ49" s="39"/>
      <c r="HK49" s="41" t="b">
        <f aca="false">TRUE()</f>
        <v>1</v>
      </c>
      <c r="HL49" s="39"/>
      <c r="HM49" s="39"/>
      <c r="HN49" s="39"/>
      <c r="HO49" s="39"/>
      <c r="HP49" s="39"/>
      <c r="HQ49" s="39"/>
      <c r="HR49" s="39"/>
      <c r="HS49" s="39"/>
      <c r="HT49" s="39"/>
      <c r="HU49" s="39"/>
      <c r="HV49" s="39"/>
      <c r="HW49" s="39"/>
      <c r="HX49" s="39"/>
      <c r="HY49" s="39"/>
      <c r="HZ49" s="39"/>
      <c r="IA49" s="39"/>
      <c r="IB49" s="39"/>
      <c r="IC49" s="39"/>
      <c r="ID49" s="39"/>
      <c r="IE49" s="39"/>
      <c r="IF49" s="39"/>
      <c r="IG49" s="39"/>
      <c r="IH49" s="39"/>
      <c r="II49" s="39"/>
      <c r="IJ49" s="39"/>
      <c r="IK49" s="39"/>
      <c r="IL49" s="39"/>
      <c r="IM49" s="39"/>
      <c r="IN49" s="39"/>
      <c r="IO49" s="39"/>
      <c r="IP49" s="39"/>
      <c r="IQ49" s="39"/>
      <c r="IR49" s="39"/>
      <c r="IS49" s="39"/>
      <c r="IT49" s="39"/>
      <c r="IU49" s="39"/>
      <c r="IV49" s="39"/>
      <c r="IW49" s="39"/>
      <c r="IX49" s="39"/>
      <c r="IY49" s="41" t="b">
        <f aca="false">TRUE()</f>
        <v>1</v>
      </c>
      <c r="IZ49" s="39"/>
      <c r="JA49" s="39"/>
      <c r="JB49" s="39"/>
      <c r="JC49" s="39"/>
      <c r="JD49" s="39"/>
      <c r="JE49" s="39"/>
      <c r="JF49" s="39"/>
      <c r="JG49" s="39"/>
      <c r="JH49" s="39"/>
      <c r="JI49" s="39"/>
      <c r="JJ49" s="39"/>
      <c r="JK49" s="39"/>
      <c r="JL49" s="39"/>
      <c r="JM49" s="39"/>
      <c r="JN49" s="39"/>
      <c r="JO49" s="39"/>
      <c r="JP49" s="39"/>
      <c r="JQ49" s="39"/>
      <c r="JR49" s="39"/>
      <c r="JS49" s="39"/>
      <c r="JT49" s="41" t="b">
        <f aca="false">TRUE()</f>
        <v>1</v>
      </c>
      <c r="JU49" s="39"/>
      <c r="JV49" s="39"/>
      <c r="JW49" s="39"/>
      <c r="JX49" s="39"/>
      <c r="JY49" s="39"/>
      <c r="JZ49" s="39"/>
      <c r="KA49" s="39"/>
      <c r="KB49" s="39"/>
      <c r="KC49" s="39"/>
      <c r="KD49" s="39"/>
      <c r="KE49" s="39"/>
      <c r="KF49" s="39"/>
      <c r="KG49" s="39"/>
      <c r="KH49" s="39"/>
      <c r="KI49" s="39"/>
      <c r="KJ49" s="41" t="b">
        <f aca="false">TRUE()</f>
        <v>1</v>
      </c>
      <c r="KK49" s="39"/>
      <c r="KL49" s="39"/>
      <c r="KM49" s="39"/>
      <c r="KN49" s="39"/>
      <c r="KO49" s="41" t="b">
        <f aca="false">TRUE()</f>
        <v>1</v>
      </c>
      <c r="KP49" s="39"/>
      <c r="KQ49" s="41" t="b">
        <f aca="false">TRUE()</f>
        <v>1</v>
      </c>
      <c r="KR49" s="39"/>
      <c r="KS49" s="41" t="b">
        <f aca="false">TRUE()</f>
        <v>1</v>
      </c>
      <c r="KT49" s="39"/>
      <c r="KU49" s="39"/>
    </row>
    <row r="50" customFormat="false" ht="14.4" hidden="false" customHeight="false" outlineLevel="0" collapsed="false">
      <c r="A50" s="37" t="s">
        <v>305</v>
      </c>
      <c r="B50" s="37" t="s">
        <v>1377</v>
      </c>
      <c r="C50" s="37"/>
      <c r="D50" s="37"/>
      <c r="E50" s="37"/>
      <c r="F50" s="37" t="s">
        <v>1378</v>
      </c>
      <c r="G50" s="37" t="s">
        <v>1379</v>
      </c>
      <c r="H50" s="37" t="s">
        <v>854</v>
      </c>
      <c r="I50" s="37" t="s">
        <v>310</v>
      </c>
      <c r="J50" s="37" t="s">
        <v>311</v>
      </c>
      <c r="K50" s="37"/>
      <c r="L50" s="37"/>
      <c r="M50" s="37"/>
      <c r="N50" s="37"/>
      <c r="O50" s="37" t="s">
        <v>1380</v>
      </c>
      <c r="P50" s="37" t="s">
        <v>1381</v>
      </c>
      <c r="Q50" s="37" t="s">
        <v>1382</v>
      </c>
      <c r="R50" s="37" t="s">
        <v>1383</v>
      </c>
      <c r="S50" s="37" t="s">
        <v>1384</v>
      </c>
      <c r="T50" s="37" t="s">
        <v>1385</v>
      </c>
      <c r="U50" s="37" t="s">
        <v>1386</v>
      </c>
      <c r="V50" s="37" t="s">
        <v>1387</v>
      </c>
      <c r="W50" s="37" t="s">
        <v>1388</v>
      </c>
      <c r="X50" s="37" t="s">
        <v>1389</v>
      </c>
      <c r="Y50" s="37" t="s">
        <v>1389</v>
      </c>
      <c r="Z50" s="37" t="s">
        <v>1390</v>
      </c>
      <c r="AA50" s="37" t="n">
        <v>101</v>
      </c>
      <c r="AB50" s="37" t="n">
        <v>0</v>
      </c>
      <c r="AC50" s="37" t="n">
        <v>0</v>
      </c>
      <c r="AD50" s="37" t="n">
        <v>2</v>
      </c>
      <c r="AE50" s="37" t="n">
        <v>2</v>
      </c>
      <c r="AF50" s="37" t="s">
        <v>353</v>
      </c>
      <c r="AG50" s="37" t="s">
        <v>354</v>
      </c>
      <c r="AH50" s="37" t="s">
        <v>355</v>
      </c>
      <c r="AI50" s="37"/>
      <c r="AJ50" s="37" t="s">
        <v>867</v>
      </c>
      <c r="AK50" s="37"/>
      <c r="AL50" s="37" t="s">
        <v>868</v>
      </c>
      <c r="AM50" s="37" t="s">
        <v>869</v>
      </c>
      <c r="AN50" s="37" t="s">
        <v>380</v>
      </c>
      <c r="AO50" s="37" t="n">
        <v>2025</v>
      </c>
      <c r="AP50" s="37" t="n">
        <v>58</v>
      </c>
      <c r="AQ50" s="37"/>
      <c r="AR50" s="37"/>
      <c r="AS50" s="37"/>
      <c r="AT50" s="37"/>
      <c r="AU50" s="37" t="n">
        <v>102271</v>
      </c>
      <c r="AV50" s="37" t="s">
        <v>1391</v>
      </c>
      <c r="AW50" s="37" t="str">
        <f aca="false">HYPERLINK("http://dx.doi.org/10.1016/j.ejrh.2025.102271","http://dx.doi.org/10.1016/j.ejrh.2025.102271")</f>
        <v>http://dx.doi.org/10.1016/j.ejrh.2025.102271</v>
      </c>
      <c r="AX50" s="37"/>
      <c r="AY50" s="37" t="n">
        <v>23</v>
      </c>
      <c r="AZ50" s="37" t="s">
        <v>727</v>
      </c>
      <c r="BA50" s="37" t="s">
        <v>331</v>
      </c>
      <c r="BB50" s="37" t="s">
        <v>727</v>
      </c>
      <c r="BC50" s="37" t="s">
        <v>1392</v>
      </c>
      <c r="BD50" s="37"/>
      <c r="BE50" s="37"/>
      <c r="BF50" s="37" t="s">
        <v>334</v>
      </c>
      <c r="BG50" s="37" t="s">
        <v>1393</v>
      </c>
      <c r="BH50" s="37" t="str">
        <f aca="false">HYPERLINK("https%3A%2F%2Fwww.webofscience.com%2Fwos%2Fwoscc%2Ffull-record%2FWOS:001436920400001","View Full Record in Web of Science")</f>
        <v>View Full Record in Web of Science</v>
      </c>
      <c r="BI50" s="39"/>
      <c r="BJ50" s="39"/>
      <c r="BK50" s="39"/>
      <c r="BL50" s="39"/>
      <c r="BM50" s="39"/>
      <c r="BN50" s="39"/>
      <c r="BO50" s="39"/>
      <c r="BP50" s="39"/>
      <c r="BQ50" s="39"/>
      <c r="BR50" s="39"/>
      <c r="BS50" s="39"/>
      <c r="BT50" s="39"/>
      <c r="BU50" s="39"/>
      <c r="BV50" s="39"/>
      <c r="BW50" s="39"/>
      <c r="BX50" s="39"/>
      <c r="BY50" s="39"/>
      <c r="BZ50" s="39"/>
      <c r="CA50" s="39"/>
      <c r="CB50" s="41" t="b">
        <f aca="false">TRUE()</f>
        <v>1</v>
      </c>
      <c r="CC50" s="41" t="b">
        <f aca="false">TRUE()</f>
        <v>1</v>
      </c>
      <c r="CD50" s="39"/>
      <c r="CE50" s="39"/>
      <c r="CF50" s="39"/>
      <c r="CG50" s="39"/>
      <c r="CH50" s="39"/>
      <c r="CI50" s="39"/>
      <c r="CJ50" s="39"/>
      <c r="CK50" s="41" t="b">
        <f aca="false">TRUE()</f>
        <v>1</v>
      </c>
      <c r="CL50" s="39"/>
      <c r="CM50" s="39"/>
      <c r="CN50" s="39"/>
      <c r="CO50" s="39"/>
      <c r="CP50" s="39"/>
      <c r="CQ50" s="39"/>
      <c r="CR50" s="39"/>
      <c r="CS50" s="39"/>
      <c r="CT50" s="39"/>
      <c r="CU50" s="39"/>
      <c r="CV50" s="39"/>
      <c r="CW50" s="39"/>
      <c r="CX50" s="39"/>
      <c r="CY50" s="39"/>
      <c r="CZ50" s="39"/>
      <c r="DA50" s="39"/>
      <c r="DB50" s="39"/>
      <c r="DC50" s="39"/>
      <c r="DD50" s="39"/>
      <c r="DE50" s="39"/>
      <c r="DF50" s="39"/>
      <c r="DG50" s="39"/>
      <c r="DH50" s="39"/>
      <c r="DI50" s="39"/>
      <c r="DJ50" s="39"/>
      <c r="DK50" s="39"/>
      <c r="DL50" s="39"/>
      <c r="DM50" s="39"/>
      <c r="DN50" s="39"/>
      <c r="DO50" s="39"/>
      <c r="DP50" s="39"/>
      <c r="DQ50" s="39"/>
      <c r="DR50" s="39"/>
      <c r="DS50" s="39"/>
      <c r="DT50" s="39"/>
      <c r="DU50" s="39"/>
      <c r="DV50" s="39"/>
      <c r="DW50" s="39"/>
      <c r="DX50" s="39"/>
      <c r="DY50" s="39"/>
      <c r="DZ50" s="39"/>
      <c r="EA50" s="41" t="b">
        <f aca="false">TRUE()</f>
        <v>1</v>
      </c>
      <c r="EB50" s="41" t="b">
        <f aca="false">TRUE()</f>
        <v>1</v>
      </c>
      <c r="EC50" s="39"/>
      <c r="ED50" s="39"/>
      <c r="EE50" s="39"/>
      <c r="EF50" s="39"/>
      <c r="EG50" s="39"/>
      <c r="EH50" s="39"/>
      <c r="EI50" s="39"/>
      <c r="EJ50" s="39"/>
      <c r="EK50" s="39"/>
      <c r="EL50" s="39"/>
      <c r="EM50" s="39"/>
      <c r="EN50" s="39"/>
      <c r="EO50" s="39"/>
      <c r="EP50" s="39"/>
      <c r="EQ50" s="39"/>
      <c r="ER50" s="39"/>
      <c r="ES50" s="39"/>
      <c r="ET50" s="39"/>
      <c r="EU50" s="39"/>
      <c r="EV50" s="39"/>
      <c r="EW50" s="39"/>
      <c r="EX50" s="39"/>
      <c r="EY50" s="41" t="b">
        <f aca="false">TRUE()</f>
        <v>1</v>
      </c>
      <c r="EZ50" s="39"/>
      <c r="FA50" s="39"/>
      <c r="FB50" s="39"/>
      <c r="FC50" s="39"/>
      <c r="FD50" s="39"/>
      <c r="FE50" s="39"/>
      <c r="FF50" s="39"/>
      <c r="FG50" s="39"/>
      <c r="FH50" s="39"/>
      <c r="FI50" s="39"/>
      <c r="FJ50" s="39"/>
      <c r="FK50" s="39"/>
      <c r="FL50" s="39"/>
      <c r="FM50" s="39"/>
      <c r="FN50" s="39"/>
      <c r="FO50" s="39"/>
      <c r="FP50" s="39"/>
      <c r="FQ50" s="39"/>
      <c r="FR50" s="39"/>
      <c r="FS50" s="39"/>
      <c r="FT50" s="39"/>
      <c r="FU50" s="39"/>
      <c r="FV50" s="39"/>
      <c r="FW50" s="39"/>
      <c r="FX50" s="39"/>
      <c r="FY50" s="39"/>
      <c r="FZ50" s="39"/>
      <c r="GA50" s="39"/>
      <c r="GB50" s="39"/>
      <c r="GC50" s="39"/>
      <c r="GD50" s="39"/>
      <c r="GE50" s="39"/>
      <c r="GF50" s="39"/>
      <c r="GG50" s="39"/>
      <c r="GH50" s="39"/>
      <c r="GI50" s="39"/>
      <c r="GJ50" s="39"/>
      <c r="GK50" s="39"/>
      <c r="GL50" s="39"/>
      <c r="GM50" s="39"/>
      <c r="GN50" s="39"/>
      <c r="GO50" s="39"/>
      <c r="GP50" s="39"/>
      <c r="GQ50" s="39"/>
      <c r="GR50" s="41" t="b">
        <f aca="false">TRUE()</f>
        <v>1</v>
      </c>
      <c r="GS50" s="39"/>
      <c r="GT50" s="39"/>
      <c r="GU50" s="39"/>
      <c r="GV50" s="39"/>
      <c r="GW50" s="39"/>
      <c r="GX50" s="39"/>
      <c r="GY50" s="39"/>
      <c r="GZ50" s="39"/>
      <c r="HA50" s="39"/>
      <c r="HB50" s="39"/>
      <c r="HC50" s="39"/>
      <c r="HD50" s="39"/>
      <c r="HE50" s="39"/>
      <c r="HF50" s="39"/>
      <c r="HG50" s="39"/>
      <c r="HH50" s="39"/>
      <c r="HI50" s="39"/>
      <c r="HJ50" s="39"/>
      <c r="HK50" s="41" t="b">
        <f aca="false">TRUE()</f>
        <v>1</v>
      </c>
      <c r="HL50" s="39"/>
      <c r="HM50" s="39"/>
      <c r="HN50" s="39"/>
      <c r="HO50" s="39"/>
      <c r="HP50" s="39"/>
      <c r="HQ50" s="39"/>
      <c r="HR50" s="39"/>
      <c r="HS50" s="39"/>
      <c r="HT50" s="39"/>
      <c r="HU50" s="39"/>
      <c r="HV50" s="39"/>
      <c r="HW50" s="39"/>
      <c r="HX50" s="39"/>
      <c r="HY50" s="39"/>
      <c r="HZ50" s="39"/>
      <c r="IA50" s="39"/>
      <c r="IB50" s="39"/>
      <c r="IC50" s="39"/>
      <c r="ID50" s="39"/>
      <c r="IE50" s="39"/>
      <c r="IF50" s="41" t="b">
        <f aca="false">TRUE()</f>
        <v>1</v>
      </c>
      <c r="IG50" s="39"/>
      <c r="IH50" s="39"/>
      <c r="II50" s="39"/>
      <c r="IJ50" s="39"/>
      <c r="IK50" s="39"/>
      <c r="IL50" s="39"/>
      <c r="IM50" s="39"/>
      <c r="IN50" s="39"/>
      <c r="IO50" s="39"/>
      <c r="IP50" s="39"/>
      <c r="IQ50" s="39"/>
      <c r="IR50" s="39"/>
      <c r="IS50" s="39"/>
      <c r="IT50" s="39"/>
      <c r="IU50" s="39"/>
      <c r="IV50" s="39"/>
      <c r="IW50" s="39"/>
      <c r="IX50" s="39"/>
      <c r="IY50" s="39"/>
      <c r="IZ50" s="39"/>
      <c r="JA50" s="39"/>
      <c r="JB50" s="39"/>
      <c r="JC50" s="39"/>
      <c r="JD50" s="39"/>
      <c r="JE50" s="39"/>
      <c r="JF50" s="39"/>
      <c r="JG50" s="39"/>
      <c r="JH50" s="39"/>
      <c r="JI50" s="39"/>
      <c r="JJ50" s="39"/>
      <c r="JK50" s="39"/>
      <c r="JL50" s="39"/>
      <c r="JM50" s="39"/>
      <c r="JN50" s="39"/>
      <c r="JO50" s="39"/>
      <c r="JP50" s="39"/>
      <c r="JQ50" s="39"/>
      <c r="JR50" s="39"/>
      <c r="JS50" s="39"/>
      <c r="JT50" s="41" t="b">
        <f aca="false">TRUE()</f>
        <v>1</v>
      </c>
      <c r="JU50" s="39"/>
      <c r="JV50" s="39"/>
      <c r="JW50" s="39"/>
      <c r="JX50" s="39"/>
      <c r="JY50" s="39"/>
      <c r="JZ50" s="39"/>
      <c r="KA50" s="39"/>
      <c r="KB50" s="39"/>
      <c r="KC50" s="39"/>
      <c r="KD50" s="39"/>
      <c r="KE50" s="39"/>
      <c r="KF50" s="39"/>
      <c r="KG50" s="39"/>
      <c r="KH50" s="39"/>
      <c r="KI50" s="39"/>
      <c r="KJ50" s="41" t="b">
        <f aca="false">TRUE()</f>
        <v>1</v>
      </c>
      <c r="KK50" s="39"/>
      <c r="KL50" s="39"/>
      <c r="KM50" s="39"/>
      <c r="KN50" s="39"/>
      <c r="KO50" s="41" t="b">
        <f aca="false">TRUE()</f>
        <v>1</v>
      </c>
      <c r="KP50" s="39"/>
      <c r="KQ50" s="39"/>
      <c r="KR50" s="41" t="b">
        <f aca="false">TRUE()</f>
        <v>1</v>
      </c>
      <c r="KS50" s="39"/>
      <c r="KT50" s="41" t="b">
        <f aca="false">TRUE()</f>
        <v>1</v>
      </c>
      <c r="KU50" s="39"/>
    </row>
    <row r="51" customFormat="false" ht="14.4" hidden="false" customHeight="false" outlineLevel="0" collapsed="false">
      <c r="A51" s="37" t="s">
        <v>305</v>
      </c>
      <c r="B51" s="37" t="s">
        <v>1394</v>
      </c>
      <c r="C51" s="37"/>
      <c r="D51" s="37"/>
      <c r="E51" s="37"/>
      <c r="F51" s="37" t="s">
        <v>1395</v>
      </c>
      <c r="G51" s="37" t="s">
        <v>1396</v>
      </c>
      <c r="H51" s="37" t="s">
        <v>340</v>
      </c>
      <c r="I51" s="37" t="s">
        <v>310</v>
      </c>
      <c r="J51" s="37" t="s">
        <v>311</v>
      </c>
      <c r="K51" s="37"/>
      <c r="L51" s="37"/>
      <c r="M51" s="37"/>
      <c r="N51" s="37"/>
      <c r="O51" s="37" t="s">
        <v>1397</v>
      </c>
      <c r="P51" s="37" t="s">
        <v>1398</v>
      </c>
      <c r="Q51" s="37" t="s">
        <v>1399</v>
      </c>
      <c r="R51" s="37" t="s">
        <v>1400</v>
      </c>
      <c r="S51" s="37" t="s">
        <v>1401</v>
      </c>
      <c r="T51" s="37" t="s">
        <v>1402</v>
      </c>
      <c r="U51" s="37" t="s">
        <v>1403</v>
      </c>
      <c r="V51" s="37" t="s">
        <v>1404</v>
      </c>
      <c r="W51" s="37" t="s">
        <v>1405</v>
      </c>
      <c r="X51" s="37" t="s">
        <v>1406</v>
      </c>
      <c r="Y51" s="37" t="s">
        <v>1407</v>
      </c>
      <c r="Z51" s="37" t="s">
        <v>1408</v>
      </c>
      <c r="AA51" s="37" t="n">
        <v>44</v>
      </c>
      <c r="AB51" s="37" t="n">
        <v>9</v>
      </c>
      <c r="AC51" s="37" t="n">
        <v>10</v>
      </c>
      <c r="AD51" s="37" t="n">
        <v>4</v>
      </c>
      <c r="AE51" s="37" t="n">
        <v>46</v>
      </c>
      <c r="AF51" s="37" t="s">
        <v>353</v>
      </c>
      <c r="AG51" s="37" t="s">
        <v>354</v>
      </c>
      <c r="AH51" s="37" t="s">
        <v>355</v>
      </c>
      <c r="AI51" s="37" t="s">
        <v>356</v>
      </c>
      <c r="AJ51" s="37" t="s">
        <v>357</v>
      </c>
      <c r="AK51" s="37"/>
      <c r="AL51" s="37" t="s">
        <v>358</v>
      </c>
      <c r="AM51" s="37" t="s">
        <v>359</v>
      </c>
      <c r="AN51" s="37" t="s">
        <v>942</v>
      </c>
      <c r="AO51" s="37" t="n">
        <v>2021</v>
      </c>
      <c r="AP51" s="37" t="n">
        <v>597</v>
      </c>
      <c r="AQ51" s="37"/>
      <c r="AR51" s="37"/>
      <c r="AS51" s="37"/>
      <c r="AT51" s="37"/>
      <c r="AU51" s="37" t="n">
        <v>126205</v>
      </c>
      <c r="AV51" s="37" t="s">
        <v>1409</v>
      </c>
      <c r="AW51" s="37" t="str">
        <f aca="false">HYPERLINK("http://dx.doi.org/10.1016/j.jhydrol.2021.126205","http://dx.doi.org/10.1016/j.jhydrol.2021.126205")</f>
        <v>http://dx.doi.org/10.1016/j.jhydrol.2021.126205</v>
      </c>
      <c r="AX51" s="37" t="s">
        <v>1410</v>
      </c>
      <c r="AY51" s="37" t="n">
        <v>21</v>
      </c>
      <c r="AZ51" s="37" t="s">
        <v>362</v>
      </c>
      <c r="BA51" s="37" t="s">
        <v>331</v>
      </c>
      <c r="BB51" s="37" t="s">
        <v>363</v>
      </c>
      <c r="BC51" s="37" t="s">
        <v>1411</v>
      </c>
      <c r="BD51" s="37"/>
      <c r="BE51" s="37"/>
      <c r="BF51" s="37" t="s">
        <v>334</v>
      </c>
      <c r="BG51" s="37" t="s">
        <v>1412</v>
      </c>
      <c r="BH51" s="37" t="str">
        <f aca="false">HYPERLINK("https%3A%2F%2Fwww.webofscience.com%2Fwos%2Fwoscc%2Ffull-record%2FWOS:000652835600077","View Full Record in Web of Science")</f>
        <v>View Full Record in Web of Science</v>
      </c>
      <c r="BI51" s="41" t="b">
        <f aca="false">TRUE()</f>
        <v>1</v>
      </c>
      <c r="BJ51" s="39"/>
      <c r="BK51" s="39"/>
      <c r="BL51" s="39"/>
      <c r="BM51" s="39"/>
      <c r="BN51" s="39"/>
      <c r="BO51" s="39"/>
      <c r="BP51" s="39"/>
      <c r="BQ51" s="39"/>
      <c r="BR51" s="41" t="b">
        <f aca="false">TRUE()</f>
        <v>1</v>
      </c>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41" t="b">
        <f aca="false">TRUE()</f>
        <v>1</v>
      </c>
      <c r="CX51" s="39"/>
      <c r="CY51" s="39"/>
      <c r="CZ51" s="39"/>
      <c r="DA51" s="39"/>
      <c r="DB51" s="39"/>
      <c r="DC51" s="39"/>
      <c r="DD51" s="39"/>
      <c r="DE51" s="39"/>
      <c r="DF51" s="39"/>
      <c r="DG51" s="39"/>
      <c r="DH51" s="39"/>
      <c r="DI51" s="39"/>
      <c r="DJ51" s="39"/>
      <c r="DK51" s="39"/>
      <c r="DL51" s="39"/>
      <c r="DM51" s="39"/>
      <c r="DN51" s="39"/>
      <c r="DO51" s="39"/>
      <c r="DP51" s="39"/>
      <c r="DQ51" s="39"/>
      <c r="DR51" s="39"/>
      <c r="DS51" s="39"/>
      <c r="DT51" s="39"/>
      <c r="DU51" s="39"/>
      <c r="DV51" s="39"/>
      <c r="DW51" s="39"/>
      <c r="DX51" s="39"/>
      <c r="DY51" s="39"/>
      <c r="DZ51" s="39"/>
      <c r="EA51" s="41" t="b">
        <f aca="false">TRUE()</f>
        <v>1</v>
      </c>
      <c r="EB51" s="39"/>
      <c r="EC51" s="39"/>
      <c r="ED51" s="39"/>
      <c r="EE51" s="39"/>
      <c r="EF51" s="39"/>
      <c r="EG51" s="39"/>
      <c r="EH51" s="39"/>
      <c r="EI51" s="39"/>
      <c r="EJ51" s="39"/>
      <c r="EK51" s="39"/>
      <c r="EL51" s="39"/>
      <c r="EM51" s="39"/>
      <c r="EN51" s="39"/>
      <c r="EO51" s="41" t="b">
        <f aca="false">TRUE()</f>
        <v>1</v>
      </c>
      <c r="EP51" s="39"/>
      <c r="EQ51" s="39"/>
      <c r="ER51" s="39"/>
      <c r="ES51" s="39"/>
      <c r="ET51" s="39"/>
      <c r="EU51" s="39"/>
      <c r="EV51" s="39"/>
      <c r="EW51" s="39"/>
      <c r="EX51" s="39"/>
      <c r="EY51" s="41" t="b">
        <f aca="false">TRUE()</f>
        <v>1</v>
      </c>
      <c r="EZ51" s="39"/>
      <c r="FA51" s="39"/>
      <c r="FB51" s="39"/>
      <c r="FC51" s="39"/>
      <c r="FD51" s="39"/>
      <c r="FE51" s="39"/>
      <c r="FF51" s="39"/>
      <c r="FG51" s="39"/>
      <c r="FH51" s="39"/>
      <c r="FI51" s="39"/>
      <c r="FJ51" s="39"/>
      <c r="FK51" s="39"/>
      <c r="FL51" s="39"/>
      <c r="FM51" s="39"/>
      <c r="FN51" s="39"/>
      <c r="FO51" s="39"/>
      <c r="FP51" s="39"/>
      <c r="FQ51" s="39"/>
      <c r="FR51" s="39"/>
      <c r="FS51" s="39"/>
      <c r="FT51" s="39"/>
      <c r="FU51" s="39"/>
      <c r="FV51" s="39"/>
      <c r="FW51" s="39"/>
      <c r="FX51" s="39"/>
      <c r="FY51" s="39"/>
      <c r="FZ51" s="39"/>
      <c r="GA51" s="39"/>
      <c r="GB51" s="39"/>
      <c r="GC51" s="39"/>
      <c r="GD51" s="39"/>
      <c r="GE51" s="39"/>
      <c r="GF51" s="39"/>
      <c r="GG51" s="39"/>
      <c r="GH51" s="39"/>
      <c r="GI51" s="39"/>
      <c r="GJ51" s="39"/>
      <c r="GK51" s="39"/>
      <c r="GL51" s="39"/>
      <c r="GM51" s="39"/>
      <c r="GN51" s="39"/>
      <c r="GO51" s="39"/>
      <c r="GP51" s="39"/>
      <c r="GQ51" s="39"/>
      <c r="GR51" s="39"/>
      <c r="GS51" s="39"/>
      <c r="GT51" s="39"/>
      <c r="GU51" s="39"/>
      <c r="GV51" s="39"/>
      <c r="GW51" s="39"/>
      <c r="GX51" s="41" t="b">
        <f aca="false">TRUE()</f>
        <v>1</v>
      </c>
      <c r="GY51" s="39"/>
      <c r="GZ51" s="39"/>
      <c r="HA51" s="39"/>
      <c r="HB51" s="39"/>
      <c r="HC51" s="39"/>
      <c r="HD51" s="39"/>
      <c r="HE51" s="39"/>
      <c r="HF51" s="39"/>
      <c r="HG51" s="39"/>
      <c r="HH51" s="39"/>
      <c r="HI51" s="39"/>
      <c r="HJ51" s="39"/>
      <c r="HK51" s="39"/>
      <c r="HL51" s="39"/>
      <c r="HM51" s="39"/>
      <c r="HN51" s="39"/>
      <c r="HO51" s="39"/>
      <c r="HP51" s="39"/>
      <c r="HQ51" s="39"/>
      <c r="HR51" s="39"/>
      <c r="HS51" s="39"/>
      <c r="HT51" s="39"/>
      <c r="HU51" s="39"/>
      <c r="HV51" s="39"/>
      <c r="HW51" s="39"/>
      <c r="HX51" s="39"/>
      <c r="HY51" s="39"/>
      <c r="HZ51" s="39"/>
      <c r="IA51" s="39"/>
      <c r="IB51" s="39"/>
      <c r="IC51" s="39"/>
      <c r="ID51" s="39"/>
      <c r="IE51" s="39"/>
      <c r="IF51" s="39"/>
      <c r="IG51" s="39"/>
      <c r="IH51" s="39"/>
      <c r="II51" s="39"/>
      <c r="IJ51" s="39"/>
      <c r="IK51" s="39"/>
      <c r="IL51" s="39"/>
      <c r="IM51" s="39"/>
      <c r="IN51" s="39"/>
      <c r="IO51" s="39"/>
      <c r="IP51" s="39"/>
      <c r="IQ51" s="39"/>
      <c r="IR51" s="39"/>
      <c r="IS51" s="39"/>
      <c r="IT51" s="39"/>
      <c r="IU51" s="39"/>
      <c r="IV51" s="39"/>
      <c r="IW51" s="39"/>
      <c r="IX51" s="39"/>
      <c r="IY51" s="39"/>
      <c r="IZ51" s="39"/>
      <c r="JA51" s="39"/>
      <c r="JB51" s="39"/>
      <c r="JC51" s="39"/>
      <c r="JD51" s="39"/>
      <c r="JE51" s="39"/>
      <c r="JF51" s="39"/>
      <c r="JG51" s="39"/>
      <c r="JH51" s="41" t="b">
        <f aca="false">TRUE()</f>
        <v>1</v>
      </c>
      <c r="JI51" s="39"/>
      <c r="JJ51" s="39"/>
      <c r="JK51" s="39"/>
      <c r="JL51" s="39"/>
      <c r="JM51" s="39"/>
      <c r="JN51" s="39"/>
      <c r="JO51" s="41" t="b">
        <f aca="false">TRUE()</f>
        <v>1</v>
      </c>
      <c r="JP51" s="41" t="b">
        <f aca="false">TRUE()</f>
        <v>1</v>
      </c>
      <c r="JQ51" s="41" t="b">
        <f aca="false">TRUE()</f>
        <v>1</v>
      </c>
      <c r="JR51" s="41" t="b">
        <f aca="false">TRUE()</f>
        <v>1</v>
      </c>
      <c r="JS51" s="41" t="b">
        <f aca="false">TRUE()</f>
        <v>1</v>
      </c>
      <c r="JT51" s="41" t="b">
        <f aca="false">TRUE()</f>
        <v>1</v>
      </c>
      <c r="JU51" s="41" t="b">
        <f aca="false">TRUE()</f>
        <v>1</v>
      </c>
      <c r="JV51" s="39"/>
      <c r="JW51" s="39"/>
      <c r="JX51" s="39"/>
      <c r="JY51" s="39"/>
      <c r="JZ51" s="39"/>
      <c r="KA51" s="39"/>
      <c r="KB51" s="39"/>
      <c r="KC51" s="39"/>
      <c r="KD51" s="39"/>
      <c r="KE51" s="39"/>
      <c r="KF51" s="39"/>
      <c r="KG51" s="39"/>
      <c r="KH51" s="39"/>
      <c r="KI51" s="39"/>
      <c r="KJ51" s="41" t="b">
        <f aca="false">TRUE()</f>
        <v>1</v>
      </c>
      <c r="KK51" s="39"/>
      <c r="KL51" s="39"/>
      <c r="KM51" s="39"/>
      <c r="KN51" s="39"/>
      <c r="KO51" s="39"/>
      <c r="KP51" s="39"/>
      <c r="KQ51" s="39"/>
      <c r="KR51" s="41" t="b">
        <f aca="false">TRUE()</f>
        <v>1</v>
      </c>
      <c r="KS51" s="39"/>
      <c r="KT51" s="39"/>
      <c r="KU51" s="41" t="b">
        <f aca="false">TRUE()</f>
        <v>1</v>
      </c>
    </row>
    <row r="52" customFormat="false" ht="14.4" hidden="false" customHeight="false" outlineLevel="0" collapsed="false">
      <c r="A52" s="37" t="s">
        <v>305</v>
      </c>
      <c r="B52" s="37" t="s">
        <v>1413</v>
      </c>
      <c r="C52" s="37"/>
      <c r="D52" s="37"/>
      <c r="E52" s="37"/>
      <c r="F52" s="37" t="s">
        <v>1414</v>
      </c>
      <c r="G52" s="37" t="s">
        <v>1415</v>
      </c>
      <c r="H52" s="37" t="s">
        <v>733</v>
      </c>
      <c r="I52" s="37" t="s">
        <v>310</v>
      </c>
      <c r="J52" s="37" t="s">
        <v>311</v>
      </c>
      <c r="K52" s="37"/>
      <c r="L52" s="37"/>
      <c r="M52" s="37"/>
      <c r="N52" s="37"/>
      <c r="O52" s="37" t="s">
        <v>1416</v>
      </c>
      <c r="P52" s="37" t="s">
        <v>1417</v>
      </c>
      <c r="Q52" s="37" t="s">
        <v>1418</v>
      </c>
      <c r="R52" s="37" t="s">
        <v>1419</v>
      </c>
      <c r="S52" s="37" t="s">
        <v>1420</v>
      </c>
      <c r="T52" s="37" t="s">
        <v>1421</v>
      </c>
      <c r="U52" s="37" t="s">
        <v>1422</v>
      </c>
      <c r="V52" s="37" t="s">
        <v>1423</v>
      </c>
      <c r="W52" s="37" t="s">
        <v>1424</v>
      </c>
      <c r="X52" s="37" t="s">
        <v>1425</v>
      </c>
      <c r="Y52" s="37" t="s">
        <v>1426</v>
      </c>
      <c r="Z52" s="37" t="s">
        <v>1427</v>
      </c>
      <c r="AA52" s="37" t="n">
        <v>93</v>
      </c>
      <c r="AB52" s="37" t="n">
        <v>82</v>
      </c>
      <c r="AC52" s="37" t="n">
        <v>83</v>
      </c>
      <c r="AD52" s="37" t="n">
        <v>2</v>
      </c>
      <c r="AE52" s="37" t="n">
        <v>56</v>
      </c>
      <c r="AF52" s="37" t="s">
        <v>353</v>
      </c>
      <c r="AG52" s="37" t="s">
        <v>354</v>
      </c>
      <c r="AH52" s="37" t="s">
        <v>355</v>
      </c>
      <c r="AI52" s="37" t="s">
        <v>745</v>
      </c>
      <c r="AJ52" s="37" t="s">
        <v>746</v>
      </c>
      <c r="AK52" s="37"/>
      <c r="AL52" s="37" t="s">
        <v>747</v>
      </c>
      <c r="AM52" s="37" t="s">
        <v>748</v>
      </c>
      <c r="AN52" s="37" t="s">
        <v>749</v>
      </c>
      <c r="AO52" s="37" t="n">
        <v>2020</v>
      </c>
      <c r="AP52" s="37" t="n">
        <v>241</v>
      </c>
      <c r="AQ52" s="37"/>
      <c r="AR52" s="37"/>
      <c r="AS52" s="37"/>
      <c r="AT52" s="37"/>
      <c r="AU52" s="37" t="n">
        <v>106334</v>
      </c>
      <c r="AV52" s="37" t="s">
        <v>1428</v>
      </c>
      <c r="AW52" s="37" t="str">
        <f aca="false">HYPERLINK("http://dx.doi.org/10.1016/j.agwat.2020.106334","http://dx.doi.org/10.1016/j.agwat.2020.106334")</f>
        <v>http://dx.doi.org/10.1016/j.agwat.2020.106334</v>
      </c>
      <c r="AX52" s="37"/>
      <c r="AY52" s="37" t="n">
        <v>13</v>
      </c>
      <c r="AZ52" s="37" t="s">
        <v>438</v>
      </c>
      <c r="BA52" s="37" t="s">
        <v>331</v>
      </c>
      <c r="BB52" s="37" t="s">
        <v>439</v>
      </c>
      <c r="BC52" s="37" t="s">
        <v>1429</v>
      </c>
      <c r="BD52" s="37"/>
      <c r="BE52" s="37"/>
      <c r="BF52" s="37" t="s">
        <v>334</v>
      </c>
      <c r="BG52" s="37" t="s">
        <v>1430</v>
      </c>
      <c r="BH52" s="37" t="str">
        <f aca="false">HYPERLINK("https%3A%2F%2Fwww.webofscience.com%2Fwos%2Fwoscc%2Ffull-record%2FWOS:000566864000005","View Full Record in Web of Science")</f>
        <v>View Full Record in Web of Science</v>
      </c>
      <c r="BI52" s="41" t="b">
        <f aca="false">TRUE()</f>
        <v>1</v>
      </c>
      <c r="BJ52" s="39"/>
      <c r="BK52" s="39"/>
      <c r="BL52" s="39"/>
      <c r="BM52" s="39"/>
      <c r="BN52" s="39"/>
      <c r="BO52" s="39"/>
      <c r="BP52" s="39"/>
      <c r="BQ52" s="39"/>
      <c r="BR52" s="39"/>
      <c r="BS52" s="39"/>
      <c r="BT52" s="39"/>
      <c r="BU52" s="39"/>
      <c r="BV52" s="39"/>
      <c r="BW52" s="39"/>
      <c r="BX52" s="39"/>
      <c r="BY52" s="39"/>
      <c r="BZ52" s="39"/>
      <c r="CA52" s="39"/>
      <c r="CB52" s="39"/>
      <c r="CC52" s="39"/>
      <c r="CD52" s="39"/>
      <c r="CE52" s="39"/>
      <c r="CF52" s="39"/>
      <c r="CG52" s="39"/>
      <c r="CH52" s="39"/>
      <c r="CI52" s="39"/>
      <c r="CJ52" s="39"/>
      <c r="CK52" s="39"/>
      <c r="CL52" s="39"/>
      <c r="CM52" s="39"/>
      <c r="CN52" s="39"/>
      <c r="CO52" s="39"/>
      <c r="CP52" s="39"/>
      <c r="CQ52" s="39"/>
      <c r="CR52" s="39"/>
      <c r="CS52" s="39"/>
      <c r="CT52" s="39"/>
      <c r="CU52" s="39"/>
      <c r="CV52" s="39"/>
      <c r="CW52" s="39"/>
      <c r="CX52" s="39"/>
      <c r="CY52" s="39"/>
      <c r="CZ52" s="39"/>
      <c r="DA52" s="39"/>
      <c r="DB52" s="39"/>
      <c r="DC52" s="39"/>
      <c r="DD52" s="39"/>
      <c r="DE52" s="39"/>
      <c r="DF52" s="39"/>
      <c r="DG52" s="39"/>
      <c r="DH52" s="39"/>
      <c r="DI52" s="39"/>
      <c r="DJ52" s="39"/>
      <c r="DK52" s="39"/>
      <c r="DL52" s="39"/>
      <c r="DM52" s="39"/>
      <c r="DN52" s="39"/>
      <c r="DO52" s="39"/>
      <c r="DP52" s="39"/>
      <c r="DQ52" s="39"/>
      <c r="DR52" s="39"/>
      <c r="DS52" s="39"/>
      <c r="DT52" s="39"/>
      <c r="DU52" s="39"/>
      <c r="DV52" s="39"/>
      <c r="DW52" s="39"/>
      <c r="DX52" s="39"/>
      <c r="DY52" s="39"/>
      <c r="DZ52" s="39"/>
      <c r="EA52" s="39"/>
      <c r="EB52" s="39"/>
      <c r="EC52" s="39"/>
      <c r="ED52" s="39"/>
      <c r="EE52" s="39"/>
      <c r="EF52" s="39"/>
      <c r="EG52" s="39"/>
      <c r="EH52" s="39"/>
      <c r="EI52" s="39"/>
      <c r="EJ52" s="39"/>
      <c r="EK52" s="39"/>
      <c r="EL52" s="39"/>
      <c r="EM52" s="39"/>
      <c r="EN52" s="39"/>
      <c r="EO52" s="39"/>
      <c r="EP52" s="39"/>
      <c r="EQ52" s="39"/>
      <c r="ER52" s="39"/>
      <c r="ES52" s="39"/>
      <c r="ET52" s="39"/>
      <c r="EU52" s="39"/>
      <c r="EV52" s="39"/>
      <c r="EW52" s="39"/>
      <c r="EX52" s="39"/>
      <c r="EY52" s="41" t="b">
        <f aca="false">TRUE()</f>
        <v>1</v>
      </c>
      <c r="EZ52" s="39"/>
      <c r="FA52" s="39"/>
      <c r="FB52" s="39"/>
      <c r="FC52" s="39"/>
      <c r="FD52" s="39"/>
      <c r="FE52" s="39"/>
      <c r="FF52" s="39"/>
      <c r="FG52" s="39"/>
      <c r="FH52" s="39"/>
      <c r="FI52" s="39"/>
      <c r="FJ52" s="39"/>
      <c r="FK52" s="39"/>
      <c r="FL52" s="39"/>
      <c r="FM52" s="39"/>
      <c r="FN52" s="39"/>
      <c r="FO52" s="39"/>
      <c r="FP52" s="39"/>
      <c r="FQ52" s="39"/>
      <c r="FR52" s="39"/>
      <c r="FS52" s="39"/>
      <c r="FT52" s="39"/>
      <c r="FU52" s="39"/>
      <c r="FV52" s="39"/>
      <c r="FW52" s="39"/>
      <c r="FX52" s="39"/>
      <c r="FY52" s="39"/>
      <c r="FZ52" s="39"/>
      <c r="GA52" s="39"/>
      <c r="GB52" s="39"/>
      <c r="GC52" s="39"/>
      <c r="GD52" s="39"/>
      <c r="GE52" s="39"/>
      <c r="GF52" s="39"/>
      <c r="GG52" s="39"/>
      <c r="GH52" s="39"/>
      <c r="GI52" s="39"/>
      <c r="GJ52" s="39"/>
      <c r="GK52" s="39"/>
      <c r="GL52" s="39"/>
      <c r="GM52" s="39"/>
      <c r="GN52" s="39"/>
      <c r="GO52" s="39"/>
      <c r="GP52" s="39"/>
      <c r="GQ52" s="39"/>
      <c r="GR52" s="39"/>
      <c r="GS52" s="39"/>
      <c r="GT52" s="39"/>
      <c r="GU52" s="39"/>
      <c r="GV52" s="39"/>
      <c r="GW52" s="39"/>
      <c r="GX52" s="39"/>
      <c r="GY52" s="39"/>
      <c r="GZ52" s="39"/>
      <c r="HA52" s="39"/>
      <c r="HB52" s="39"/>
      <c r="HC52" s="39"/>
      <c r="HD52" s="39"/>
      <c r="HE52" s="39"/>
      <c r="HF52" s="39"/>
      <c r="HG52" s="39"/>
      <c r="HH52" s="39"/>
      <c r="HI52" s="39"/>
      <c r="HJ52" s="39"/>
      <c r="HK52" s="41" t="b">
        <f aca="false">TRUE()</f>
        <v>1</v>
      </c>
      <c r="HL52" s="39"/>
      <c r="HM52" s="39"/>
      <c r="HN52" s="39"/>
      <c r="HO52" s="39"/>
      <c r="HP52" s="39"/>
      <c r="HQ52" s="39"/>
      <c r="HR52" s="39"/>
      <c r="HS52" s="39"/>
      <c r="HT52" s="39"/>
      <c r="HU52" s="39"/>
      <c r="HV52" s="39"/>
      <c r="HW52" s="39"/>
      <c r="HX52" s="39"/>
      <c r="HY52" s="39"/>
      <c r="HZ52" s="41" t="b">
        <f aca="false">TRUE()</f>
        <v>1</v>
      </c>
      <c r="IA52" s="39"/>
      <c r="IB52" s="39"/>
      <c r="IC52" s="39"/>
      <c r="ID52" s="39"/>
      <c r="IE52" s="39"/>
      <c r="IF52" s="39"/>
      <c r="IG52" s="39"/>
      <c r="IH52" s="39"/>
      <c r="II52" s="39"/>
      <c r="IJ52" s="39"/>
      <c r="IK52" s="39"/>
      <c r="IL52" s="39"/>
      <c r="IM52" s="39"/>
      <c r="IN52" s="39"/>
      <c r="IO52" s="39"/>
      <c r="IP52" s="39"/>
      <c r="IQ52" s="39"/>
      <c r="IR52" s="39"/>
      <c r="IS52" s="39"/>
      <c r="IT52" s="39"/>
      <c r="IU52" s="39"/>
      <c r="IV52" s="39"/>
      <c r="IW52" s="39"/>
      <c r="IX52" s="39"/>
      <c r="IY52" s="39"/>
      <c r="IZ52" s="39"/>
      <c r="JA52" s="39"/>
      <c r="JB52" s="39"/>
      <c r="JC52" s="39"/>
      <c r="JD52" s="39"/>
      <c r="JE52" s="39"/>
      <c r="JF52" s="39"/>
      <c r="JG52" s="39"/>
      <c r="JH52" s="39"/>
      <c r="JI52" s="39"/>
      <c r="JJ52" s="39"/>
      <c r="JK52" s="39"/>
      <c r="JL52" s="39"/>
      <c r="JM52" s="39"/>
      <c r="JN52" s="39"/>
      <c r="JO52" s="39"/>
      <c r="JP52" s="39"/>
      <c r="JQ52" s="39"/>
      <c r="JR52" s="39"/>
      <c r="JS52" s="39"/>
      <c r="JT52" s="41" t="b">
        <f aca="false">TRUE()</f>
        <v>1</v>
      </c>
      <c r="JU52" s="39"/>
      <c r="JV52" s="39"/>
      <c r="JW52" s="39"/>
      <c r="JX52" s="39"/>
      <c r="JY52" s="39"/>
      <c r="JZ52" s="39"/>
      <c r="KA52" s="39"/>
      <c r="KB52" s="39"/>
      <c r="KC52" s="39"/>
      <c r="KD52" s="39"/>
      <c r="KE52" s="39"/>
      <c r="KF52" s="39"/>
      <c r="KG52" s="39"/>
      <c r="KH52" s="39"/>
      <c r="KI52" s="39"/>
      <c r="KJ52" s="39"/>
      <c r="KK52" s="39"/>
      <c r="KL52" s="39"/>
      <c r="KM52" s="39"/>
      <c r="KN52" s="39"/>
      <c r="KO52" s="39"/>
      <c r="KP52" s="39"/>
      <c r="KQ52" s="41" t="b">
        <f aca="false">TRUE()</f>
        <v>1</v>
      </c>
      <c r="KR52" s="41" t="b">
        <f aca="false">TRUE()</f>
        <v>1</v>
      </c>
      <c r="KS52" s="39"/>
      <c r="KT52" s="41" t="b">
        <f aca="false">TRUE()</f>
        <v>1</v>
      </c>
      <c r="KU52" s="39"/>
    </row>
    <row r="53" customFormat="false" ht="14.4" hidden="false" customHeight="false" outlineLevel="0" collapsed="false">
      <c r="A53" s="37" t="s">
        <v>305</v>
      </c>
      <c r="B53" s="37" t="s">
        <v>1431</v>
      </c>
      <c r="C53" s="37"/>
      <c r="D53" s="37"/>
      <c r="E53" s="37"/>
      <c r="F53" s="37" t="s">
        <v>1432</v>
      </c>
      <c r="G53" s="37" t="s">
        <v>1433</v>
      </c>
      <c r="H53" s="37" t="s">
        <v>340</v>
      </c>
      <c r="I53" s="37" t="s">
        <v>310</v>
      </c>
      <c r="J53" s="37" t="s">
        <v>311</v>
      </c>
      <c r="K53" s="37"/>
      <c r="L53" s="37"/>
      <c r="M53" s="37"/>
      <c r="N53" s="37"/>
      <c r="O53" s="37" t="s">
        <v>1434</v>
      </c>
      <c r="P53" s="37" t="s">
        <v>1435</v>
      </c>
      <c r="Q53" s="37" t="s">
        <v>1436</v>
      </c>
      <c r="R53" s="37" t="s">
        <v>1437</v>
      </c>
      <c r="S53" s="37" t="s">
        <v>1438</v>
      </c>
      <c r="T53" s="37" t="s">
        <v>1439</v>
      </c>
      <c r="U53" s="37" t="s">
        <v>1440</v>
      </c>
      <c r="V53" s="37" t="s">
        <v>1441</v>
      </c>
      <c r="W53" s="37" t="s">
        <v>1442</v>
      </c>
      <c r="X53" s="37" t="s">
        <v>1443</v>
      </c>
      <c r="Y53" s="37" t="s">
        <v>1444</v>
      </c>
      <c r="Z53" s="37" t="s">
        <v>1445</v>
      </c>
      <c r="AA53" s="37" t="n">
        <v>160</v>
      </c>
      <c r="AB53" s="37" t="n">
        <v>2</v>
      </c>
      <c r="AC53" s="37" t="n">
        <v>2</v>
      </c>
      <c r="AD53" s="37" t="n">
        <v>32</v>
      </c>
      <c r="AE53" s="37" t="n">
        <v>37</v>
      </c>
      <c r="AF53" s="37" t="s">
        <v>353</v>
      </c>
      <c r="AG53" s="37" t="s">
        <v>354</v>
      </c>
      <c r="AH53" s="37" t="s">
        <v>355</v>
      </c>
      <c r="AI53" s="37" t="s">
        <v>356</v>
      </c>
      <c r="AJ53" s="37" t="s">
        <v>357</v>
      </c>
      <c r="AK53" s="37"/>
      <c r="AL53" s="37" t="s">
        <v>358</v>
      </c>
      <c r="AM53" s="37" t="s">
        <v>359</v>
      </c>
      <c r="AN53" s="37" t="s">
        <v>132</v>
      </c>
      <c r="AO53" s="37" t="n">
        <v>2024</v>
      </c>
      <c r="AP53" s="37" t="n">
        <v>641</v>
      </c>
      <c r="AQ53" s="37"/>
      <c r="AR53" s="37"/>
      <c r="AS53" s="37"/>
      <c r="AT53" s="37"/>
      <c r="AU53" s="37" t="n">
        <v>131787</v>
      </c>
      <c r="AV53" s="37" t="s">
        <v>1446</v>
      </c>
      <c r="AW53" s="37" t="str">
        <f aca="false">HYPERLINK("http://dx.doi.org/10.1016/j.jhydrol.2024.131787","http://dx.doi.org/10.1016/j.jhydrol.2024.131787")</f>
        <v>http://dx.doi.org/10.1016/j.jhydrol.2024.131787</v>
      </c>
      <c r="AX53" s="37" t="s">
        <v>1447</v>
      </c>
      <c r="AY53" s="37" t="n">
        <v>30</v>
      </c>
      <c r="AZ53" s="37" t="s">
        <v>362</v>
      </c>
      <c r="BA53" s="37" t="s">
        <v>331</v>
      </c>
      <c r="BB53" s="37" t="s">
        <v>363</v>
      </c>
      <c r="BC53" s="37" t="s">
        <v>1448</v>
      </c>
      <c r="BD53" s="37"/>
      <c r="BE53" s="37"/>
      <c r="BF53" s="37" t="s">
        <v>334</v>
      </c>
      <c r="BG53" s="37" t="s">
        <v>1449</v>
      </c>
      <c r="BH53" s="37" t="str">
        <f aca="false">HYPERLINK("https%3A%2F%2Fwww.webofscience.com%2Fwos%2Fwoscc%2Ffull-record%2FWOS:001298030900001","View Full Record in Web of Science")</f>
        <v>View Full Record in Web of Science</v>
      </c>
      <c r="BI53" s="39"/>
      <c r="BJ53" s="39"/>
      <c r="BK53" s="39"/>
      <c r="BL53" s="39"/>
      <c r="BM53" s="39"/>
      <c r="BN53" s="39"/>
      <c r="BO53" s="39"/>
      <c r="BP53" s="39"/>
      <c r="BQ53" s="39"/>
      <c r="BR53" s="41" t="b">
        <f aca="false">TRUE()</f>
        <v>1</v>
      </c>
      <c r="BS53" s="39"/>
      <c r="BT53" s="39"/>
      <c r="BU53" s="39"/>
      <c r="BV53" s="39"/>
      <c r="BW53" s="39"/>
      <c r="BX53" s="39"/>
      <c r="BY53" s="41" t="b">
        <f aca="false">TRUE()</f>
        <v>1</v>
      </c>
      <c r="BZ53" s="39"/>
      <c r="CA53" s="39"/>
      <c r="CB53" s="39"/>
      <c r="CC53" s="39"/>
      <c r="CD53" s="39"/>
      <c r="CE53" s="39"/>
      <c r="CF53" s="39"/>
      <c r="CG53" s="41" t="b">
        <f aca="false">TRUE()</f>
        <v>1</v>
      </c>
      <c r="CH53" s="39"/>
      <c r="CI53" s="39"/>
      <c r="CJ53" s="39"/>
      <c r="CK53" s="39"/>
      <c r="CL53" s="39"/>
      <c r="CM53" s="39"/>
      <c r="CN53" s="39"/>
      <c r="CO53" s="39"/>
      <c r="CP53" s="39"/>
      <c r="CQ53" s="39"/>
      <c r="CR53" s="39"/>
      <c r="CS53" s="39"/>
      <c r="CT53" s="39"/>
      <c r="CU53" s="39"/>
      <c r="CV53" s="39"/>
      <c r="CW53" s="41" t="b">
        <f aca="false">TRUE()</f>
        <v>1</v>
      </c>
      <c r="CX53" s="39"/>
      <c r="CY53" s="39"/>
      <c r="CZ53" s="39"/>
      <c r="DA53" s="39"/>
      <c r="DB53" s="39"/>
      <c r="DC53" s="39"/>
      <c r="DD53" s="39"/>
      <c r="DE53" s="39"/>
      <c r="DF53" s="39"/>
      <c r="DG53" s="39"/>
      <c r="DH53" s="39"/>
      <c r="DI53" s="39"/>
      <c r="DJ53" s="39"/>
      <c r="DK53" s="39"/>
      <c r="DL53" s="39"/>
      <c r="DM53" s="39"/>
      <c r="DN53" s="39"/>
      <c r="DO53" s="39"/>
      <c r="DP53" s="39"/>
      <c r="DQ53" s="39"/>
      <c r="DR53" s="39"/>
      <c r="DS53" s="39"/>
      <c r="DT53" s="41" t="b">
        <f aca="false">TRUE()</f>
        <v>1</v>
      </c>
      <c r="DU53" s="39"/>
      <c r="DV53" s="39"/>
      <c r="DW53" s="39"/>
      <c r="DX53" s="39"/>
      <c r="DY53" s="39"/>
      <c r="DZ53" s="39"/>
      <c r="EA53" s="41" t="b">
        <f aca="false">TRUE()</f>
        <v>1</v>
      </c>
      <c r="EB53" s="39"/>
      <c r="EC53" s="39"/>
      <c r="ED53" s="39"/>
      <c r="EE53" s="39"/>
      <c r="EF53" s="39"/>
      <c r="EG53" s="39"/>
      <c r="EH53" s="39"/>
      <c r="EI53" s="39"/>
      <c r="EJ53" s="39"/>
      <c r="EK53" s="39"/>
      <c r="EL53" s="39"/>
      <c r="EM53" s="39"/>
      <c r="EN53" s="39"/>
      <c r="EO53" s="39"/>
      <c r="EP53" s="39"/>
      <c r="EQ53" s="39"/>
      <c r="ER53" s="39"/>
      <c r="ES53" s="39"/>
      <c r="ET53" s="39"/>
      <c r="EU53" s="39"/>
      <c r="EV53" s="39"/>
      <c r="EW53" s="39"/>
      <c r="EX53" s="39"/>
      <c r="EY53" s="41" t="b">
        <f aca="false">TRUE()</f>
        <v>1</v>
      </c>
      <c r="EZ53" s="39"/>
      <c r="FA53" s="39"/>
      <c r="FB53" s="39"/>
      <c r="FC53" s="39"/>
      <c r="FD53" s="39"/>
      <c r="FE53" s="39"/>
      <c r="FF53" s="39"/>
      <c r="FG53" s="39"/>
      <c r="FH53" s="39"/>
      <c r="FI53" s="39"/>
      <c r="FJ53" s="39"/>
      <c r="FK53" s="39"/>
      <c r="FL53" s="39"/>
      <c r="FM53" s="39"/>
      <c r="FN53" s="39"/>
      <c r="FO53" s="41" t="b">
        <f aca="false">TRUE()</f>
        <v>1</v>
      </c>
      <c r="FP53" s="39"/>
      <c r="FQ53" s="39"/>
      <c r="FR53" s="39"/>
      <c r="FS53" s="39"/>
      <c r="FT53" s="39"/>
      <c r="FU53" s="39"/>
      <c r="FV53" s="39"/>
      <c r="FW53" s="39"/>
      <c r="FX53" s="39"/>
      <c r="FY53" s="39"/>
      <c r="FZ53" s="39"/>
      <c r="GA53" s="39"/>
      <c r="GB53" s="39"/>
      <c r="GC53" s="41" t="b">
        <f aca="false">TRUE()</f>
        <v>1</v>
      </c>
      <c r="GD53" s="39"/>
      <c r="GE53" s="39"/>
      <c r="GF53" s="39"/>
      <c r="GG53" s="39"/>
      <c r="GH53" s="39"/>
      <c r="GI53" s="39"/>
      <c r="GJ53" s="39"/>
      <c r="GK53" s="39"/>
      <c r="GL53" s="39"/>
      <c r="GM53" s="39"/>
      <c r="GN53" s="39"/>
      <c r="GO53" s="39"/>
      <c r="GP53" s="39"/>
      <c r="GQ53" s="39"/>
      <c r="GR53" s="39"/>
      <c r="GS53" s="39"/>
      <c r="GT53" s="39"/>
      <c r="GU53" s="39"/>
      <c r="GV53" s="39"/>
      <c r="GW53" s="39"/>
      <c r="GX53" s="41" t="b">
        <f aca="false">TRUE()</f>
        <v>1</v>
      </c>
      <c r="GY53" s="39"/>
      <c r="GZ53" s="39"/>
      <c r="HA53" s="39"/>
      <c r="HB53" s="39"/>
      <c r="HC53" s="39"/>
      <c r="HD53" s="39"/>
      <c r="HE53" s="39"/>
      <c r="HF53" s="39"/>
      <c r="HG53" s="39"/>
      <c r="HH53" s="39"/>
      <c r="HI53" s="39"/>
      <c r="HJ53" s="39"/>
      <c r="HK53" s="39"/>
      <c r="HL53" s="39"/>
      <c r="HM53" s="39"/>
      <c r="HN53" s="39"/>
      <c r="HO53" s="39"/>
      <c r="HP53" s="39"/>
      <c r="HQ53" s="39"/>
      <c r="HR53" s="39"/>
      <c r="HS53" s="39"/>
      <c r="HT53" s="39"/>
      <c r="HU53" s="39"/>
      <c r="HV53" s="39"/>
      <c r="HW53" s="39"/>
      <c r="HX53" s="39"/>
      <c r="HY53" s="39"/>
      <c r="HZ53" s="39"/>
      <c r="IA53" s="39"/>
      <c r="IB53" s="39"/>
      <c r="IC53" s="39"/>
      <c r="ID53" s="39"/>
      <c r="IE53" s="39"/>
      <c r="IF53" s="39"/>
      <c r="IG53" s="39"/>
      <c r="IH53" s="39"/>
      <c r="II53" s="39"/>
      <c r="IJ53" s="39"/>
      <c r="IK53" s="39"/>
      <c r="IL53" s="39"/>
      <c r="IM53" s="39"/>
      <c r="IN53" s="39"/>
      <c r="IO53" s="39"/>
      <c r="IP53" s="39"/>
      <c r="IQ53" s="39"/>
      <c r="IR53" s="39"/>
      <c r="IS53" s="39"/>
      <c r="IT53" s="39"/>
      <c r="IU53" s="39"/>
      <c r="IV53" s="39"/>
      <c r="IW53" s="39"/>
      <c r="IX53" s="39"/>
      <c r="IY53" s="39"/>
      <c r="IZ53" s="39"/>
      <c r="JA53" s="39"/>
      <c r="JB53" s="39"/>
      <c r="JC53" s="39"/>
      <c r="JD53" s="39"/>
      <c r="JE53" s="39"/>
      <c r="JF53" s="39"/>
      <c r="JG53" s="39"/>
      <c r="JH53" s="41" t="b">
        <f aca="false">TRUE()</f>
        <v>1</v>
      </c>
      <c r="JI53" s="39"/>
      <c r="JJ53" s="39"/>
      <c r="JK53" s="39"/>
      <c r="JL53" s="39"/>
      <c r="JM53" s="39"/>
      <c r="JN53" s="39"/>
      <c r="JO53" s="39"/>
      <c r="JP53" s="39"/>
      <c r="JQ53" s="39"/>
      <c r="JR53" s="39"/>
      <c r="JS53" s="39"/>
      <c r="JT53" s="41" t="b">
        <f aca="false">TRUE()</f>
        <v>1</v>
      </c>
      <c r="JU53" s="41" t="b">
        <f aca="false">TRUE()</f>
        <v>1</v>
      </c>
      <c r="JV53" s="39"/>
      <c r="JW53" s="39"/>
      <c r="JX53" s="39"/>
      <c r="JY53" s="39"/>
      <c r="JZ53" s="39"/>
      <c r="KA53" s="39"/>
      <c r="KB53" s="39"/>
      <c r="KC53" s="41" t="b">
        <f aca="false">TRUE()</f>
        <v>1</v>
      </c>
      <c r="KD53" s="39"/>
      <c r="KE53" s="39"/>
      <c r="KF53" s="39"/>
      <c r="KG53" s="39"/>
      <c r="KH53" s="39"/>
      <c r="KI53" s="39"/>
      <c r="KJ53" s="41" t="b">
        <f aca="false">TRUE()</f>
        <v>1</v>
      </c>
      <c r="KK53" s="39"/>
      <c r="KL53" s="39"/>
      <c r="KM53" s="39"/>
      <c r="KN53" s="39"/>
      <c r="KO53" s="41" t="b">
        <f aca="false">TRUE()</f>
        <v>1</v>
      </c>
      <c r="KP53" s="39"/>
      <c r="KQ53" s="39"/>
      <c r="KR53" s="41" t="b">
        <f aca="false">TRUE()</f>
        <v>1</v>
      </c>
      <c r="KS53" s="39"/>
      <c r="KT53" s="39"/>
      <c r="KU53" s="41" t="b">
        <f aca="false">TRUE()</f>
        <v>1</v>
      </c>
    </row>
    <row r="54" customFormat="false" ht="14.4" hidden="false" customHeight="false" outlineLevel="0" collapsed="false">
      <c r="A54" s="37" t="s">
        <v>305</v>
      </c>
      <c r="B54" s="37" t="s">
        <v>1450</v>
      </c>
      <c r="C54" s="37"/>
      <c r="D54" s="37"/>
      <c r="E54" s="37"/>
      <c r="F54" s="37" t="s">
        <v>1451</v>
      </c>
      <c r="G54" s="37" t="s">
        <v>1452</v>
      </c>
      <c r="H54" s="37" t="s">
        <v>1453</v>
      </c>
      <c r="I54" s="37" t="s">
        <v>310</v>
      </c>
      <c r="J54" s="37" t="s">
        <v>311</v>
      </c>
      <c r="K54" s="37"/>
      <c r="L54" s="37"/>
      <c r="M54" s="37"/>
      <c r="N54" s="37"/>
      <c r="O54" s="37" t="s">
        <v>1454</v>
      </c>
      <c r="P54" s="37" t="s">
        <v>1455</v>
      </c>
      <c r="Q54" s="37" t="s">
        <v>1456</v>
      </c>
      <c r="R54" s="37" t="s">
        <v>1457</v>
      </c>
      <c r="S54" s="37" t="s">
        <v>1458</v>
      </c>
      <c r="T54" s="37" t="s">
        <v>1459</v>
      </c>
      <c r="U54" s="37" t="s">
        <v>1460</v>
      </c>
      <c r="V54" s="37" t="s">
        <v>1461</v>
      </c>
      <c r="W54" s="37" t="s">
        <v>1462</v>
      </c>
      <c r="X54" s="37" t="s">
        <v>1463</v>
      </c>
      <c r="Y54" s="37" t="s">
        <v>378</v>
      </c>
      <c r="Z54" s="37" t="s">
        <v>1464</v>
      </c>
      <c r="AA54" s="37" t="n">
        <v>64</v>
      </c>
      <c r="AB54" s="37" t="n">
        <v>3</v>
      </c>
      <c r="AC54" s="37" t="n">
        <v>3</v>
      </c>
      <c r="AD54" s="37" t="n">
        <v>12</v>
      </c>
      <c r="AE54" s="37" t="n">
        <v>33</v>
      </c>
      <c r="AF54" s="37" t="s">
        <v>546</v>
      </c>
      <c r="AG54" s="37" t="s">
        <v>547</v>
      </c>
      <c r="AH54" s="37" t="s">
        <v>548</v>
      </c>
      <c r="AI54" s="37"/>
      <c r="AJ54" s="37" t="s">
        <v>1465</v>
      </c>
      <c r="AK54" s="37"/>
      <c r="AL54" s="37" t="s">
        <v>1466</v>
      </c>
      <c r="AM54" s="37" t="s">
        <v>1467</v>
      </c>
      <c r="AN54" s="37" t="s">
        <v>1046</v>
      </c>
      <c r="AO54" s="37" t="n">
        <v>2024</v>
      </c>
      <c r="AP54" s="37" t="n">
        <v>16</v>
      </c>
      <c r="AQ54" s="37" t="n">
        <v>3</v>
      </c>
      <c r="AR54" s="37"/>
      <c r="AS54" s="37"/>
      <c r="AT54" s="37"/>
      <c r="AU54" s="37" t="n">
        <v>509</v>
      </c>
      <c r="AV54" s="37" t="s">
        <v>1468</v>
      </c>
      <c r="AW54" s="37" t="str">
        <f aca="false">HYPERLINK("http://dx.doi.org/10.3390/rs16030509","http://dx.doi.org/10.3390/rs16030509")</f>
        <v>http://dx.doi.org/10.3390/rs16030509</v>
      </c>
      <c r="AX54" s="37"/>
      <c r="AY54" s="37" t="n">
        <v>20</v>
      </c>
      <c r="AZ54" s="37" t="s">
        <v>1469</v>
      </c>
      <c r="BA54" s="37" t="s">
        <v>331</v>
      </c>
      <c r="BB54" s="37" t="s">
        <v>1470</v>
      </c>
      <c r="BC54" s="37" t="s">
        <v>1471</v>
      </c>
      <c r="BD54" s="37"/>
      <c r="BE54" s="37" t="s">
        <v>1472</v>
      </c>
      <c r="BF54" s="37" t="s">
        <v>334</v>
      </c>
      <c r="BG54" s="37" t="s">
        <v>1473</v>
      </c>
      <c r="BH54" s="37" t="str">
        <f aca="false">HYPERLINK("https%3A%2F%2Fwww.webofscience.com%2Fwos%2Fwoscc%2Ffull-record%2FWOS:001161048300001","View Full Record in Web of Science")</f>
        <v>View Full Record in Web of Science</v>
      </c>
      <c r="BI54" s="41" t="b">
        <f aca="false">TRUE()</f>
        <v>1</v>
      </c>
      <c r="BJ54" s="39"/>
      <c r="BK54" s="39"/>
      <c r="BL54" s="39"/>
      <c r="BM54" s="39"/>
      <c r="BN54" s="39"/>
      <c r="BO54" s="39"/>
      <c r="BP54" s="39"/>
      <c r="BQ54" s="39"/>
      <c r="BR54" s="39"/>
      <c r="BS54" s="39"/>
      <c r="BT54" s="39"/>
      <c r="BU54" s="39"/>
      <c r="BV54" s="39"/>
      <c r="BW54" s="39"/>
      <c r="BX54" s="39"/>
      <c r="BY54" s="39"/>
      <c r="BZ54" s="39"/>
      <c r="CA54" s="39"/>
      <c r="CB54" s="39"/>
      <c r="CC54" s="39"/>
      <c r="CD54" s="39"/>
      <c r="CE54" s="39"/>
      <c r="CF54" s="39"/>
      <c r="CG54" s="39"/>
      <c r="CH54" s="39"/>
      <c r="CI54" s="39"/>
      <c r="CJ54" s="39"/>
      <c r="CK54" s="39"/>
      <c r="CL54" s="39"/>
      <c r="CM54" s="39"/>
      <c r="CN54" s="39"/>
      <c r="CO54" s="39"/>
      <c r="CP54" s="39"/>
      <c r="CQ54" s="39"/>
      <c r="CR54" s="39"/>
      <c r="CS54" s="39"/>
      <c r="CT54" s="39"/>
      <c r="CU54" s="39"/>
      <c r="CV54" s="39"/>
      <c r="CW54" s="41" t="b">
        <f aca="false">TRUE()</f>
        <v>1</v>
      </c>
      <c r="CX54" s="39"/>
      <c r="CY54" s="39"/>
      <c r="CZ54" s="39"/>
      <c r="DA54" s="41" t="b">
        <f aca="false">TRUE()</f>
        <v>1</v>
      </c>
      <c r="DB54" s="41" t="b">
        <f aca="false">TRUE()</f>
        <v>1</v>
      </c>
      <c r="DC54" s="39"/>
      <c r="DD54" s="39"/>
      <c r="DE54" s="39"/>
      <c r="DF54" s="39"/>
      <c r="DG54" s="39"/>
      <c r="DH54" s="39"/>
      <c r="DI54" s="39"/>
      <c r="DJ54" s="39"/>
      <c r="DK54" s="39"/>
      <c r="DL54" s="39"/>
      <c r="DM54" s="39"/>
      <c r="DN54" s="39"/>
      <c r="DO54" s="39"/>
      <c r="DP54" s="39"/>
      <c r="DQ54" s="39"/>
      <c r="DR54" s="39"/>
      <c r="DS54" s="39"/>
      <c r="DT54" s="39"/>
      <c r="DU54" s="39"/>
      <c r="DV54" s="39"/>
      <c r="DW54" s="39"/>
      <c r="DX54" s="39"/>
      <c r="DY54" s="39"/>
      <c r="DZ54" s="39"/>
      <c r="EA54" s="41" t="b">
        <f aca="false">TRUE()</f>
        <v>1</v>
      </c>
      <c r="EB54" s="39"/>
      <c r="EC54" s="39"/>
      <c r="ED54" s="39"/>
      <c r="EE54" s="39"/>
      <c r="EF54" s="39"/>
      <c r="EG54" s="39"/>
      <c r="EH54" s="39"/>
      <c r="EI54" s="39"/>
      <c r="EJ54" s="39"/>
      <c r="EK54" s="39"/>
      <c r="EL54" s="39"/>
      <c r="EM54" s="39"/>
      <c r="EN54" s="39"/>
      <c r="EO54" s="39"/>
      <c r="EP54" s="39"/>
      <c r="EQ54" s="41" t="b">
        <f aca="false">TRUE()</f>
        <v>1</v>
      </c>
      <c r="ER54" s="39"/>
      <c r="ES54" s="39"/>
      <c r="ET54" s="39"/>
      <c r="EU54" s="39"/>
      <c r="EV54" s="39"/>
      <c r="EW54" s="39"/>
      <c r="EX54" s="39"/>
      <c r="EY54" s="41" t="b">
        <f aca="false">TRUE()</f>
        <v>1</v>
      </c>
      <c r="EZ54" s="39"/>
      <c r="FA54" s="39"/>
      <c r="FB54" s="39"/>
      <c r="FC54" s="39"/>
      <c r="FD54" s="39"/>
      <c r="FE54" s="39"/>
      <c r="FF54" s="39"/>
      <c r="FG54" s="39"/>
      <c r="FH54" s="39"/>
      <c r="FI54" s="39"/>
      <c r="FJ54" s="39"/>
      <c r="FK54" s="41" t="b">
        <f aca="false">TRUE()</f>
        <v>1</v>
      </c>
      <c r="FL54" s="39"/>
      <c r="FM54" s="39"/>
      <c r="FN54" s="39"/>
      <c r="FO54" s="39"/>
      <c r="FP54" s="39"/>
      <c r="FQ54" s="39"/>
      <c r="FR54" s="39"/>
      <c r="FS54" s="39"/>
      <c r="FT54" s="39"/>
      <c r="FU54" s="39"/>
      <c r="FV54" s="39"/>
      <c r="FW54" s="39"/>
      <c r="FX54" s="39"/>
      <c r="FY54" s="41" t="b">
        <f aca="false">TRUE()</f>
        <v>1</v>
      </c>
      <c r="FZ54" s="39"/>
      <c r="GA54" s="39"/>
      <c r="GB54" s="39"/>
      <c r="GC54" s="39"/>
      <c r="GD54" s="39"/>
      <c r="GE54" s="39"/>
      <c r="GF54" s="41" t="b">
        <f aca="false">TRUE()</f>
        <v>1</v>
      </c>
      <c r="GG54" s="39"/>
      <c r="GH54" s="39"/>
      <c r="GI54" s="39"/>
      <c r="GJ54" s="39"/>
      <c r="GK54" s="39"/>
      <c r="GL54" s="39"/>
      <c r="GM54" s="39"/>
      <c r="GN54" s="39"/>
      <c r="GO54" s="39"/>
      <c r="GP54" s="39"/>
      <c r="GQ54" s="39"/>
      <c r="GR54" s="39"/>
      <c r="GS54" s="39"/>
      <c r="GT54" s="39"/>
      <c r="GU54" s="39"/>
      <c r="GV54" s="39"/>
      <c r="GW54" s="39"/>
      <c r="GX54" s="39"/>
      <c r="GY54" s="39"/>
      <c r="GZ54" s="39"/>
      <c r="HA54" s="39"/>
      <c r="HB54" s="39"/>
      <c r="HC54" s="39"/>
      <c r="HD54" s="39"/>
      <c r="HE54" s="39"/>
      <c r="HF54" s="39"/>
      <c r="HG54" s="39"/>
      <c r="HH54" s="39"/>
      <c r="HI54" s="39"/>
      <c r="HJ54" s="39"/>
      <c r="HK54" s="39"/>
      <c r="HL54" s="39"/>
      <c r="HM54" s="39"/>
      <c r="HN54" s="39"/>
      <c r="HO54" s="39"/>
      <c r="HP54" s="39"/>
      <c r="HQ54" s="39"/>
      <c r="HR54" s="39"/>
      <c r="HS54" s="39"/>
      <c r="HT54" s="39"/>
      <c r="HU54" s="39"/>
      <c r="HV54" s="39"/>
      <c r="HW54" s="39"/>
      <c r="HX54" s="39"/>
      <c r="HY54" s="39"/>
      <c r="HZ54" s="39"/>
      <c r="IA54" s="39"/>
      <c r="IB54" s="39"/>
      <c r="IC54" s="39"/>
      <c r="ID54" s="41" t="b">
        <f aca="false">TRUE()</f>
        <v>1</v>
      </c>
      <c r="IE54" s="39"/>
      <c r="IF54" s="39"/>
      <c r="IG54" s="39"/>
      <c r="IH54" s="39"/>
      <c r="II54" s="39"/>
      <c r="IJ54" s="39"/>
      <c r="IK54" s="39"/>
      <c r="IL54" s="39"/>
      <c r="IM54" s="39"/>
      <c r="IN54" s="39"/>
      <c r="IO54" s="39"/>
      <c r="IP54" s="39"/>
      <c r="IQ54" s="39"/>
      <c r="IR54" s="39"/>
      <c r="IS54" s="39"/>
      <c r="IT54" s="39"/>
      <c r="IU54" s="39"/>
      <c r="IV54" s="39"/>
      <c r="IW54" s="39"/>
      <c r="IX54" s="39"/>
      <c r="IY54" s="39"/>
      <c r="IZ54" s="39"/>
      <c r="JA54" s="39"/>
      <c r="JB54" s="39"/>
      <c r="JC54" s="39"/>
      <c r="JD54" s="39"/>
      <c r="JE54" s="39"/>
      <c r="JF54" s="39"/>
      <c r="JG54" s="39"/>
      <c r="JH54" s="39"/>
      <c r="JI54" s="39"/>
      <c r="JJ54" s="39"/>
      <c r="JK54" s="39"/>
      <c r="JL54" s="39"/>
      <c r="JM54" s="39"/>
      <c r="JN54" s="39"/>
      <c r="JO54" s="39"/>
      <c r="JP54" s="39"/>
      <c r="JQ54" s="39"/>
      <c r="JR54" s="39"/>
      <c r="JS54" s="39"/>
      <c r="JT54" s="41" t="b">
        <f aca="false">TRUE()</f>
        <v>1</v>
      </c>
      <c r="JU54" s="41" t="b">
        <f aca="false">TRUE()</f>
        <v>1</v>
      </c>
      <c r="JV54" s="39"/>
      <c r="JW54" s="39"/>
      <c r="JX54" s="39"/>
      <c r="JY54" s="39"/>
      <c r="JZ54" s="39"/>
      <c r="KA54" s="39"/>
      <c r="KB54" s="39"/>
      <c r="KC54" s="39"/>
      <c r="KD54" s="39"/>
      <c r="KE54" s="39"/>
      <c r="KF54" s="39"/>
      <c r="KG54" s="39"/>
      <c r="KH54" s="39"/>
      <c r="KI54" s="39"/>
      <c r="KJ54" s="41" t="b">
        <f aca="false">TRUE()</f>
        <v>1</v>
      </c>
      <c r="KK54" s="39"/>
      <c r="KL54" s="39"/>
      <c r="KM54" s="39"/>
      <c r="KN54" s="39"/>
      <c r="KO54" s="39"/>
      <c r="KP54" s="39"/>
      <c r="KQ54" s="41" t="b">
        <f aca="false">TRUE()</f>
        <v>1</v>
      </c>
      <c r="KR54" s="39"/>
      <c r="KS54" s="39"/>
      <c r="KT54" s="41" t="b">
        <f aca="false">TRUE()</f>
        <v>1</v>
      </c>
      <c r="KU54" s="39"/>
    </row>
    <row r="55" customFormat="false" ht="14.4" hidden="false" customHeight="false" outlineLevel="0" collapsed="false">
      <c r="A55" s="37" t="s">
        <v>305</v>
      </c>
      <c r="B55" s="37" t="s">
        <v>1474</v>
      </c>
      <c r="C55" s="37"/>
      <c r="D55" s="37"/>
      <c r="E55" s="37"/>
      <c r="F55" s="37" t="s">
        <v>1475</v>
      </c>
      <c r="G55" s="37" t="s">
        <v>1476</v>
      </c>
      <c r="H55" s="37" t="s">
        <v>1477</v>
      </c>
      <c r="I55" s="37" t="s">
        <v>310</v>
      </c>
      <c r="J55" s="37" t="s">
        <v>311</v>
      </c>
      <c r="K55" s="37"/>
      <c r="L55" s="37"/>
      <c r="M55" s="37"/>
      <c r="N55" s="37"/>
      <c r="O55" s="37" t="s">
        <v>1478</v>
      </c>
      <c r="P55" s="37" t="s">
        <v>1479</v>
      </c>
      <c r="Q55" s="37" t="s">
        <v>1480</v>
      </c>
      <c r="R55" s="37" t="s">
        <v>1481</v>
      </c>
      <c r="S55" s="37" t="s">
        <v>1482</v>
      </c>
      <c r="T55" s="37" t="s">
        <v>1483</v>
      </c>
      <c r="U55" s="37" t="s">
        <v>1484</v>
      </c>
      <c r="V55" s="37" t="s">
        <v>1485</v>
      </c>
      <c r="W55" s="37" t="s">
        <v>1486</v>
      </c>
      <c r="X55" s="37" t="s">
        <v>1487</v>
      </c>
      <c r="Y55" s="37" t="s">
        <v>1488</v>
      </c>
      <c r="Z55" s="37" t="s">
        <v>1489</v>
      </c>
      <c r="AA55" s="37" t="n">
        <v>51</v>
      </c>
      <c r="AB55" s="37" t="n">
        <v>0</v>
      </c>
      <c r="AC55" s="37" t="n">
        <v>0</v>
      </c>
      <c r="AD55" s="37" t="n">
        <v>0</v>
      </c>
      <c r="AE55" s="37" t="n">
        <v>0</v>
      </c>
      <c r="AF55" s="37" t="s">
        <v>353</v>
      </c>
      <c r="AG55" s="37" t="s">
        <v>354</v>
      </c>
      <c r="AH55" s="37" t="s">
        <v>355</v>
      </c>
      <c r="AI55" s="37" t="s">
        <v>1490</v>
      </c>
      <c r="AJ55" s="37"/>
      <c r="AK55" s="37"/>
      <c r="AL55" s="37" t="s">
        <v>1491</v>
      </c>
      <c r="AM55" s="37" t="s">
        <v>1492</v>
      </c>
      <c r="AN55" s="37" t="s">
        <v>408</v>
      </c>
      <c r="AO55" s="37" t="n">
        <v>2024</v>
      </c>
      <c r="AP55" s="37" t="n">
        <v>9</v>
      </c>
      <c r="AQ55" s="37"/>
      <c r="AR55" s="37"/>
      <c r="AS55" s="37"/>
      <c r="AT55" s="37"/>
      <c r="AU55" s="37" t="n">
        <v>100619</v>
      </c>
      <c r="AV55" s="37" t="s">
        <v>1493</v>
      </c>
      <c r="AW55" s="37" t="str">
        <f aca="false">HYPERLINK("http://dx.doi.org/10.1016/j.atech.2024.100619","http://dx.doi.org/10.1016/j.atech.2024.100619")</f>
        <v>http://dx.doi.org/10.1016/j.atech.2024.100619</v>
      </c>
      <c r="AX55" s="37" t="s">
        <v>1494</v>
      </c>
      <c r="AY55" s="37" t="n">
        <v>25</v>
      </c>
      <c r="AZ55" s="37" t="s">
        <v>1495</v>
      </c>
      <c r="BA55" s="37" t="s">
        <v>575</v>
      </c>
      <c r="BB55" s="37" t="s">
        <v>553</v>
      </c>
      <c r="BC55" s="37" t="s">
        <v>1496</v>
      </c>
      <c r="BD55" s="37"/>
      <c r="BE55" s="37" t="s">
        <v>503</v>
      </c>
      <c r="BF55" s="37" t="s">
        <v>334</v>
      </c>
      <c r="BG55" s="37" t="s">
        <v>1497</v>
      </c>
      <c r="BH55" s="37" t="str">
        <f aca="false">HYPERLINK("https%3A%2F%2Fwww.webofscience.com%2Fwos%2Fwoscc%2Ffull-record%2FWOS:001353618300001","View Full Record in Web of Science")</f>
        <v>View Full Record in Web of Science</v>
      </c>
      <c r="BI55" s="39"/>
      <c r="BJ55" s="39"/>
      <c r="BK55" s="39"/>
      <c r="BL55" s="39"/>
      <c r="BM55" s="39"/>
      <c r="BN55" s="39"/>
      <c r="BO55" s="39"/>
      <c r="BP55" s="39"/>
      <c r="BQ55" s="39"/>
      <c r="BR55" s="41" t="b">
        <f aca="false">TRUE()</f>
        <v>1</v>
      </c>
      <c r="BS55" s="41" t="b">
        <f aca="false">TRUE()</f>
        <v>1</v>
      </c>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41" t="b">
        <f aca="false">TRUE()</f>
        <v>1</v>
      </c>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41" t="b">
        <f aca="false">TRUE()</f>
        <v>1</v>
      </c>
      <c r="EB55" s="39"/>
      <c r="EC55" s="39"/>
      <c r="ED55" s="39"/>
      <c r="EE55" s="39"/>
      <c r="EF55" s="39"/>
      <c r="EG55" s="39"/>
      <c r="EH55" s="39"/>
      <c r="EI55" s="39"/>
      <c r="EJ55" s="39"/>
      <c r="EK55" s="39"/>
      <c r="EL55" s="39"/>
      <c r="EM55" s="39"/>
      <c r="EN55" s="39"/>
      <c r="EO55" s="39"/>
      <c r="EP55" s="39"/>
      <c r="EQ55" s="39"/>
      <c r="ER55" s="39"/>
      <c r="ES55" s="39"/>
      <c r="ET55" s="39"/>
      <c r="EU55" s="39"/>
      <c r="EV55" s="39"/>
      <c r="EW55" s="39"/>
      <c r="EX55" s="39"/>
      <c r="EY55" s="41" t="b">
        <f aca="false">TRUE()</f>
        <v>1</v>
      </c>
      <c r="EZ55" s="39"/>
      <c r="FA55" s="39"/>
      <c r="FB55" s="39"/>
      <c r="FC55" s="39"/>
      <c r="FD55" s="39"/>
      <c r="FE55" s="39"/>
      <c r="FF55" s="39"/>
      <c r="FG55" s="39"/>
      <c r="FH55" s="39"/>
      <c r="FI55" s="39"/>
      <c r="FJ55" s="39"/>
      <c r="FK55" s="39"/>
      <c r="FL55" s="39"/>
      <c r="FM55" s="39"/>
      <c r="FN55" s="39"/>
      <c r="FO55" s="39"/>
      <c r="FP55" s="39"/>
      <c r="FQ55" s="39"/>
      <c r="FR55" s="39"/>
      <c r="FS55" s="39"/>
      <c r="FT55" s="39"/>
      <c r="FU55" s="39"/>
      <c r="FV55" s="39"/>
      <c r="FW55" s="39"/>
      <c r="FX55" s="39"/>
      <c r="FY55" s="39"/>
      <c r="FZ55" s="39"/>
      <c r="GA55" s="39"/>
      <c r="GB55" s="39"/>
      <c r="GC55" s="39"/>
      <c r="GD55" s="39"/>
      <c r="GE55" s="39"/>
      <c r="GF55" s="39"/>
      <c r="GG55" s="39"/>
      <c r="GH55" s="39"/>
      <c r="GI55" s="39"/>
      <c r="GJ55" s="39"/>
      <c r="GK55" s="39"/>
      <c r="GL55" s="39"/>
      <c r="GM55" s="39"/>
      <c r="GN55" s="39"/>
      <c r="GO55" s="39"/>
      <c r="GP55" s="39"/>
      <c r="GQ55" s="39"/>
      <c r="GR55" s="39"/>
      <c r="GS55" s="39"/>
      <c r="GT55" s="39"/>
      <c r="GU55" s="39"/>
      <c r="GV55" s="39"/>
      <c r="GW55" s="39"/>
      <c r="GX55" s="39"/>
      <c r="GY55" s="39"/>
      <c r="GZ55" s="39"/>
      <c r="HA55" s="39"/>
      <c r="HB55" s="39"/>
      <c r="HC55" s="39"/>
      <c r="HD55" s="39"/>
      <c r="HE55" s="39"/>
      <c r="HF55" s="39"/>
      <c r="HG55" s="39"/>
      <c r="HH55" s="39"/>
      <c r="HI55" s="39"/>
      <c r="HJ55" s="39"/>
      <c r="HK55" s="41" t="b">
        <f aca="false">TRUE()</f>
        <v>1</v>
      </c>
      <c r="HL55" s="39"/>
      <c r="HM55" s="39"/>
      <c r="HN55" s="39"/>
      <c r="HO55" s="39"/>
      <c r="HP55" s="39"/>
      <c r="HQ55" s="39"/>
      <c r="HR55" s="39"/>
      <c r="HS55" s="39"/>
      <c r="HT55" s="39"/>
      <c r="HU55" s="39"/>
      <c r="HV55" s="39"/>
      <c r="HW55" s="39"/>
      <c r="HX55" s="39"/>
      <c r="HY55" s="39"/>
      <c r="HZ55" s="39"/>
      <c r="IA55" s="41" t="b">
        <f aca="false">TRUE()</f>
        <v>1</v>
      </c>
      <c r="IB55" s="39"/>
      <c r="IC55" s="39"/>
      <c r="ID55" s="39"/>
      <c r="IE55" s="39"/>
      <c r="IF55" s="39"/>
      <c r="IG55" s="39"/>
      <c r="IH55" s="39"/>
      <c r="II55" s="39"/>
      <c r="IJ55" s="39"/>
      <c r="IK55" s="39"/>
      <c r="IL55" s="39"/>
      <c r="IM55" s="39"/>
      <c r="IN55" s="39"/>
      <c r="IO55" s="39"/>
      <c r="IP55" s="39"/>
      <c r="IQ55" s="39"/>
      <c r="IR55" s="39"/>
      <c r="IS55" s="39"/>
      <c r="IT55" s="39"/>
      <c r="IU55" s="39"/>
      <c r="IV55" s="39"/>
      <c r="IW55" s="39"/>
      <c r="IX55" s="39"/>
      <c r="IY55" s="39"/>
      <c r="IZ55" s="39"/>
      <c r="JA55" s="39"/>
      <c r="JB55" s="39"/>
      <c r="JC55" s="39"/>
      <c r="JD55" s="39"/>
      <c r="JE55" s="39"/>
      <c r="JF55" s="39"/>
      <c r="JG55" s="39"/>
      <c r="JH55" s="39"/>
      <c r="JI55" s="39"/>
      <c r="JJ55" s="39"/>
      <c r="JK55" s="39"/>
      <c r="JL55" s="39"/>
      <c r="JM55" s="39"/>
      <c r="JN55" s="39"/>
      <c r="JO55" s="39"/>
      <c r="JP55" s="39"/>
      <c r="JQ55" s="39"/>
      <c r="JR55" s="39"/>
      <c r="JS55" s="39"/>
      <c r="JT55" s="41" t="b">
        <f aca="false">TRUE()</f>
        <v>1</v>
      </c>
      <c r="JU55" s="41" t="b">
        <f aca="false">TRUE()</f>
        <v>1</v>
      </c>
      <c r="JV55" s="39"/>
      <c r="JW55" s="39"/>
      <c r="JX55" s="39"/>
      <c r="JY55" s="39"/>
      <c r="JZ55" s="39"/>
      <c r="KA55" s="39"/>
      <c r="KB55" s="39"/>
      <c r="KC55" s="39"/>
      <c r="KD55" s="39"/>
      <c r="KE55" s="39"/>
      <c r="KF55" s="39"/>
      <c r="KG55" s="39"/>
      <c r="KH55" s="39"/>
      <c r="KI55" s="39"/>
      <c r="KJ55" s="39"/>
      <c r="KK55" s="39"/>
      <c r="KL55" s="39"/>
      <c r="KM55" s="39"/>
      <c r="KN55" s="39"/>
      <c r="KO55" s="39"/>
      <c r="KP55" s="41" t="b">
        <f aca="false">TRUE()</f>
        <v>1</v>
      </c>
      <c r="KQ55" s="41" t="b">
        <f aca="false">TRUE()</f>
        <v>1</v>
      </c>
      <c r="KR55" s="39"/>
      <c r="KS55" s="41" t="b">
        <f aca="false">TRUE()</f>
        <v>1</v>
      </c>
      <c r="KT55" s="39"/>
      <c r="KU55" s="39"/>
    </row>
    <row r="56" customFormat="false" ht="14.4" hidden="false" customHeight="false" outlineLevel="0" collapsed="false">
      <c r="A56" s="37" t="s">
        <v>305</v>
      </c>
      <c r="B56" s="37" t="s">
        <v>1498</v>
      </c>
      <c r="C56" s="37"/>
      <c r="D56" s="37"/>
      <c r="E56" s="37"/>
      <c r="F56" s="37" t="s">
        <v>1499</v>
      </c>
      <c r="G56" s="37" t="s">
        <v>1500</v>
      </c>
      <c r="H56" s="37" t="s">
        <v>1501</v>
      </c>
      <c r="I56" s="37" t="s">
        <v>310</v>
      </c>
      <c r="J56" s="37" t="s">
        <v>311</v>
      </c>
      <c r="K56" s="37"/>
      <c r="L56" s="37"/>
      <c r="M56" s="37"/>
      <c r="N56" s="37"/>
      <c r="O56" s="37" t="s">
        <v>1502</v>
      </c>
      <c r="P56" s="37" t="s">
        <v>1503</v>
      </c>
      <c r="Q56" s="37" t="s">
        <v>1504</v>
      </c>
      <c r="R56" s="37" t="s">
        <v>1505</v>
      </c>
      <c r="S56" s="37" t="s">
        <v>1506</v>
      </c>
      <c r="T56" s="37" t="s">
        <v>1507</v>
      </c>
      <c r="U56" s="37" t="s">
        <v>1508</v>
      </c>
      <c r="V56" s="37" t="s">
        <v>1509</v>
      </c>
      <c r="W56" s="37" t="s">
        <v>1510</v>
      </c>
      <c r="X56" s="37"/>
      <c r="Y56" s="37"/>
      <c r="Z56" s="37"/>
      <c r="AA56" s="37" t="n">
        <v>87</v>
      </c>
      <c r="AB56" s="37" t="n">
        <v>18</v>
      </c>
      <c r="AC56" s="37" t="n">
        <v>18</v>
      </c>
      <c r="AD56" s="37" t="n">
        <v>10</v>
      </c>
      <c r="AE56" s="37" t="n">
        <v>51</v>
      </c>
      <c r="AF56" s="37" t="s">
        <v>1511</v>
      </c>
      <c r="AG56" s="37" t="s">
        <v>1065</v>
      </c>
      <c r="AH56" s="37" t="s">
        <v>1512</v>
      </c>
      <c r="AI56" s="37" t="s">
        <v>1513</v>
      </c>
      <c r="AJ56" s="37" t="s">
        <v>1514</v>
      </c>
      <c r="AK56" s="37"/>
      <c r="AL56" s="37" t="s">
        <v>1515</v>
      </c>
      <c r="AM56" s="37" t="s">
        <v>1516</v>
      </c>
      <c r="AN56" s="37" t="s">
        <v>775</v>
      </c>
      <c r="AO56" s="37" t="n">
        <v>2023</v>
      </c>
      <c r="AP56" s="37" t="n">
        <v>121</v>
      </c>
      <c r="AQ56" s="37"/>
      <c r="AR56" s="37"/>
      <c r="AS56" s="37"/>
      <c r="AT56" s="37"/>
      <c r="AU56" s="37" t="n">
        <v>105984</v>
      </c>
      <c r="AV56" s="37" t="s">
        <v>1517</v>
      </c>
      <c r="AW56" s="37" t="str">
        <f aca="false">HYPERLINK("http://dx.doi.org/10.1016/j.engappai.2023.105984","http://dx.doi.org/10.1016/j.engappai.2023.105984")</f>
        <v>http://dx.doi.org/10.1016/j.engappai.2023.105984</v>
      </c>
      <c r="AX56" s="37" t="s">
        <v>1518</v>
      </c>
      <c r="AY56" s="37" t="n">
        <v>21</v>
      </c>
      <c r="AZ56" s="37" t="s">
        <v>1519</v>
      </c>
      <c r="BA56" s="37" t="s">
        <v>331</v>
      </c>
      <c r="BB56" s="37" t="s">
        <v>1520</v>
      </c>
      <c r="BC56" s="37" t="s">
        <v>1521</v>
      </c>
      <c r="BD56" s="37"/>
      <c r="BE56" s="37"/>
      <c r="BF56" s="37" t="s">
        <v>334</v>
      </c>
      <c r="BG56" s="37" t="s">
        <v>1522</v>
      </c>
      <c r="BH56" s="37" t="str">
        <f aca="false">HYPERLINK("https%3A%2F%2Fwww.webofscience.com%2Fwos%2Fwoscc%2Ffull-record%2FWOS:000948953800001","View Full Record in Web of Science")</f>
        <v>View Full Record in Web of Science</v>
      </c>
      <c r="BI56" s="39"/>
      <c r="BJ56" s="39"/>
      <c r="BK56" s="39"/>
      <c r="BL56" s="39"/>
      <c r="BM56" s="39"/>
      <c r="BN56" s="39"/>
      <c r="BO56" s="39"/>
      <c r="BP56" s="41" t="b">
        <f aca="false">TRUE()</f>
        <v>1</v>
      </c>
      <c r="BQ56" s="41" t="b">
        <f aca="false">TRUE()</f>
        <v>1</v>
      </c>
      <c r="BR56" s="41" t="b">
        <f aca="false">TRUE()</f>
        <v>1</v>
      </c>
      <c r="BS56" s="41" t="b">
        <f aca="false">TRUE()</f>
        <v>1</v>
      </c>
      <c r="BT56" s="41" t="b">
        <f aca="false">TRUE()</f>
        <v>1</v>
      </c>
      <c r="BU56" s="41" t="b">
        <f aca="false">TRUE()</f>
        <v>1</v>
      </c>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9"/>
      <c r="DA56" s="39"/>
      <c r="DB56" s="39"/>
      <c r="DC56" s="39"/>
      <c r="DD56" s="39"/>
      <c r="DE56" s="39"/>
      <c r="DF56" s="39"/>
      <c r="DG56" s="39"/>
      <c r="DH56" s="39"/>
      <c r="DI56" s="39"/>
      <c r="DJ56" s="39"/>
      <c r="DK56" s="39"/>
      <c r="DL56" s="39"/>
      <c r="DM56" s="39"/>
      <c r="DN56" s="39"/>
      <c r="DO56" s="39"/>
      <c r="DP56" s="39"/>
      <c r="DQ56" s="39"/>
      <c r="DR56" s="39"/>
      <c r="DS56" s="39"/>
      <c r="DT56" s="39"/>
      <c r="DU56" s="39"/>
      <c r="DV56" s="39"/>
      <c r="DW56" s="39"/>
      <c r="DX56" s="39"/>
      <c r="DY56" s="39"/>
      <c r="DZ56" s="39"/>
      <c r="EA56" s="39"/>
      <c r="EB56" s="39"/>
      <c r="EC56" s="39"/>
      <c r="ED56" s="39"/>
      <c r="EE56" s="39"/>
      <c r="EF56" s="39"/>
      <c r="EG56" s="39"/>
      <c r="EH56" s="39"/>
      <c r="EI56" s="39"/>
      <c r="EJ56" s="39"/>
      <c r="EK56" s="39"/>
      <c r="EL56" s="39"/>
      <c r="EM56" s="39"/>
      <c r="EN56" s="39"/>
      <c r="EO56" s="39"/>
      <c r="EP56" s="39"/>
      <c r="EQ56" s="39"/>
      <c r="ER56" s="39"/>
      <c r="ES56" s="39"/>
      <c r="ET56" s="39"/>
      <c r="EU56" s="39"/>
      <c r="EV56" s="39"/>
      <c r="EW56" s="39"/>
      <c r="EX56" s="39"/>
      <c r="EY56" s="39"/>
      <c r="EZ56" s="39"/>
      <c r="FA56" s="39"/>
      <c r="FB56" s="39"/>
      <c r="FC56" s="41" t="b">
        <f aca="false">TRUE()</f>
        <v>1</v>
      </c>
      <c r="FD56" s="39"/>
      <c r="FE56" s="39"/>
      <c r="FF56" s="39"/>
      <c r="FG56" s="39"/>
      <c r="FH56" s="39"/>
      <c r="FI56" s="39"/>
      <c r="FJ56" s="39"/>
      <c r="FK56" s="39"/>
      <c r="FL56" s="39"/>
      <c r="FM56" s="39"/>
      <c r="FN56" s="39"/>
      <c r="FO56" s="39"/>
      <c r="FP56" s="39"/>
      <c r="FQ56" s="39"/>
      <c r="FR56" s="39"/>
      <c r="FS56" s="39"/>
      <c r="FT56" s="39"/>
      <c r="FU56" s="39"/>
      <c r="FV56" s="39"/>
      <c r="FW56" s="39"/>
      <c r="FX56" s="39"/>
      <c r="FY56" s="39"/>
      <c r="FZ56" s="39"/>
      <c r="GA56" s="39"/>
      <c r="GB56" s="39"/>
      <c r="GC56" s="39"/>
      <c r="GD56" s="39"/>
      <c r="GE56" s="39"/>
      <c r="GF56" s="39"/>
      <c r="GG56" s="39"/>
      <c r="GH56" s="39"/>
      <c r="GI56" s="39"/>
      <c r="GJ56" s="39"/>
      <c r="GK56" s="39"/>
      <c r="GL56" s="39"/>
      <c r="GM56" s="39"/>
      <c r="GN56" s="39"/>
      <c r="GO56" s="39"/>
      <c r="GP56" s="39"/>
      <c r="GQ56" s="39"/>
      <c r="GR56" s="39"/>
      <c r="GS56" s="39"/>
      <c r="GT56" s="39"/>
      <c r="GU56" s="39"/>
      <c r="GV56" s="39"/>
      <c r="GW56" s="39"/>
      <c r="GX56" s="39"/>
      <c r="GY56" s="39"/>
      <c r="GZ56" s="39"/>
      <c r="HA56" s="39"/>
      <c r="HB56" s="39"/>
      <c r="HC56" s="39"/>
      <c r="HD56" s="39"/>
      <c r="HE56" s="39"/>
      <c r="HF56" s="39"/>
      <c r="HG56" s="39"/>
      <c r="HH56" s="39"/>
      <c r="HI56" s="39"/>
      <c r="HJ56" s="39"/>
      <c r="HK56" s="41" t="b">
        <f aca="false">TRUE()</f>
        <v>1</v>
      </c>
      <c r="HL56" s="39"/>
      <c r="HM56" s="39"/>
      <c r="HN56" s="39"/>
      <c r="HO56" s="39"/>
      <c r="HP56" s="39"/>
      <c r="HQ56" s="39"/>
      <c r="HR56" s="39"/>
      <c r="HS56" s="39"/>
      <c r="HT56" s="39"/>
      <c r="HU56" s="39"/>
      <c r="HV56" s="39"/>
      <c r="HW56" s="39"/>
      <c r="HX56" s="39"/>
      <c r="HY56" s="39"/>
      <c r="HZ56" s="39"/>
      <c r="IA56" s="39"/>
      <c r="IB56" s="41" t="b">
        <f aca="false">TRUE()</f>
        <v>1</v>
      </c>
      <c r="IC56" s="39"/>
      <c r="ID56" s="39"/>
      <c r="IE56" s="39"/>
      <c r="IF56" s="39"/>
      <c r="IG56" s="39"/>
      <c r="IH56" s="39"/>
      <c r="II56" s="39"/>
      <c r="IJ56" s="39"/>
      <c r="IK56" s="39"/>
      <c r="IL56" s="39"/>
      <c r="IM56" s="39"/>
      <c r="IN56" s="39"/>
      <c r="IO56" s="39"/>
      <c r="IP56" s="39"/>
      <c r="IQ56" s="39"/>
      <c r="IR56" s="39"/>
      <c r="IS56" s="39"/>
      <c r="IT56" s="39"/>
      <c r="IU56" s="39"/>
      <c r="IV56" s="39"/>
      <c r="IW56" s="39"/>
      <c r="IX56" s="39"/>
      <c r="IY56" s="39"/>
      <c r="IZ56" s="39"/>
      <c r="JA56" s="39"/>
      <c r="JB56" s="39"/>
      <c r="JC56" s="39"/>
      <c r="JD56" s="39"/>
      <c r="JE56" s="39"/>
      <c r="JF56" s="39"/>
      <c r="JG56" s="39"/>
      <c r="JH56" s="39"/>
      <c r="JI56" s="39"/>
      <c r="JJ56" s="39"/>
      <c r="JK56" s="39"/>
      <c r="JL56" s="39"/>
      <c r="JM56" s="39"/>
      <c r="JN56" s="39"/>
      <c r="JO56" s="39"/>
      <c r="JP56" s="39"/>
      <c r="JQ56" s="39"/>
      <c r="JR56" s="39"/>
      <c r="JS56" s="39"/>
      <c r="JT56" s="41" t="b">
        <f aca="false">TRUE()</f>
        <v>1</v>
      </c>
      <c r="JU56" s="39"/>
      <c r="JV56" s="39"/>
      <c r="JW56" s="39"/>
      <c r="JX56" s="39"/>
      <c r="JY56" s="39"/>
      <c r="JZ56" s="39"/>
      <c r="KA56" s="39"/>
      <c r="KB56" s="39"/>
      <c r="KC56" s="39"/>
      <c r="KD56" s="39"/>
      <c r="KE56" s="39"/>
      <c r="KF56" s="39"/>
      <c r="KG56" s="39"/>
      <c r="KH56" s="39"/>
      <c r="KI56" s="39"/>
      <c r="KJ56" s="41" t="b">
        <f aca="false">TRUE()</f>
        <v>1</v>
      </c>
      <c r="KK56" s="39"/>
      <c r="KL56" s="39"/>
      <c r="KM56" s="39"/>
      <c r="KN56" s="39"/>
      <c r="KO56" s="41" t="b">
        <f aca="false">TRUE()</f>
        <v>1</v>
      </c>
      <c r="KP56" s="41" t="b">
        <f aca="false">TRUE()</f>
        <v>1</v>
      </c>
      <c r="KQ56" s="39"/>
      <c r="KR56" s="39"/>
      <c r="KS56" s="41" t="b">
        <f aca="false">TRUE()</f>
        <v>1</v>
      </c>
      <c r="KT56" s="39"/>
      <c r="KU56" s="39"/>
    </row>
    <row r="57" customFormat="false" ht="14.4" hidden="false" customHeight="false" outlineLevel="0" collapsed="false">
      <c r="A57" s="53" t="s">
        <v>305</v>
      </c>
      <c r="B57" s="53" t="s">
        <v>1523</v>
      </c>
      <c r="C57" s="53"/>
      <c r="D57" s="53"/>
      <c r="E57" s="53"/>
      <c r="F57" s="53" t="s">
        <v>1524</v>
      </c>
      <c r="G57" s="53" t="s">
        <v>1525</v>
      </c>
      <c r="H57" s="53" t="s">
        <v>1526</v>
      </c>
      <c r="I57" s="53" t="s">
        <v>310</v>
      </c>
      <c r="J57" s="53" t="s">
        <v>1527</v>
      </c>
      <c r="K57" s="53"/>
      <c r="L57" s="53"/>
      <c r="M57" s="53"/>
      <c r="N57" s="53"/>
      <c r="O57" s="53" t="s">
        <v>1528</v>
      </c>
      <c r="P57" s="53" t="s">
        <v>1529</v>
      </c>
      <c r="Q57" s="53" t="s">
        <v>1530</v>
      </c>
      <c r="R57" s="53" t="s">
        <v>1531</v>
      </c>
      <c r="S57" s="53" t="s">
        <v>1532</v>
      </c>
      <c r="T57" s="53" t="s">
        <v>1533</v>
      </c>
      <c r="U57" s="53" t="s">
        <v>1534</v>
      </c>
      <c r="V57" s="53" t="s">
        <v>1535</v>
      </c>
      <c r="W57" s="53" t="s">
        <v>1536</v>
      </c>
      <c r="X57" s="53" t="s">
        <v>1537</v>
      </c>
      <c r="Y57" s="53" t="s">
        <v>1538</v>
      </c>
      <c r="Z57" s="53" t="s">
        <v>1539</v>
      </c>
      <c r="AA57" s="53" t="n">
        <v>88</v>
      </c>
      <c r="AB57" s="53" t="n">
        <v>4</v>
      </c>
      <c r="AC57" s="53" t="n">
        <v>4</v>
      </c>
      <c r="AD57" s="53" t="n">
        <v>16</v>
      </c>
      <c r="AE57" s="53" t="n">
        <v>24</v>
      </c>
      <c r="AF57" s="53" t="s">
        <v>353</v>
      </c>
      <c r="AG57" s="53" t="s">
        <v>354</v>
      </c>
      <c r="AH57" s="53" t="s">
        <v>355</v>
      </c>
      <c r="AI57" s="53"/>
      <c r="AJ57" s="53" t="s">
        <v>1540</v>
      </c>
      <c r="AK57" s="53"/>
      <c r="AL57" s="53" t="s">
        <v>1526</v>
      </c>
      <c r="AM57" s="53" t="s">
        <v>1541</v>
      </c>
      <c r="AN57" s="53" t="s">
        <v>408</v>
      </c>
      <c r="AO57" s="53" t="n">
        <v>2024</v>
      </c>
      <c r="AP57" s="53" t="n">
        <v>13</v>
      </c>
      <c r="AQ57" s="53"/>
      <c r="AR57" s="53"/>
      <c r="AS57" s="53"/>
      <c r="AT57" s="53"/>
      <c r="AU57" s="53" t="n">
        <v>102800</v>
      </c>
      <c r="AV57" s="53" t="s">
        <v>1542</v>
      </c>
      <c r="AW57" s="53" t="str">
        <f aca="false">HYPERLINK("http://dx.doi.org/10.1016/j.mex.2024.102800","http://dx.doi.org/10.1016/j.mex.2024.102800")</f>
        <v>http://dx.doi.org/10.1016/j.mex.2024.102800</v>
      </c>
      <c r="AX57" s="53" t="s">
        <v>1543</v>
      </c>
      <c r="AY57" s="53" t="n">
        <v>15</v>
      </c>
      <c r="AZ57" s="53" t="s">
        <v>1544</v>
      </c>
      <c r="BA57" s="53" t="s">
        <v>575</v>
      </c>
      <c r="BB57" s="53" t="s">
        <v>1545</v>
      </c>
      <c r="BC57" s="53" t="s">
        <v>1546</v>
      </c>
      <c r="BD57" s="53" t="n">
        <v>38989261</v>
      </c>
      <c r="BE57" s="53" t="s">
        <v>1547</v>
      </c>
      <c r="BF57" s="53" t="s">
        <v>334</v>
      </c>
      <c r="BG57" s="53" t="s">
        <v>1548</v>
      </c>
      <c r="BH57" s="53" t="str">
        <f aca="false">HYPERLINK("https%3A%2F%2Fwww.webofscience.com%2Fwos%2Fwoscc%2Ffull-record%2FWOS:001255291900001","View Full Record in Web of Science")</f>
        <v>View Full Record in Web of Science</v>
      </c>
      <c r="BI57" s="54" t="b">
        <f aca="false">TRUE()</f>
        <v>1</v>
      </c>
      <c r="BJ57" s="55"/>
      <c r="BK57" s="55"/>
      <c r="BL57" s="55"/>
      <c r="BM57" s="55"/>
      <c r="BN57" s="55"/>
      <c r="BO57" s="55"/>
      <c r="BP57" s="54" t="b">
        <f aca="false">TRUE()</f>
        <v>1</v>
      </c>
      <c r="BQ57" s="55"/>
      <c r="BR57" s="54" t="b">
        <f aca="false">TRUE()</f>
        <v>1</v>
      </c>
      <c r="BS57" s="55"/>
      <c r="BT57" s="55"/>
      <c r="BU57" s="55"/>
      <c r="BV57" s="55"/>
      <c r="BW57" s="55"/>
      <c r="BX57" s="55"/>
      <c r="BY57" s="54" t="b">
        <f aca="false">TRUE()</f>
        <v>1</v>
      </c>
      <c r="BZ57" s="55"/>
      <c r="CA57" s="55"/>
      <c r="CB57" s="55"/>
      <c r="CC57" s="55"/>
      <c r="CD57" s="54" t="b">
        <f aca="false">TRUE()</f>
        <v>1</v>
      </c>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4" t="b">
        <f aca="false">TRUE()</f>
        <v>1</v>
      </c>
      <c r="EC57" s="55"/>
      <c r="ED57" s="55"/>
      <c r="EE57" s="55"/>
      <c r="EF57" s="55"/>
      <c r="EG57" s="55"/>
      <c r="EH57" s="55"/>
      <c r="EI57" s="55"/>
      <c r="EJ57" s="55"/>
      <c r="EK57" s="55"/>
      <c r="EL57" s="55"/>
      <c r="EM57" s="55"/>
      <c r="EN57" s="55"/>
      <c r="EO57" s="55"/>
      <c r="EP57" s="55"/>
      <c r="EQ57" s="55"/>
      <c r="ER57" s="55"/>
      <c r="ES57" s="55"/>
      <c r="ET57" s="55"/>
      <c r="EU57" s="55"/>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4" t="b">
        <f aca="false">TRUE()</f>
        <v>1</v>
      </c>
      <c r="GN57" s="55"/>
      <c r="GO57" s="55"/>
      <c r="GP57" s="55"/>
      <c r="GQ57" s="55"/>
      <c r="GR57" s="55"/>
      <c r="GS57" s="55"/>
      <c r="GT57" s="55"/>
      <c r="GU57" s="55"/>
      <c r="GV57" s="55"/>
      <c r="GW57" s="55"/>
      <c r="GX57" s="55"/>
      <c r="GY57" s="55"/>
      <c r="GZ57" s="55"/>
      <c r="HA57" s="55"/>
      <c r="HB57" s="55"/>
      <c r="HC57" s="55"/>
      <c r="HD57" s="55"/>
      <c r="HE57" s="55"/>
      <c r="HF57" s="55"/>
      <c r="HG57" s="55"/>
      <c r="HH57" s="55"/>
      <c r="HI57" s="55"/>
      <c r="HJ57" s="55"/>
      <c r="HK57" s="55"/>
      <c r="HL57" s="55"/>
      <c r="HM57" s="55"/>
      <c r="HN57" s="55"/>
      <c r="HO57" s="55"/>
      <c r="HP57" s="55"/>
      <c r="HQ57" s="55"/>
      <c r="HR57" s="55"/>
      <c r="HS57" s="55"/>
      <c r="HT57" s="55"/>
      <c r="HU57" s="55"/>
      <c r="HV57" s="55"/>
      <c r="HW57" s="55"/>
      <c r="HX57" s="54" t="b">
        <f aca="false">TRUE()</f>
        <v>1</v>
      </c>
      <c r="HY57" s="55"/>
      <c r="HZ57" s="55"/>
      <c r="IA57" s="55"/>
      <c r="IB57" s="54" t="b">
        <f aca="false">TRUE()</f>
        <v>1</v>
      </c>
      <c r="IC57" s="54" t="b">
        <f aca="false">TRUE()</f>
        <v>1</v>
      </c>
      <c r="ID57" s="54" t="b">
        <f aca="false">TRUE()</f>
        <v>1</v>
      </c>
      <c r="IE57" s="54" t="b">
        <f aca="false">TRUE()</f>
        <v>1</v>
      </c>
      <c r="IF57" s="54" t="b">
        <f aca="false">TRUE()</f>
        <v>1</v>
      </c>
      <c r="IG57" s="54" t="b">
        <f aca="false">TRUE()</f>
        <v>1</v>
      </c>
      <c r="IH57" s="54" t="b">
        <f aca="false">TRUE()</f>
        <v>1</v>
      </c>
      <c r="II57" s="54" t="b">
        <f aca="false">TRUE()</f>
        <v>1</v>
      </c>
      <c r="IJ57" s="55"/>
      <c r="IK57" s="54" t="b">
        <f aca="false">TRUE()</f>
        <v>1</v>
      </c>
      <c r="IL57" s="54" t="b">
        <f aca="false">TRUE()</f>
        <v>1</v>
      </c>
      <c r="IM57" s="54" t="b">
        <f aca="false">TRUE()</f>
        <v>1</v>
      </c>
      <c r="IN57" s="54" t="b">
        <f aca="false">TRUE()</f>
        <v>1</v>
      </c>
      <c r="IO57" s="54" t="b">
        <f aca="false">TRUE()</f>
        <v>1</v>
      </c>
      <c r="IP57" s="55"/>
      <c r="IQ57" s="54" t="b">
        <f aca="false">TRUE()</f>
        <v>1</v>
      </c>
      <c r="IR57" s="55"/>
      <c r="IS57" s="54" t="b">
        <f aca="false">TRUE()</f>
        <v>1</v>
      </c>
      <c r="IT57" s="54" t="b">
        <f aca="false">TRUE()</f>
        <v>1</v>
      </c>
      <c r="IU57" s="54" t="b">
        <f aca="false">TRUE()</f>
        <v>1</v>
      </c>
      <c r="IV57" s="54" t="b">
        <f aca="false">TRUE()</f>
        <v>1</v>
      </c>
      <c r="IW57" s="55"/>
      <c r="IX57" s="54" t="b">
        <f aca="false">TRUE()</f>
        <v>1</v>
      </c>
      <c r="IY57" s="54" t="b">
        <f aca="false">TRUE()</f>
        <v>1</v>
      </c>
      <c r="IZ57" s="54" t="b">
        <f aca="false">TRUE()</f>
        <v>1</v>
      </c>
      <c r="JA57" s="54" t="b">
        <f aca="false">TRUE()</f>
        <v>1</v>
      </c>
      <c r="JB57" s="54" t="b">
        <f aca="false">TRUE()</f>
        <v>1</v>
      </c>
      <c r="JC57" s="55"/>
      <c r="JD57" s="55"/>
      <c r="JE57" s="55"/>
      <c r="JF57" s="55"/>
      <c r="JG57" s="55"/>
      <c r="JH57" s="55"/>
      <c r="JI57" s="55"/>
      <c r="JJ57" s="55"/>
      <c r="JK57" s="55"/>
      <c r="JL57" s="55"/>
      <c r="JM57" s="55"/>
      <c r="JN57" s="55"/>
      <c r="JO57" s="55"/>
      <c r="JP57" s="55"/>
      <c r="JQ57" s="55"/>
      <c r="JR57" s="55"/>
      <c r="JS57" s="55"/>
      <c r="JT57" s="54" t="b">
        <f aca="false">TRUE()</f>
        <v>1</v>
      </c>
      <c r="JU57" s="54" t="b">
        <f aca="false">TRUE()</f>
        <v>1</v>
      </c>
      <c r="JV57" s="55"/>
      <c r="JW57" s="55"/>
      <c r="JX57" s="55"/>
      <c r="JY57" s="55"/>
      <c r="JZ57" s="55"/>
      <c r="KA57" s="55"/>
      <c r="KB57" s="55"/>
      <c r="KC57" s="55"/>
      <c r="KD57" s="55"/>
      <c r="KE57" s="55"/>
      <c r="KF57" s="55"/>
      <c r="KG57" s="55"/>
      <c r="KH57" s="55"/>
      <c r="KI57" s="55"/>
      <c r="KJ57" s="55"/>
      <c r="KK57" s="55"/>
      <c r="KL57" s="55"/>
      <c r="KM57" s="55"/>
      <c r="KN57" s="55"/>
      <c r="KO57" s="54" t="b">
        <f aca="false">TRUE()</f>
        <v>1</v>
      </c>
      <c r="KP57" s="55"/>
      <c r="KQ57" s="55"/>
      <c r="KR57" s="55"/>
      <c r="KS57" s="55"/>
      <c r="KT57" s="55"/>
      <c r="KU57" s="54" t="b">
        <f aca="false">TRUE()</f>
        <v>1</v>
      </c>
    </row>
    <row r="58" customFormat="false" ht="14.4" hidden="false" customHeight="false" outlineLevel="0" collapsed="false">
      <c r="A58" s="37" t="s">
        <v>305</v>
      </c>
      <c r="B58" s="37" t="s">
        <v>1549</v>
      </c>
      <c r="C58" s="37"/>
      <c r="D58" s="37"/>
      <c r="E58" s="37"/>
      <c r="F58" s="37" t="s">
        <v>1550</v>
      </c>
      <c r="G58" s="37" t="s">
        <v>1551</v>
      </c>
      <c r="H58" s="37" t="s">
        <v>388</v>
      </c>
      <c r="I58" s="37" t="s">
        <v>310</v>
      </c>
      <c r="J58" s="37" t="s">
        <v>311</v>
      </c>
      <c r="K58" s="37"/>
      <c r="L58" s="37"/>
      <c r="M58" s="37"/>
      <c r="N58" s="37"/>
      <c r="O58" s="37" t="s">
        <v>1552</v>
      </c>
      <c r="P58" s="37" t="s">
        <v>1553</v>
      </c>
      <c r="Q58" s="37" t="s">
        <v>1554</v>
      </c>
      <c r="R58" s="37" t="s">
        <v>1555</v>
      </c>
      <c r="S58" s="37" t="s">
        <v>1556</v>
      </c>
      <c r="T58" s="37" t="s">
        <v>1557</v>
      </c>
      <c r="U58" s="37" t="s">
        <v>1558</v>
      </c>
      <c r="V58" s="37" t="s">
        <v>1559</v>
      </c>
      <c r="W58" s="37" t="s">
        <v>1560</v>
      </c>
      <c r="X58" s="37" t="s">
        <v>1561</v>
      </c>
      <c r="Y58" s="37" t="s">
        <v>1562</v>
      </c>
      <c r="Z58" s="37" t="s">
        <v>1563</v>
      </c>
      <c r="AA58" s="37" t="n">
        <v>48</v>
      </c>
      <c r="AB58" s="37" t="n">
        <v>48</v>
      </c>
      <c r="AC58" s="37" t="n">
        <v>49</v>
      </c>
      <c r="AD58" s="37" t="n">
        <v>6</v>
      </c>
      <c r="AE58" s="37" t="n">
        <v>48</v>
      </c>
      <c r="AF58" s="37" t="s">
        <v>401</v>
      </c>
      <c r="AG58" s="37" t="s">
        <v>1065</v>
      </c>
      <c r="AH58" s="37" t="s">
        <v>1066</v>
      </c>
      <c r="AI58" s="37" t="s">
        <v>404</v>
      </c>
      <c r="AJ58" s="37" t="s">
        <v>405</v>
      </c>
      <c r="AK58" s="37"/>
      <c r="AL58" s="37" t="s">
        <v>406</v>
      </c>
      <c r="AM58" s="37" t="s">
        <v>407</v>
      </c>
      <c r="AN58" s="37" t="s">
        <v>435</v>
      </c>
      <c r="AO58" s="37" t="n">
        <v>2020</v>
      </c>
      <c r="AP58" s="37" t="n">
        <v>177</v>
      </c>
      <c r="AQ58" s="37"/>
      <c r="AR58" s="37"/>
      <c r="AS58" s="37"/>
      <c r="AT58" s="37"/>
      <c r="AU58" s="37" t="n">
        <v>105700</v>
      </c>
      <c r="AV58" s="37" t="s">
        <v>1564</v>
      </c>
      <c r="AW58" s="37" t="str">
        <f aca="false">HYPERLINK("http://dx.doi.org/10.1016/j.compag.2020.105700","http://dx.doi.org/10.1016/j.compag.2020.105700")</f>
        <v>http://dx.doi.org/10.1016/j.compag.2020.105700</v>
      </c>
      <c r="AX58" s="37"/>
      <c r="AY58" s="37" t="n">
        <v>15</v>
      </c>
      <c r="AZ58" s="37" t="s">
        <v>411</v>
      </c>
      <c r="BA58" s="37" t="s">
        <v>331</v>
      </c>
      <c r="BB58" s="37" t="s">
        <v>412</v>
      </c>
      <c r="BC58" s="37" t="s">
        <v>1565</v>
      </c>
      <c r="BD58" s="37"/>
      <c r="BE58" s="37"/>
      <c r="BF58" s="37" t="s">
        <v>334</v>
      </c>
      <c r="BG58" s="37" t="s">
        <v>1566</v>
      </c>
      <c r="BH58" s="37" t="str">
        <f aca="false">HYPERLINK("https%3A%2F%2Fwww.webofscience.com%2Fwos%2Fwoscc%2Ffull-record%2FWOS:000571944500008","View Full Record in Web of Science")</f>
        <v>View Full Record in Web of Science</v>
      </c>
      <c r="BI58" s="41" t="b">
        <f aca="false">TRUE()</f>
        <v>1</v>
      </c>
      <c r="BJ58" s="39"/>
      <c r="BK58" s="39"/>
      <c r="BL58" s="39"/>
      <c r="BM58" s="39"/>
      <c r="BN58" s="39"/>
      <c r="BO58" s="39"/>
      <c r="BP58" s="39"/>
      <c r="BQ58" s="39"/>
      <c r="BR58" s="39"/>
      <c r="BS58" s="39"/>
      <c r="BT58" s="39"/>
      <c r="BU58" s="39"/>
      <c r="BV58" s="39"/>
      <c r="BW58" s="39"/>
      <c r="BX58" s="39"/>
      <c r="BY58" s="41" t="b">
        <f aca="false">TRUE()</f>
        <v>1</v>
      </c>
      <c r="BZ58" s="39"/>
      <c r="CA58" s="39"/>
      <c r="CB58" s="39"/>
      <c r="CC58" s="39"/>
      <c r="CD58" s="39"/>
      <c r="CE58" s="39"/>
      <c r="CF58" s="39"/>
      <c r="CG58" s="39"/>
      <c r="CH58" s="39"/>
      <c r="CI58" s="39"/>
      <c r="CJ58" s="39"/>
      <c r="CK58" s="39"/>
      <c r="CL58" s="39"/>
      <c r="CM58" s="39"/>
      <c r="CN58" s="39"/>
      <c r="CO58" s="39"/>
      <c r="CP58" s="39"/>
      <c r="CQ58" s="39"/>
      <c r="CR58" s="39"/>
      <c r="CS58" s="39"/>
      <c r="CT58" s="39"/>
      <c r="CU58" s="39"/>
      <c r="CV58" s="39"/>
      <c r="CW58" s="39"/>
      <c r="CX58" s="39"/>
      <c r="CY58" s="39"/>
      <c r="CZ58" s="39"/>
      <c r="DA58" s="39"/>
      <c r="DB58" s="39"/>
      <c r="DC58" s="39"/>
      <c r="DD58" s="39"/>
      <c r="DE58" s="39"/>
      <c r="DF58" s="39"/>
      <c r="DG58" s="39"/>
      <c r="DH58" s="39"/>
      <c r="DI58" s="39"/>
      <c r="DJ58" s="41" t="b">
        <f aca="false">TRUE()</f>
        <v>1</v>
      </c>
      <c r="DK58" s="39"/>
      <c r="DL58" s="39"/>
      <c r="DM58" s="39"/>
      <c r="DN58" s="39"/>
      <c r="DO58" s="39"/>
      <c r="DP58" s="39"/>
      <c r="DQ58" s="39"/>
      <c r="DR58" s="39"/>
      <c r="DS58" s="39"/>
      <c r="DT58" s="39"/>
      <c r="DU58" s="39"/>
      <c r="DV58" s="39"/>
      <c r="DW58" s="39"/>
      <c r="DX58" s="39"/>
      <c r="DY58" s="39"/>
      <c r="DZ58" s="39"/>
      <c r="EA58" s="41" t="b">
        <f aca="false">TRUE()</f>
        <v>1</v>
      </c>
      <c r="EB58" s="39"/>
      <c r="EC58" s="39"/>
      <c r="ED58" s="39"/>
      <c r="EE58" s="39"/>
      <c r="EF58" s="39"/>
      <c r="EG58" s="39"/>
      <c r="EH58" s="39"/>
      <c r="EI58" s="39"/>
      <c r="EJ58" s="39"/>
      <c r="EK58" s="39"/>
      <c r="EL58" s="39"/>
      <c r="EM58" s="39"/>
      <c r="EN58" s="39"/>
      <c r="EO58" s="39"/>
      <c r="EP58" s="39"/>
      <c r="EQ58" s="39"/>
      <c r="ER58" s="39"/>
      <c r="ES58" s="39"/>
      <c r="ET58" s="39"/>
      <c r="EU58" s="39"/>
      <c r="EV58" s="39"/>
      <c r="EW58" s="39"/>
      <c r="EX58" s="39"/>
      <c r="EY58" s="39"/>
      <c r="EZ58" s="39"/>
      <c r="FA58" s="39"/>
      <c r="FB58" s="39"/>
      <c r="FC58" s="39"/>
      <c r="FD58" s="39"/>
      <c r="FE58" s="39"/>
      <c r="FF58" s="39"/>
      <c r="FG58" s="39"/>
      <c r="FH58" s="39"/>
      <c r="FI58" s="39"/>
      <c r="FJ58" s="39"/>
      <c r="FK58" s="39"/>
      <c r="FL58" s="39"/>
      <c r="FM58" s="39"/>
      <c r="FN58" s="39"/>
      <c r="FO58" s="39"/>
      <c r="FP58" s="39"/>
      <c r="FQ58" s="39"/>
      <c r="FR58" s="39"/>
      <c r="FS58" s="39"/>
      <c r="FT58" s="39"/>
      <c r="FU58" s="39"/>
      <c r="FV58" s="39"/>
      <c r="FW58" s="39"/>
      <c r="FX58" s="39"/>
      <c r="FY58" s="39"/>
      <c r="FZ58" s="39"/>
      <c r="GA58" s="39"/>
      <c r="GB58" s="39"/>
      <c r="GC58" s="39"/>
      <c r="GD58" s="39"/>
      <c r="GE58" s="39"/>
      <c r="GF58" s="39"/>
      <c r="GG58" s="39"/>
      <c r="GH58" s="39"/>
      <c r="GI58" s="39"/>
      <c r="GJ58" s="39"/>
      <c r="GK58" s="39"/>
      <c r="GL58" s="39"/>
      <c r="GM58" s="39"/>
      <c r="GN58" s="39"/>
      <c r="GO58" s="39"/>
      <c r="GP58" s="39"/>
      <c r="GQ58" s="39"/>
      <c r="GR58" s="39"/>
      <c r="GS58" s="39"/>
      <c r="GT58" s="39"/>
      <c r="GU58" s="39"/>
      <c r="GV58" s="39"/>
      <c r="GW58" s="39"/>
      <c r="GX58" s="39"/>
      <c r="GY58" s="39"/>
      <c r="GZ58" s="39"/>
      <c r="HA58" s="39"/>
      <c r="HB58" s="39"/>
      <c r="HC58" s="39"/>
      <c r="HD58" s="39"/>
      <c r="HE58" s="41" t="b">
        <f aca="false">TRUE()</f>
        <v>1</v>
      </c>
      <c r="HF58" s="39"/>
      <c r="HG58" s="39"/>
      <c r="HH58" s="39"/>
      <c r="HI58" s="39"/>
      <c r="HJ58" s="39"/>
      <c r="HK58" s="39"/>
      <c r="HL58" s="39"/>
      <c r="HM58" s="39"/>
      <c r="HN58" s="39"/>
      <c r="HO58" s="39"/>
      <c r="HP58" s="39"/>
      <c r="HQ58" s="39"/>
      <c r="HR58" s="39"/>
      <c r="HS58" s="39"/>
      <c r="HT58" s="39"/>
      <c r="HU58" s="39"/>
      <c r="HV58" s="39"/>
      <c r="HW58" s="39"/>
      <c r="HX58" s="39"/>
      <c r="HY58" s="39"/>
      <c r="HZ58" s="39"/>
      <c r="IA58" s="39"/>
      <c r="IB58" s="39"/>
      <c r="IC58" s="39"/>
      <c r="ID58" s="39"/>
      <c r="IE58" s="39"/>
      <c r="IF58" s="39"/>
      <c r="IG58" s="39"/>
      <c r="IH58" s="39"/>
      <c r="II58" s="39"/>
      <c r="IJ58" s="39"/>
      <c r="IK58" s="39"/>
      <c r="IL58" s="39"/>
      <c r="IM58" s="39"/>
      <c r="IN58" s="39"/>
      <c r="IO58" s="39"/>
      <c r="IP58" s="39"/>
      <c r="IQ58" s="39"/>
      <c r="IR58" s="39"/>
      <c r="IS58" s="39"/>
      <c r="IT58" s="39"/>
      <c r="IU58" s="39"/>
      <c r="IV58" s="39"/>
      <c r="IW58" s="39"/>
      <c r="IX58" s="39"/>
      <c r="IY58" s="39"/>
      <c r="IZ58" s="39"/>
      <c r="JA58" s="39"/>
      <c r="JB58" s="39"/>
      <c r="JC58" s="39"/>
      <c r="JD58" s="39"/>
      <c r="JE58" s="39"/>
      <c r="JF58" s="39"/>
      <c r="JG58" s="39"/>
      <c r="JH58" s="41" t="b">
        <f aca="false">TRUE()</f>
        <v>1</v>
      </c>
      <c r="JI58" s="39"/>
      <c r="JJ58" s="39"/>
      <c r="JK58" s="39"/>
      <c r="JL58" s="39"/>
      <c r="JM58" s="39"/>
      <c r="JN58" s="39"/>
      <c r="JO58" s="39"/>
      <c r="JP58" s="39"/>
      <c r="JQ58" s="39"/>
      <c r="JR58" s="39"/>
      <c r="JS58" s="39"/>
      <c r="JT58" s="41" t="b">
        <f aca="false">TRUE()</f>
        <v>1</v>
      </c>
      <c r="JU58" s="39"/>
      <c r="JV58" s="39"/>
      <c r="JW58" s="39"/>
      <c r="JX58" s="39"/>
      <c r="JY58" s="39"/>
      <c r="JZ58" s="39"/>
      <c r="KA58" s="39"/>
      <c r="KB58" s="39"/>
      <c r="KC58" s="39"/>
      <c r="KD58" s="39"/>
      <c r="KE58" s="39"/>
      <c r="KF58" s="39"/>
      <c r="KG58" s="39"/>
      <c r="KH58" s="39"/>
      <c r="KI58" s="39"/>
      <c r="KJ58" s="41" t="b">
        <f aca="false">TRUE()</f>
        <v>1</v>
      </c>
      <c r="KK58" s="39"/>
      <c r="KL58" s="39"/>
      <c r="KM58" s="39"/>
      <c r="KN58" s="39"/>
      <c r="KO58" s="41" t="b">
        <f aca="false">TRUE()</f>
        <v>1</v>
      </c>
      <c r="KP58" s="41" t="b">
        <f aca="false">TRUE()</f>
        <v>1</v>
      </c>
      <c r="KQ58" s="39"/>
      <c r="KR58" s="39"/>
      <c r="KS58" s="39"/>
      <c r="KT58" s="39"/>
      <c r="KU58" s="41" t="b">
        <f aca="false">TRUE()</f>
        <v>1</v>
      </c>
    </row>
    <row r="59" customFormat="false" ht="14.4" hidden="false" customHeight="false" outlineLevel="0" collapsed="false">
      <c r="A59" s="37" t="s">
        <v>305</v>
      </c>
      <c r="B59" s="37" t="s">
        <v>1567</v>
      </c>
      <c r="C59" s="37"/>
      <c r="D59" s="37"/>
      <c r="E59" s="37"/>
      <c r="F59" s="37" t="s">
        <v>1568</v>
      </c>
      <c r="G59" s="37" t="s">
        <v>1569</v>
      </c>
      <c r="H59" s="37" t="s">
        <v>1570</v>
      </c>
      <c r="I59" s="37" t="s">
        <v>310</v>
      </c>
      <c r="J59" s="37" t="s">
        <v>311</v>
      </c>
      <c r="K59" s="37"/>
      <c r="L59" s="37"/>
      <c r="M59" s="37"/>
      <c r="N59" s="37"/>
      <c r="O59" s="37"/>
      <c r="P59" s="37" t="s">
        <v>1571</v>
      </c>
      <c r="Q59" s="37" t="s">
        <v>1572</v>
      </c>
      <c r="R59" s="37" t="s">
        <v>1573</v>
      </c>
      <c r="S59" s="37" t="s">
        <v>1574</v>
      </c>
      <c r="T59" s="37" t="s">
        <v>1575</v>
      </c>
      <c r="U59" s="37" t="s">
        <v>1576</v>
      </c>
      <c r="V59" s="37" t="s">
        <v>1577</v>
      </c>
      <c r="W59" s="37" t="s">
        <v>1578</v>
      </c>
      <c r="X59" s="37" t="s">
        <v>1579</v>
      </c>
      <c r="Y59" s="37" t="s">
        <v>1580</v>
      </c>
      <c r="Z59" s="37" t="s">
        <v>1581</v>
      </c>
      <c r="AA59" s="37" t="n">
        <v>81</v>
      </c>
      <c r="AB59" s="37" t="n">
        <v>11</v>
      </c>
      <c r="AC59" s="37" t="n">
        <v>11</v>
      </c>
      <c r="AD59" s="37" t="n">
        <v>4</v>
      </c>
      <c r="AE59" s="37" t="n">
        <v>46</v>
      </c>
      <c r="AF59" s="37" t="s">
        <v>1582</v>
      </c>
      <c r="AG59" s="37" t="s">
        <v>1583</v>
      </c>
      <c r="AH59" s="37" t="s">
        <v>1584</v>
      </c>
      <c r="AI59" s="37" t="s">
        <v>1585</v>
      </c>
      <c r="AJ59" s="37" t="s">
        <v>1586</v>
      </c>
      <c r="AK59" s="37"/>
      <c r="AL59" s="37" t="s">
        <v>1587</v>
      </c>
      <c r="AM59" s="37" t="s">
        <v>1588</v>
      </c>
      <c r="AN59" s="37" t="s">
        <v>1589</v>
      </c>
      <c r="AO59" s="37" t="n">
        <v>2021</v>
      </c>
      <c r="AP59" s="37" t="n">
        <v>25</v>
      </c>
      <c r="AQ59" s="37" t="n">
        <v>11</v>
      </c>
      <c r="AR59" s="37"/>
      <c r="AS59" s="37" t="n">
        <v>6041</v>
      </c>
      <c r="AT59" s="37" t="n">
        <v>6066</v>
      </c>
      <c r="AU59" s="37"/>
      <c r="AV59" s="37" t="s">
        <v>1590</v>
      </c>
      <c r="AW59" s="37" t="str">
        <f aca="false">HYPERLINK("http://dx.doi.org/10.5194/hess-25-6041-2021","http://dx.doi.org/10.5194/hess-25-6041-2021")</f>
        <v>http://dx.doi.org/10.5194/hess-25-6041-2021</v>
      </c>
      <c r="AX59" s="37"/>
      <c r="AY59" s="37" t="n">
        <v>26</v>
      </c>
      <c r="AZ59" s="37" t="s">
        <v>1591</v>
      </c>
      <c r="BA59" s="37" t="s">
        <v>331</v>
      </c>
      <c r="BB59" s="37" t="s">
        <v>1592</v>
      </c>
      <c r="BC59" s="37" t="s">
        <v>1593</v>
      </c>
      <c r="BD59" s="37"/>
      <c r="BE59" s="37" t="s">
        <v>1472</v>
      </c>
      <c r="BF59" s="37" t="s">
        <v>334</v>
      </c>
      <c r="BG59" s="37" t="s">
        <v>1594</v>
      </c>
      <c r="BH59" s="37" t="str">
        <f aca="false">HYPERLINK("https%3A%2F%2Fwww.webofscience.com%2Fwos%2Fwoscc%2Ffull-record%2FWOS:000723034200001","View Full Record in Web of Science")</f>
        <v>View Full Record in Web of Science</v>
      </c>
      <c r="BI59" s="39"/>
      <c r="BJ59" s="39"/>
      <c r="BK59" s="39"/>
      <c r="BL59" s="39"/>
      <c r="BM59" s="39"/>
      <c r="BN59" s="39"/>
      <c r="BO59" s="41" t="b">
        <f aca="false">TRUE()</f>
        <v>1</v>
      </c>
      <c r="BP59" s="39"/>
      <c r="BQ59" s="39"/>
      <c r="BR59" s="41" t="b">
        <f aca="false">TRUE()</f>
        <v>1</v>
      </c>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V59" s="39"/>
      <c r="CW59" s="39"/>
      <c r="CX59" s="39"/>
      <c r="CY59" s="39"/>
      <c r="CZ59" s="39"/>
      <c r="DA59" s="39"/>
      <c r="DB59" s="39"/>
      <c r="DC59" s="39"/>
      <c r="DD59" s="39"/>
      <c r="DE59" s="39"/>
      <c r="DF59" s="39"/>
      <c r="DG59" s="39"/>
      <c r="DH59" s="39"/>
      <c r="DI59" s="39"/>
      <c r="DJ59" s="39"/>
      <c r="DK59" s="39"/>
      <c r="DL59" s="39"/>
      <c r="DM59" s="39"/>
      <c r="DN59" s="39"/>
      <c r="DO59" s="39"/>
      <c r="DP59" s="39"/>
      <c r="DQ59" s="39"/>
      <c r="DR59" s="39"/>
      <c r="DS59" s="39"/>
      <c r="DT59" s="39"/>
      <c r="DU59" s="39"/>
      <c r="DV59" s="39"/>
      <c r="DW59" s="39"/>
      <c r="DX59" s="39"/>
      <c r="DY59" s="39"/>
      <c r="DZ59" s="39"/>
      <c r="EA59" s="41" t="b">
        <f aca="false">TRUE()</f>
        <v>1</v>
      </c>
      <c r="EB59" s="39"/>
      <c r="EC59" s="39"/>
      <c r="ED59" s="39"/>
      <c r="EE59" s="39"/>
      <c r="EF59" s="39"/>
      <c r="EG59" s="39"/>
      <c r="EH59" s="39"/>
      <c r="EI59" s="39"/>
      <c r="EJ59" s="39"/>
      <c r="EK59" s="39"/>
      <c r="EL59" s="39"/>
      <c r="EM59" s="39"/>
      <c r="EN59" s="39"/>
      <c r="EO59" s="39"/>
      <c r="EP59" s="39"/>
      <c r="EQ59" s="39"/>
      <c r="ER59" s="39"/>
      <c r="ES59" s="39"/>
      <c r="ET59" s="39"/>
      <c r="EU59" s="39"/>
      <c r="EV59" s="39"/>
      <c r="EW59" s="39"/>
      <c r="EX59" s="39"/>
      <c r="EY59" s="39"/>
      <c r="EZ59" s="39"/>
      <c r="FA59" s="39"/>
      <c r="FB59" s="39"/>
      <c r="FC59" s="39"/>
      <c r="FD59" s="39"/>
      <c r="FE59" s="39"/>
      <c r="FF59" s="39"/>
      <c r="FG59" s="39"/>
      <c r="FH59" s="39"/>
      <c r="FI59" s="39"/>
      <c r="FJ59" s="39"/>
      <c r="FK59" s="39"/>
      <c r="FL59" s="39"/>
      <c r="FM59" s="39"/>
      <c r="FN59" s="39"/>
      <c r="FO59" s="39"/>
      <c r="FP59" s="39"/>
      <c r="FQ59" s="39"/>
      <c r="FR59" s="39"/>
      <c r="FS59" s="39"/>
      <c r="FT59" s="39"/>
      <c r="FU59" s="39"/>
      <c r="FV59" s="39"/>
      <c r="FW59" s="39"/>
      <c r="FX59" s="39"/>
      <c r="FY59" s="39"/>
      <c r="FZ59" s="39"/>
      <c r="GA59" s="39"/>
      <c r="GB59" s="39"/>
      <c r="GC59" s="39"/>
      <c r="GD59" s="39"/>
      <c r="GE59" s="39"/>
      <c r="GF59" s="39"/>
      <c r="GG59" s="39"/>
      <c r="GH59" s="39"/>
      <c r="GI59" s="39"/>
      <c r="GJ59" s="39"/>
      <c r="GK59" s="39"/>
      <c r="GL59" s="39"/>
      <c r="GM59" s="39"/>
      <c r="GN59" s="39"/>
      <c r="GO59" s="39"/>
      <c r="GP59" s="39"/>
      <c r="GQ59" s="39"/>
      <c r="GR59" s="39"/>
      <c r="GS59" s="39"/>
      <c r="GT59" s="39"/>
      <c r="GU59" s="39"/>
      <c r="GV59" s="39"/>
      <c r="GW59" s="39"/>
      <c r="GX59" s="41" t="b">
        <f aca="false">TRUE()</f>
        <v>1</v>
      </c>
      <c r="GY59" s="41" t="b">
        <f aca="false">TRUE()</f>
        <v>1</v>
      </c>
      <c r="GZ59" s="39"/>
      <c r="HA59" s="39"/>
      <c r="HB59" s="39"/>
      <c r="HC59" s="39"/>
      <c r="HD59" s="39"/>
      <c r="HE59" s="39"/>
      <c r="HF59" s="39"/>
      <c r="HG59" s="39"/>
      <c r="HH59" s="39"/>
      <c r="HI59" s="39"/>
      <c r="HJ59" s="39"/>
      <c r="HK59" s="39"/>
      <c r="HL59" s="39"/>
      <c r="HM59" s="39"/>
      <c r="HN59" s="39"/>
      <c r="HO59" s="39"/>
      <c r="HP59" s="39"/>
      <c r="HQ59" s="39"/>
      <c r="HR59" s="39"/>
      <c r="HS59" s="39"/>
      <c r="HT59" s="39"/>
      <c r="HU59" s="39"/>
      <c r="HV59" s="39"/>
      <c r="HW59" s="39"/>
      <c r="HX59" s="39"/>
      <c r="HY59" s="39"/>
      <c r="HZ59" s="39"/>
      <c r="IA59" s="39"/>
      <c r="IB59" s="39"/>
      <c r="IC59" s="41" t="b">
        <f aca="false">TRUE()</f>
        <v>1</v>
      </c>
      <c r="ID59" s="39"/>
      <c r="IE59" s="39"/>
      <c r="IF59" s="39"/>
      <c r="IG59" s="39"/>
      <c r="IH59" s="39"/>
      <c r="II59" s="39"/>
      <c r="IJ59" s="39"/>
      <c r="IK59" s="39"/>
      <c r="IL59" s="39"/>
      <c r="IM59" s="39"/>
      <c r="IN59" s="39"/>
      <c r="IO59" s="39"/>
      <c r="IP59" s="39"/>
      <c r="IQ59" s="39"/>
      <c r="IR59" s="39"/>
      <c r="IS59" s="39"/>
      <c r="IT59" s="39"/>
      <c r="IU59" s="39"/>
      <c r="IV59" s="39"/>
      <c r="IW59" s="39"/>
      <c r="IX59" s="39"/>
      <c r="IY59" s="39"/>
      <c r="IZ59" s="39"/>
      <c r="JA59" s="39"/>
      <c r="JB59" s="39"/>
      <c r="JC59" s="39"/>
      <c r="JD59" s="39"/>
      <c r="JE59" s="39"/>
      <c r="JF59" s="39"/>
      <c r="JG59" s="39"/>
      <c r="JH59" s="39"/>
      <c r="JI59" s="39"/>
      <c r="JJ59" s="39"/>
      <c r="JK59" s="39"/>
      <c r="JL59" s="39"/>
      <c r="JM59" s="39"/>
      <c r="JN59" s="39"/>
      <c r="JO59" s="39"/>
      <c r="JP59" s="39"/>
      <c r="JQ59" s="39"/>
      <c r="JR59" s="39"/>
      <c r="JS59" s="39"/>
      <c r="JT59" s="41" t="b">
        <f aca="false">TRUE()</f>
        <v>1</v>
      </c>
      <c r="JU59" s="41" t="b">
        <f aca="false">TRUE()</f>
        <v>1</v>
      </c>
      <c r="JV59" s="39"/>
      <c r="JW59" s="39"/>
      <c r="JX59" s="39"/>
      <c r="JY59" s="39"/>
      <c r="JZ59" s="39"/>
      <c r="KA59" s="39"/>
      <c r="KB59" s="39"/>
      <c r="KC59" s="39"/>
      <c r="KD59" s="39"/>
      <c r="KE59" s="39"/>
      <c r="KF59" s="39"/>
      <c r="KG59" s="39"/>
      <c r="KH59" s="39"/>
      <c r="KI59" s="39"/>
      <c r="KJ59" s="39"/>
      <c r="KK59" s="39"/>
      <c r="KL59" s="39"/>
      <c r="KM59" s="39"/>
      <c r="KN59" s="39"/>
      <c r="KO59" s="39"/>
      <c r="KP59" s="39"/>
      <c r="KQ59" s="41" t="b">
        <f aca="false">TRUE()</f>
        <v>1</v>
      </c>
      <c r="KR59" s="41" t="b">
        <f aca="false">TRUE()</f>
        <v>1</v>
      </c>
      <c r="KS59" s="39"/>
      <c r="KT59" s="41" t="b">
        <f aca="false">TRUE()</f>
        <v>1</v>
      </c>
      <c r="KU59" s="39"/>
    </row>
    <row r="60" customFormat="false" ht="14.4" hidden="false" customHeight="false" outlineLevel="0" collapsed="false">
      <c r="A60" s="37" t="s">
        <v>305</v>
      </c>
      <c r="B60" s="37" t="s">
        <v>1595</v>
      </c>
      <c r="C60" s="37"/>
      <c r="D60" s="37"/>
      <c r="E60" s="37"/>
      <c r="F60" s="37" t="s">
        <v>1596</v>
      </c>
      <c r="G60" s="37" t="s">
        <v>1597</v>
      </c>
      <c r="H60" s="37" t="s">
        <v>1029</v>
      </c>
      <c r="I60" s="37" t="s">
        <v>310</v>
      </c>
      <c r="J60" s="37" t="s">
        <v>311</v>
      </c>
      <c r="K60" s="37"/>
      <c r="L60" s="37"/>
      <c r="M60" s="37"/>
      <c r="N60" s="37"/>
      <c r="O60" s="37" t="s">
        <v>1598</v>
      </c>
      <c r="P60" s="37" t="s">
        <v>1599</v>
      </c>
      <c r="Q60" s="37" t="s">
        <v>1600</v>
      </c>
      <c r="R60" s="37" t="s">
        <v>1601</v>
      </c>
      <c r="S60" s="37" t="s">
        <v>1602</v>
      </c>
      <c r="T60" s="37" t="s">
        <v>1603</v>
      </c>
      <c r="U60" s="37" t="s">
        <v>1604</v>
      </c>
      <c r="V60" s="37" t="s">
        <v>1605</v>
      </c>
      <c r="W60" s="37" t="s">
        <v>1606</v>
      </c>
      <c r="X60" s="37"/>
      <c r="Y60" s="37"/>
      <c r="Z60" s="37"/>
      <c r="AA60" s="37" t="n">
        <v>71</v>
      </c>
      <c r="AB60" s="37" t="n">
        <v>14</v>
      </c>
      <c r="AC60" s="37" t="n">
        <v>14</v>
      </c>
      <c r="AD60" s="37" t="n">
        <v>16</v>
      </c>
      <c r="AE60" s="37" t="n">
        <v>26</v>
      </c>
      <c r="AF60" s="37" t="s">
        <v>1039</v>
      </c>
      <c r="AG60" s="37" t="s">
        <v>1040</v>
      </c>
      <c r="AH60" s="37" t="s">
        <v>1041</v>
      </c>
      <c r="AI60" s="37" t="s">
        <v>1042</v>
      </c>
      <c r="AJ60" s="37" t="s">
        <v>1043</v>
      </c>
      <c r="AK60" s="37"/>
      <c r="AL60" s="37" t="s">
        <v>1044</v>
      </c>
      <c r="AM60" s="37" t="s">
        <v>1045</v>
      </c>
      <c r="AN60" s="37" t="s">
        <v>700</v>
      </c>
      <c r="AO60" s="37" t="n">
        <v>2024</v>
      </c>
      <c r="AP60" s="37" t="n">
        <v>354</v>
      </c>
      <c r="AQ60" s="37"/>
      <c r="AR60" s="37"/>
      <c r="AS60" s="37"/>
      <c r="AT60" s="37"/>
      <c r="AU60" s="37" t="n">
        <v>120246</v>
      </c>
      <c r="AV60" s="37" t="s">
        <v>1607</v>
      </c>
      <c r="AW60" s="37" t="str">
        <f aca="false">HYPERLINK("http://dx.doi.org/10.1016/j.jenvman.2024.120246","http://dx.doi.org/10.1016/j.jenvman.2024.120246")</f>
        <v>http://dx.doi.org/10.1016/j.jenvman.2024.120246</v>
      </c>
      <c r="AX60" s="37" t="s">
        <v>437</v>
      </c>
      <c r="AY60" s="37" t="n">
        <v>17</v>
      </c>
      <c r="AZ60" s="37" t="s">
        <v>500</v>
      </c>
      <c r="BA60" s="37" t="s">
        <v>331</v>
      </c>
      <c r="BB60" s="37" t="s">
        <v>501</v>
      </c>
      <c r="BC60" s="37" t="s">
        <v>1608</v>
      </c>
      <c r="BD60" s="37" t="n">
        <v>38359624</v>
      </c>
      <c r="BE60" s="37"/>
      <c r="BF60" s="37" t="s">
        <v>334</v>
      </c>
      <c r="BG60" s="37" t="s">
        <v>1609</v>
      </c>
      <c r="BH60" s="37" t="str">
        <f aca="false">HYPERLINK("https%3A%2F%2Fwww.webofscience.com%2Fwos%2Fwoscc%2Ffull-record%2FWOS:001185263400001","View Full Record in Web of Science")</f>
        <v>View Full Record in Web of Science</v>
      </c>
      <c r="BI60" s="39"/>
      <c r="BJ60" s="39"/>
      <c r="BK60" s="39"/>
      <c r="BL60" s="39"/>
      <c r="BM60" s="39"/>
      <c r="BN60" s="39"/>
      <c r="BO60" s="41" t="b">
        <f aca="false">TRUE()</f>
        <v>1</v>
      </c>
      <c r="BP60" s="39"/>
      <c r="BQ60" s="39"/>
      <c r="BR60" s="41" t="b">
        <f aca="false">TRUE()</f>
        <v>1</v>
      </c>
      <c r="BS60" s="39"/>
      <c r="BT60" s="41" t="b">
        <f aca="false">TRUE()</f>
        <v>1</v>
      </c>
      <c r="BU60" s="39"/>
      <c r="BV60" s="39"/>
      <c r="BW60" s="39"/>
      <c r="BX60" s="39"/>
      <c r="BY60" s="41" t="b">
        <f aca="false">TRUE()</f>
        <v>1</v>
      </c>
      <c r="BZ60" s="39"/>
      <c r="CA60" s="39"/>
      <c r="CB60" s="39"/>
      <c r="CC60" s="39"/>
      <c r="CD60" s="39"/>
      <c r="CE60" s="39"/>
      <c r="CF60" s="39"/>
      <c r="CG60" s="39"/>
      <c r="CH60" s="39"/>
      <c r="CI60" s="39"/>
      <c r="CJ60" s="39"/>
      <c r="CK60" s="39"/>
      <c r="CL60" s="39"/>
      <c r="CM60" s="39"/>
      <c r="CN60" s="41" t="b">
        <f aca="false">TRUE()</f>
        <v>1</v>
      </c>
      <c r="CO60" s="39"/>
      <c r="CP60" s="39"/>
      <c r="CQ60" s="39"/>
      <c r="CR60" s="41" t="b">
        <f aca="false">TRUE()</f>
        <v>1</v>
      </c>
      <c r="CS60" s="39"/>
      <c r="CT60" s="39"/>
      <c r="CU60" s="39"/>
      <c r="CV60" s="39"/>
      <c r="CW60" s="39"/>
      <c r="CX60" s="39"/>
      <c r="CY60" s="39"/>
      <c r="CZ60" s="39"/>
      <c r="DA60" s="39"/>
      <c r="DB60" s="39"/>
      <c r="DC60" s="39"/>
      <c r="DD60" s="39"/>
      <c r="DE60" s="39"/>
      <c r="DF60" s="39"/>
      <c r="DG60" s="41" t="b">
        <f aca="false">TRUE()</f>
        <v>1</v>
      </c>
      <c r="DH60" s="39"/>
      <c r="DI60" s="39"/>
      <c r="DJ60" s="39"/>
      <c r="DK60" s="39"/>
      <c r="DL60" s="39"/>
      <c r="DM60" s="39"/>
      <c r="DN60" s="39"/>
      <c r="DO60" s="39"/>
      <c r="DP60" s="39"/>
      <c r="DQ60" s="39"/>
      <c r="DR60" s="39"/>
      <c r="DS60" s="39"/>
      <c r="DT60" s="39"/>
      <c r="DU60" s="39"/>
      <c r="DV60" s="39"/>
      <c r="DW60" s="39"/>
      <c r="DX60" s="39"/>
      <c r="DY60" s="39"/>
      <c r="DZ60" s="39"/>
      <c r="EA60" s="41" t="b">
        <f aca="false">TRUE()</f>
        <v>1</v>
      </c>
      <c r="EB60" s="39"/>
      <c r="EC60" s="39"/>
      <c r="ED60" s="39"/>
      <c r="EE60" s="39"/>
      <c r="EF60" s="39"/>
      <c r="EG60" s="39"/>
      <c r="EH60" s="39"/>
      <c r="EI60" s="41" t="b">
        <f aca="false">TRUE()</f>
        <v>1</v>
      </c>
      <c r="EJ60" s="39"/>
      <c r="EK60" s="39"/>
      <c r="EL60" s="39"/>
      <c r="EM60" s="39"/>
      <c r="EN60" s="39"/>
      <c r="EO60" s="39"/>
      <c r="EP60" s="39"/>
      <c r="EQ60" s="39"/>
      <c r="ER60" s="39"/>
      <c r="ES60" s="39"/>
      <c r="ET60" s="39"/>
      <c r="EU60" s="39"/>
      <c r="EV60" s="39"/>
      <c r="EW60" s="39"/>
      <c r="EX60" s="39"/>
      <c r="EY60" s="41" t="b">
        <f aca="false">TRUE()</f>
        <v>1</v>
      </c>
      <c r="EZ60" s="39"/>
      <c r="FA60" s="39"/>
      <c r="FB60" s="39"/>
      <c r="FC60" s="41" t="b">
        <f aca="false">TRUE()</f>
        <v>1</v>
      </c>
      <c r="FD60" s="39"/>
      <c r="FE60" s="39"/>
      <c r="FF60" s="39"/>
      <c r="FG60" s="39"/>
      <c r="FH60" s="39"/>
      <c r="FI60" s="39"/>
      <c r="FJ60" s="39"/>
      <c r="FK60" s="39"/>
      <c r="FL60" s="39"/>
      <c r="FM60" s="39"/>
      <c r="FN60" s="39"/>
      <c r="FO60" s="39"/>
      <c r="FP60" s="39"/>
      <c r="FQ60" s="39"/>
      <c r="FR60" s="39"/>
      <c r="FS60" s="39"/>
      <c r="FT60" s="39"/>
      <c r="FU60" s="39"/>
      <c r="FV60" s="39"/>
      <c r="FW60" s="39"/>
      <c r="FX60" s="39"/>
      <c r="FY60" s="39"/>
      <c r="FZ60" s="39"/>
      <c r="GA60" s="39"/>
      <c r="GB60" s="39"/>
      <c r="GC60" s="39"/>
      <c r="GD60" s="39"/>
      <c r="GE60" s="39"/>
      <c r="GF60" s="39"/>
      <c r="GG60" s="39"/>
      <c r="GH60" s="39"/>
      <c r="GI60" s="39"/>
      <c r="GJ60" s="39"/>
      <c r="GK60" s="39"/>
      <c r="GL60" s="39"/>
      <c r="GM60" s="39"/>
      <c r="GN60" s="39"/>
      <c r="GO60" s="39"/>
      <c r="GP60" s="39"/>
      <c r="GQ60" s="39"/>
      <c r="GR60" s="39"/>
      <c r="GS60" s="39"/>
      <c r="GT60" s="39"/>
      <c r="GU60" s="39"/>
      <c r="GV60" s="39"/>
      <c r="GW60" s="39"/>
      <c r="GX60" s="39"/>
      <c r="GY60" s="39"/>
      <c r="GZ60" s="39"/>
      <c r="HA60" s="39"/>
      <c r="HB60" s="39"/>
      <c r="HC60" s="39"/>
      <c r="HD60" s="39"/>
      <c r="HE60" s="39"/>
      <c r="HF60" s="39"/>
      <c r="HG60" s="39"/>
      <c r="HH60" s="39"/>
      <c r="HI60" s="39"/>
      <c r="HJ60" s="39"/>
      <c r="HK60" s="41" t="b">
        <f aca="false">TRUE()</f>
        <v>1</v>
      </c>
      <c r="HL60" s="39"/>
      <c r="HM60" s="39"/>
      <c r="HN60" s="39"/>
      <c r="HO60" s="39"/>
      <c r="HP60" s="39"/>
      <c r="HQ60" s="39"/>
      <c r="HR60" s="39"/>
      <c r="HS60" s="39"/>
      <c r="HT60" s="39"/>
      <c r="HU60" s="39"/>
      <c r="HV60" s="39"/>
      <c r="HW60" s="39"/>
      <c r="HX60" s="39"/>
      <c r="HY60" s="39"/>
      <c r="HZ60" s="39"/>
      <c r="IA60" s="39"/>
      <c r="IB60" s="39"/>
      <c r="IC60" s="39"/>
      <c r="ID60" s="39"/>
      <c r="IE60" s="39"/>
      <c r="IF60" s="39"/>
      <c r="IG60" s="39"/>
      <c r="IH60" s="39"/>
      <c r="II60" s="39"/>
      <c r="IJ60" s="39"/>
      <c r="IK60" s="39"/>
      <c r="IL60" s="39"/>
      <c r="IM60" s="39"/>
      <c r="IN60" s="39"/>
      <c r="IO60" s="39"/>
      <c r="IP60" s="39"/>
      <c r="IQ60" s="39"/>
      <c r="IR60" s="41" t="b">
        <f aca="false">TRUE()</f>
        <v>1</v>
      </c>
      <c r="IS60" s="39"/>
      <c r="IT60" s="39"/>
      <c r="IU60" s="39"/>
      <c r="IV60" s="39"/>
      <c r="IW60" s="39"/>
      <c r="IX60" s="39"/>
      <c r="IY60" s="39"/>
      <c r="IZ60" s="39"/>
      <c r="JA60" s="39"/>
      <c r="JB60" s="39"/>
      <c r="JC60" s="39"/>
      <c r="JD60" s="39"/>
      <c r="JE60" s="39"/>
      <c r="JF60" s="39"/>
      <c r="JG60" s="39"/>
      <c r="JH60" s="39"/>
      <c r="JI60" s="39"/>
      <c r="JJ60" s="39"/>
      <c r="JK60" s="39"/>
      <c r="JL60" s="39"/>
      <c r="JM60" s="39"/>
      <c r="JN60" s="39"/>
      <c r="JO60" s="39"/>
      <c r="JP60" s="39"/>
      <c r="JQ60" s="39"/>
      <c r="JR60" s="39"/>
      <c r="JS60" s="39"/>
      <c r="JT60" s="41" t="b">
        <f aca="false">TRUE()</f>
        <v>1</v>
      </c>
      <c r="JU60" s="41" t="b">
        <f aca="false">TRUE()</f>
        <v>1</v>
      </c>
      <c r="JV60" s="39"/>
      <c r="JW60" s="39"/>
      <c r="JX60" s="39"/>
      <c r="JY60" s="39"/>
      <c r="JZ60" s="39"/>
      <c r="KA60" s="39"/>
      <c r="KB60" s="39"/>
      <c r="KC60" s="39"/>
      <c r="KD60" s="39"/>
      <c r="KE60" s="41" t="b">
        <f aca="false">TRUE()</f>
        <v>1</v>
      </c>
      <c r="KF60" s="39"/>
      <c r="KG60" s="39"/>
      <c r="KH60" s="39"/>
      <c r="KI60" s="39"/>
      <c r="KJ60" s="39"/>
      <c r="KK60" s="39"/>
      <c r="KL60" s="39"/>
      <c r="KM60" s="39"/>
      <c r="KN60" s="39"/>
      <c r="KO60" s="39"/>
      <c r="KP60" s="39"/>
      <c r="KQ60" s="41" t="b">
        <f aca="false">TRUE()</f>
        <v>1</v>
      </c>
      <c r="KR60" s="39"/>
      <c r="KS60" s="39"/>
      <c r="KT60" s="41" t="b">
        <f aca="false">TRUE()</f>
        <v>1</v>
      </c>
      <c r="KU60" s="39"/>
    </row>
    <row r="61" customFormat="false" ht="14.4" hidden="false" customHeight="false" outlineLevel="0" collapsed="false">
      <c r="A61" s="37" t="s">
        <v>305</v>
      </c>
      <c r="B61" s="37" t="s">
        <v>1610</v>
      </c>
      <c r="C61" s="37"/>
      <c r="D61" s="37"/>
      <c r="E61" s="37"/>
      <c r="F61" s="37" t="s">
        <v>1611</v>
      </c>
      <c r="G61" s="37" t="s">
        <v>1612</v>
      </c>
      <c r="H61" s="37" t="s">
        <v>619</v>
      </c>
      <c r="I61" s="37" t="s">
        <v>310</v>
      </c>
      <c r="J61" s="37" t="s">
        <v>311</v>
      </c>
      <c r="K61" s="37"/>
      <c r="L61" s="37"/>
      <c r="M61" s="37"/>
      <c r="N61" s="37"/>
      <c r="O61" s="37" t="s">
        <v>1613</v>
      </c>
      <c r="P61" s="37" t="s">
        <v>1614</v>
      </c>
      <c r="Q61" s="37" t="s">
        <v>1615</v>
      </c>
      <c r="R61" s="37" t="s">
        <v>1616</v>
      </c>
      <c r="S61" s="37" t="s">
        <v>1617</v>
      </c>
      <c r="T61" s="37" t="s">
        <v>1618</v>
      </c>
      <c r="U61" s="37" t="s">
        <v>1619</v>
      </c>
      <c r="V61" s="37"/>
      <c r="W61" s="37" t="s">
        <v>1620</v>
      </c>
      <c r="X61" s="37" t="s">
        <v>1621</v>
      </c>
      <c r="Y61" s="37" t="s">
        <v>1622</v>
      </c>
      <c r="Z61" s="37" t="s">
        <v>1623</v>
      </c>
      <c r="AA61" s="37" t="n">
        <v>31</v>
      </c>
      <c r="AB61" s="37" t="n">
        <v>9</v>
      </c>
      <c r="AC61" s="37" t="n">
        <v>10</v>
      </c>
      <c r="AD61" s="37" t="n">
        <v>3</v>
      </c>
      <c r="AE61" s="37" t="n">
        <v>13</v>
      </c>
      <c r="AF61" s="37" t="s">
        <v>546</v>
      </c>
      <c r="AG61" s="37" t="s">
        <v>547</v>
      </c>
      <c r="AH61" s="37" t="s">
        <v>548</v>
      </c>
      <c r="AI61" s="37"/>
      <c r="AJ61" s="37" t="s">
        <v>629</v>
      </c>
      <c r="AK61" s="37"/>
      <c r="AL61" s="37" t="s">
        <v>630</v>
      </c>
      <c r="AM61" s="37" t="s">
        <v>631</v>
      </c>
      <c r="AN61" s="37" t="s">
        <v>700</v>
      </c>
      <c r="AO61" s="37" t="n">
        <v>2022</v>
      </c>
      <c r="AP61" s="37" t="n">
        <v>14</v>
      </c>
      <c r="AQ61" s="37" t="n">
        <v>5</v>
      </c>
      <c r="AR61" s="37"/>
      <c r="AS61" s="37"/>
      <c r="AT61" s="37"/>
      <c r="AU61" s="37" t="n">
        <v>763</v>
      </c>
      <c r="AV61" s="37" t="s">
        <v>1624</v>
      </c>
      <c r="AW61" s="37" t="str">
        <f aca="false">HYPERLINK("http://dx.doi.org/10.3390/w14050763","http://dx.doi.org/10.3390/w14050763")</f>
        <v>http://dx.doi.org/10.3390/w14050763</v>
      </c>
      <c r="AX61" s="37"/>
      <c r="AY61" s="37" t="n">
        <v>17</v>
      </c>
      <c r="AZ61" s="37" t="s">
        <v>633</v>
      </c>
      <c r="BA61" s="37" t="s">
        <v>331</v>
      </c>
      <c r="BB61" s="37" t="s">
        <v>634</v>
      </c>
      <c r="BC61" s="37" t="s">
        <v>1625</v>
      </c>
      <c r="BD61" s="37"/>
      <c r="BE61" s="37" t="s">
        <v>503</v>
      </c>
      <c r="BF61" s="37" t="s">
        <v>334</v>
      </c>
      <c r="BG61" s="37" t="s">
        <v>1626</v>
      </c>
      <c r="BH61" s="37" t="str">
        <f aca="false">HYPERLINK("https%3A%2F%2Fwww.webofscience.com%2Fwos%2Fwoscc%2Ffull-record%2FWOS:000771368400001","View Full Record in Web of Science")</f>
        <v>View Full Record in Web of Science</v>
      </c>
      <c r="BI61" s="39"/>
      <c r="BJ61" s="39"/>
      <c r="BK61" s="39"/>
      <c r="BL61" s="39"/>
      <c r="BM61" s="39"/>
      <c r="BN61" s="39"/>
      <c r="BO61" s="41" t="b">
        <f aca="false">TRUE()</f>
        <v>1</v>
      </c>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c r="CV61" s="39"/>
      <c r="CW61" s="39"/>
      <c r="CX61" s="39"/>
      <c r="CY61" s="39"/>
      <c r="CZ61" s="39"/>
      <c r="DA61" s="39"/>
      <c r="DB61" s="39"/>
      <c r="DC61" s="39"/>
      <c r="DD61" s="39"/>
      <c r="DE61" s="39"/>
      <c r="DF61" s="39"/>
      <c r="DG61" s="39"/>
      <c r="DH61" s="39"/>
      <c r="DI61" s="39"/>
      <c r="DJ61" s="39"/>
      <c r="DK61" s="39"/>
      <c r="DL61" s="39"/>
      <c r="DM61" s="39"/>
      <c r="DN61" s="39"/>
      <c r="DO61" s="39"/>
      <c r="DP61" s="39"/>
      <c r="DQ61" s="39"/>
      <c r="DR61" s="39"/>
      <c r="DS61" s="39"/>
      <c r="DT61" s="39"/>
      <c r="DU61" s="39"/>
      <c r="DV61" s="39"/>
      <c r="DW61" s="39"/>
      <c r="DX61" s="39"/>
      <c r="DY61" s="39"/>
      <c r="DZ61" s="39"/>
      <c r="EA61" s="41" t="b">
        <f aca="false">TRUE()</f>
        <v>1</v>
      </c>
      <c r="EB61" s="39"/>
      <c r="EC61" s="39"/>
      <c r="ED61" s="39"/>
      <c r="EE61" s="39"/>
      <c r="EF61" s="39"/>
      <c r="EG61" s="39"/>
      <c r="EH61" s="39"/>
      <c r="EI61" s="39"/>
      <c r="EJ61" s="39"/>
      <c r="EK61" s="39"/>
      <c r="EL61" s="39"/>
      <c r="EM61" s="39"/>
      <c r="EN61" s="39"/>
      <c r="EO61" s="39"/>
      <c r="EP61" s="39"/>
      <c r="EQ61" s="39"/>
      <c r="ER61" s="41" t="b">
        <f aca="false">TRUE()</f>
        <v>1</v>
      </c>
      <c r="ES61" s="39"/>
      <c r="ET61" s="39"/>
      <c r="EU61" s="39"/>
      <c r="EV61" s="39"/>
      <c r="EW61" s="39"/>
      <c r="EX61" s="39"/>
      <c r="EY61" s="39"/>
      <c r="EZ61" s="39"/>
      <c r="FA61" s="39"/>
      <c r="FB61" s="39"/>
      <c r="FC61" s="41" t="b">
        <f aca="false">TRUE()</f>
        <v>1</v>
      </c>
      <c r="FD61" s="39"/>
      <c r="FE61" s="39"/>
      <c r="FF61" s="39"/>
      <c r="FG61" s="39"/>
      <c r="FH61" s="39"/>
      <c r="FI61" s="39"/>
      <c r="FJ61" s="39"/>
      <c r="FK61" s="39"/>
      <c r="FL61" s="39"/>
      <c r="FM61" s="39"/>
      <c r="FN61" s="39"/>
      <c r="FO61" s="39"/>
      <c r="FP61" s="39"/>
      <c r="FQ61" s="39"/>
      <c r="FR61" s="39"/>
      <c r="FS61" s="39"/>
      <c r="FT61" s="39"/>
      <c r="FU61" s="39"/>
      <c r="FV61" s="39"/>
      <c r="FW61" s="39"/>
      <c r="FX61" s="39"/>
      <c r="FY61" s="39"/>
      <c r="FZ61" s="39"/>
      <c r="GA61" s="39"/>
      <c r="GB61" s="39"/>
      <c r="GC61" s="39"/>
      <c r="GD61" s="39"/>
      <c r="GE61" s="39"/>
      <c r="GF61" s="39"/>
      <c r="GG61" s="39"/>
      <c r="GH61" s="39"/>
      <c r="GI61" s="39"/>
      <c r="GJ61" s="39"/>
      <c r="GK61" s="39"/>
      <c r="GL61" s="39"/>
      <c r="GM61" s="39"/>
      <c r="GN61" s="39"/>
      <c r="GO61" s="39"/>
      <c r="GP61" s="39"/>
      <c r="GQ61" s="39"/>
      <c r="GR61" s="39"/>
      <c r="GS61" s="39"/>
      <c r="GT61" s="39"/>
      <c r="GU61" s="39"/>
      <c r="GV61" s="39"/>
      <c r="GW61" s="39"/>
      <c r="GX61" s="39"/>
      <c r="GY61" s="39"/>
      <c r="GZ61" s="39"/>
      <c r="HA61" s="39"/>
      <c r="HB61" s="39"/>
      <c r="HC61" s="39"/>
      <c r="HD61" s="39"/>
      <c r="HE61" s="39"/>
      <c r="HF61" s="39"/>
      <c r="HG61" s="39"/>
      <c r="HH61" s="39"/>
      <c r="HI61" s="39"/>
      <c r="HJ61" s="39"/>
      <c r="HK61" s="41" t="b">
        <f aca="false">TRUE()</f>
        <v>1</v>
      </c>
      <c r="HL61" s="39"/>
      <c r="HM61" s="39"/>
      <c r="HN61" s="39"/>
      <c r="HO61" s="39"/>
      <c r="HP61" s="39"/>
      <c r="HQ61" s="39"/>
      <c r="HR61" s="39"/>
      <c r="HS61" s="39"/>
      <c r="HT61" s="39"/>
      <c r="HU61" s="39"/>
      <c r="HV61" s="39"/>
      <c r="HW61" s="39"/>
      <c r="HX61" s="39"/>
      <c r="HY61" s="39"/>
      <c r="HZ61" s="39"/>
      <c r="IA61" s="39"/>
      <c r="IB61" s="39"/>
      <c r="IC61" s="39"/>
      <c r="ID61" s="39"/>
      <c r="IE61" s="39"/>
      <c r="IF61" s="39"/>
      <c r="IG61" s="39"/>
      <c r="IH61" s="39"/>
      <c r="II61" s="39"/>
      <c r="IJ61" s="41" t="b">
        <f aca="false">TRUE()</f>
        <v>1</v>
      </c>
      <c r="IK61" s="39"/>
      <c r="IL61" s="39"/>
      <c r="IM61" s="39"/>
      <c r="IN61" s="39"/>
      <c r="IO61" s="39"/>
      <c r="IP61" s="39"/>
      <c r="IQ61" s="39"/>
      <c r="IR61" s="39"/>
      <c r="IS61" s="39"/>
      <c r="IT61" s="39"/>
      <c r="IU61" s="39"/>
      <c r="IV61" s="39"/>
      <c r="IW61" s="39"/>
      <c r="IX61" s="39"/>
      <c r="IY61" s="39"/>
      <c r="IZ61" s="39"/>
      <c r="JA61" s="39"/>
      <c r="JB61" s="39"/>
      <c r="JC61" s="39"/>
      <c r="JD61" s="39"/>
      <c r="JE61" s="39"/>
      <c r="JF61" s="39"/>
      <c r="JG61" s="39"/>
      <c r="JH61" s="39"/>
      <c r="JI61" s="39"/>
      <c r="JJ61" s="39"/>
      <c r="JK61" s="39"/>
      <c r="JL61" s="39"/>
      <c r="JM61" s="39"/>
      <c r="JN61" s="39"/>
      <c r="JO61" s="39"/>
      <c r="JP61" s="39"/>
      <c r="JQ61" s="39"/>
      <c r="JR61" s="39"/>
      <c r="JS61" s="39"/>
      <c r="JT61" s="41" t="b">
        <f aca="false">TRUE()</f>
        <v>1</v>
      </c>
      <c r="JU61" s="39"/>
      <c r="JV61" s="39"/>
      <c r="JW61" s="39"/>
      <c r="JX61" s="39"/>
      <c r="JY61" s="39"/>
      <c r="JZ61" s="39"/>
      <c r="KA61" s="39"/>
      <c r="KB61" s="39"/>
      <c r="KC61" s="39"/>
      <c r="KD61" s="39"/>
      <c r="KE61" s="39"/>
      <c r="KF61" s="39"/>
      <c r="KG61" s="39"/>
      <c r="KH61" s="41" t="b">
        <f aca="false">TRUE()</f>
        <v>1</v>
      </c>
      <c r="KI61" s="41" t="b">
        <f aca="false">TRUE()</f>
        <v>1</v>
      </c>
      <c r="KJ61" s="39"/>
      <c r="KK61" s="39"/>
      <c r="KL61" s="41" t="b">
        <f aca="false">TRUE()</f>
        <v>1</v>
      </c>
      <c r="KM61" s="39"/>
      <c r="KN61" s="39"/>
      <c r="KO61" s="39"/>
      <c r="KP61" s="41" t="b">
        <f aca="false">TRUE()</f>
        <v>1</v>
      </c>
      <c r="KQ61" s="39"/>
      <c r="KR61" s="39"/>
      <c r="KS61" s="39"/>
      <c r="KT61" s="41" t="b">
        <f aca="false">TRUE()</f>
        <v>1</v>
      </c>
      <c r="KU61" s="39"/>
    </row>
    <row r="62" customFormat="false" ht="14.4" hidden="false" customHeight="false" outlineLevel="0" collapsed="false">
      <c r="A62" s="37" t="s">
        <v>305</v>
      </c>
      <c r="B62" s="37" t="s">
        <v>1627</v>
      </c>
      <c r="C62" s="37"/>
      <c r="D62" s="37"/>
      <c r="E62" s="37"/>
      <c r="F62" s="37" t="s">
        <v>1628</v>
      </c>
      <c r="G62" s="37" t="s">
        <v>1629</v>
      </c>
      <c r="H62" s="37" t="s">
        <v>1630</v>
      </c>
      <c r="I62" s="37" t="s">
        <v>310</v>
      </c>
      <c r="J62" s="37" t="s">
        <v>311</v>
      </c>
      <c r="K62" s="37"/>
      <c r="L62" s="37"/>
      <c r="M62" s="37"/>
      <c r="N62" s="37"/>
      <c r="O62" s="37" t="s">
        <v>1631</v>
      </c>
      <c r="P62" s="37" t="s">
        <v>1632</v>
      </c>
      <c r="Q62" s="37" t="s">
        <v>1633</v>
      </c>
      <c r="R62" s="37" t="s">
        <v>1634</v>
      </c>
      <c r="S62" s="37" t="s">
        <v>1635</v>
      </c>
      <c r="T62" s="37" t="s">
        <v>1636</v>
      </c>
      <c r="U62" s="37" t="s">
        <v>1637</v>
      </c>
      <c r="V62" s="37" t="s">
        <v>1638</v>
      </c>
      <c r="W62" s="37" t="s">
        <v>1639</v>
      </c>
      <c r="X62" s="37" t="s">
        <v>1640</v>
      </c>
      <c r="Y62" s="37" t="s">
        <v>1641</v>
      </c>
      <c r="Z62" s="37" t="s">
        <v>1642</v>
      </c>
      <c r="AA62" s="37" t="n">
        <v>39</v>
      </c>
      <c r="AB62" s="37" t="n">
        <v>39</v>
      </c>
      <c r="AC62" s="37" t="n">
        <v>40</v>
      </c>
      <c r="AD62" s="37" t="n">
        <v>0</v>
      </c>
      <c r="AE62" s="37" t="n">
        <v>15</v>
      </c>
      <c r="AF62" s="37" t="s">
        <v>546</v>
      </c>
      <c r="AG62" s="37" t="s">
        <v>547</v>
      </c>
      <c r="AH62" s="37" t="s">
        <v>548</v>
      </c>
      <c r="AI62" s="37"/>
      <c r="AJ62" s="37" t="s">
        <v>1643</v>
      </c>
      <c r="AK62" s="37"/>
      <c r="AL62" s="37" t="s">
        <v>1644</v>
      </c>
      <c r="AM62" s="37" t="s">
        <v>576</v>
      </c>
      <c r="AN62" s="37" t="s">
        <v>942</v>
      </c>
      <c r="AO62" s="37" t="n">
        <v>2020</v>
      </c>
      <c r="AP62" s="37" t="n">
        <v>8</v>
      </c>
      <c r="AQ62" s="37" t="n">
        <v>6</v>
      </c>
      <c r="AR62" s="37"/>
      <c r="AS62" s="37"/>
      <c r="AT62" s="37"/>
      <c r="AU62" s="37" t="n">
        <v>972</v>
      </c>
      <c r="AV62" s="37" t="s">
        <v>1645</v>
      </c>
      <c r="AW62" s="37" t="str">
        <f aca="false">HYPERLINK("http://dx.doi.org/10.3390/math8060972","http://dx.doi.org/10.3390/math8060972")</f>
        <v>http://dx.doi.org/10.3390/math8060972</v>
      </c>
      <c r="AX62" s="37"/>
      <c r="AY62" s="37" t="n">
        <v>18</v>
      </c>
      <c r="AZ62" s="37" t="s">
        <v>576</v>
      </c>
      <c r="BA62" s="37" t="s">
        <v>331</v>
      </c>
      <c r="BB62" s="37" t="s">
        <v>576</v>
      </c>
      <c r="BC62" s="37" t="s">
        <v>1646</v>
      </c>
      <c r="BD62" s="37"/>
      <c r="BE62" s="37" t="s">
        <v>503</v>
      </c>
      <c r="BF62" s="37" t="s">
        <v>334</v>
      </c>
      <c r="BG62" s="37" t="s">
        <v>1647</v>
      </c>
      <c r="BH62" s="37" t="str">
        <f aca="false">HYPERLINK("https%3A%2F%2Fwww.webofscience.com%2Fwos%2Fwoscc%2Ffull-record%2FWOS:000553932700001","View Full Record in Web of Science")</f>
        <v>View Full Record in Web of Science</v>
      </c>
      <c r="BI62" s="39"/>
      <c r="BJ62" s="39"/>
      <c r="BK62" s="39"/>
      <c r="BL62" s="39"/>
      <c r="BM62" s="39"/>
      <c r="BN62" s="39"/>
      <c r="BO62" s="39"/>
      <c r="BP62" s="39"/>
      <c r="BQ62" s="39"/>
      <c r="BR62" s="39"/>
      <c r="BS62" s="39"/>
      <c r="BT62" s="41" t="b">
        <f aca="false">TRUE()</f>
        <v>1</v>
      </c>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41" t="b">
        <f aca="false">TRUE()</f>
        <v>1</v>
      </c>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41" t="b">
        <f aca="false">TRUE()</f>
        <v>1</v>
      </c>
      <c r="EG62" s="39"/>
      <c r="EH62" s="39"/>
      <c r="EI62" s="39"/>
      <c r="EJ62" s="39"/>
      <c r="EK62" s="39"/>
      <c r="EL62" s="39"/>
      <c r="EM62" s="39"/>
      <c r="EN62" s="39"/>
      <c r="EO62" s="39"/>
      <c r="EP62" s="39"/>
      <c r="EQ62" s="39"/>
      <c r="ER62" s="39"/>
      <c r="ES62" s="39"/>
      <c r="ET62" s="39"/>
      <c r="EU62" s="39"/>
      <c r="EV62" s="39"/>
      <c r="EW62" s="39"/>
      <c r="EX62" s="39"/>
      <c r="EY62" s="41" t="b">
        <f aca="false">TRUE()</f>
        <v>1</v>
      </c>
      <c r="EZ62" s="39"/>
      <c r="FA62" s="39"/>
      <c r="FB62" s="39"/>
      <c r="FC62" s="39"/>
      <c r="FD62" s="39"/>
      <c r="FE62" s="39"/>
      <c r="FF62" s="39"/>
      <c r="FG62" s="39"/>
      <c r="FH62" s="39"/>
      <c r="FI62" s="39"/>
      <c r="FJ62" s="39"/>
      <c r="FK62" s="39"/>
      <c r="FL62" s="39"/>
      <c r="FM62" s="39"/>
      <c r="FN62" s="39"/>
      <c r="FO62" s="39"/>
      <c r="FP62" s="39"/>
      <c r="FQ62" s="39"/>
      <c r="FR62" s="39"/>
      <c r="FS62" s="39"/>
      <c r="FT62" s="39"/>
      <c r="FU62" s="39"/>
      <c r="FV62" s="39"/>
      <c r="FW62" s="39"/>
      <c r="FX62" s="39"/>
      <c r="FY62" s="39"/>
      <c r="FZ62" s="39"/>
      <c r="GA62" s="39"/>
      <c r="GB62" s="39"/>
      <c r="GC62" s="39"/>
      <c r="GD62" s="39"/>
      <c r="GE62" s="39"/>
      <c r="GF62" s="39"/>
      <c r="GG62" s="39"/>
      <c r="GH62" s="39"/>
      <c r="GI62" s="39"/>
      <c r="GJ62" s="39"/>
      <c r="GK62" s="39"/>
      <c r="GL62" s="39"/>
      <c r="GM62" s="39"/>
      <c r="GN62" s="39"/>
      <c r="GO62" s="39"/>
      <c r="GP62" s="39"/>
      <c r="GQ62" s="39"/>
      <c r="GR62" s="39"/>
      <c r="GS62" s="39"/>
      <c r="GT62" s="39"/>
      <c r="GU62" s="39"/>
      <c r="GV62" s="39"/>
      <c r="GW62" s="39"/>
      <c r="GX62" s="39"/>
      <c r="GY62" s="39"/>
      <c r="GZ62" s="39"/>
      <c r="HA62" s="39"/>
      <c r="HB62" s="39"/>
      <c r="HC62" s="39"/>
      <c r="HD62" s="39"/>
      <c r="HE62" s="39"/>
      <c r="HF62" s="39"/>
      <c r="HG62" s="39"/>
      <c r="HH62" s="39"/>
      <c r="HI62" s="39"/>
      <c r="HJ62" s="39"/>
      <c r="HK62" s="39"/>
      <c r="HL62" s="39"/>
      <c r="HM62" s="39"/>
      <c r="HN62" s="39"/>
      <c r="HO62" s="39"/>
      <c r="HP62" s="39"/>
      <c r="HQ62" s="39"/>
      <c r="HR62" s="39"/>
      <c r="HS62" s="39"/>
      <c r="HT62" s="39"/>
      <c r="HU62" s="39"/>
      <c r="HV62" s="39"/>
      <c r="HW62" s="39"/>
      <c r="HX62" s="39"/>
      <c r="HY62" s="39"/>
      <c r="HZ62" s="39"/>
      <c r="IA62" s="39"/>
      <c r="IB62" s="39"/>
      <c r="IC62" s="39"/>
      <c r="ID62" s="39"/>
      <c r="IE62" s="39"/>
      <c r="IF62" s="39"/>
      <c r="IG62" s="39"/>
      <c r="IH62" s="39"/>
      <c r="II62" s="39"/>
      <c r="IJ62" s="39"/>
      <c r="IK62" s="39"/>
      <c r="IL62" s="39"/>
      <c r="IM62" s="39"/>
      <c r="IN62" s="39"/>
      <c r="IO62" s="39"/>
      <c r="IP62" s="39"/>
      <c r="IQ62" s="39"/>
      <c r="IR62" s="39"/>
      <c r="IS62" s="39"/>
      <c r="IT62" s="39"/>
      <c r="IU62" s="39"/>
      <c r="IV62" s="39"/>
      <c r="IW62" s="39"/>
      <c r="IX62" s="41" t="b">
        <f aca="false">TRUE()</f>
        <v>1</v>
      </c>
      <c r="IY62" s="39"/>
      <c r="IZ62" s="39"/>
      <c r="JA62" s="39"/>
      <c r="JB62" s="39"/>
      <c r="JC62" s="39"/>
      <c r="JD62" s="39"/>
      <c r="JE62" s="39"/>
      <c r="JF62" s="39"/>
      <c r="JG62" s="39"/>
      <c r="JH62" s="39"/>
      <c r="JI62" s="39"/>
      <c r="JJ62" s="39"/>
      <c r="JK62" s="39"/>
      <c r="JL62" s="39"/>
      <c r="JM62" s="39"/>
      <c r="JN62" s="39"/>
      <c r="JO62" s="39"/>
      <c r="JP62" s="39"/>
      <c r="JQ62" s="39"/>
      <c r="JR62" s="39"/>
      <c r="JS62" s="39"/>
      <c r="JT62" s="41" t="b">
        <f aca="false">TRUE()</f>
        <v>1</v>
      </c>
      <c r="JU62" s="41" t="b">
        <f aca="false">TRUE()</f>
        <v>1</v>
      </c>
      <c r="JV62" s="39"/>
      <c r="JW62" s="39"/>
      <c r="JX62" s="39"/>
      <c r="JY62" s="39"/>
      <c r="JZ62" s="39"/>
      <c r="KA62" s="39"/>
      <c r="KB62" s="39"/>
      <c r="KC62" s="39"/>
      <c r="KD62" s="39"/>
      <c r="KE62" s="39"/>
      <c r="KF62" s="39"/>
      <c r="KG62" s="39"/>
      <c r="KH62" s="39"/>
      <c r="KI62" s="39"/>
      <c r="KJ62" s="39"/>
      <c r="KK62" s="39"/>
      <c r="KL62" s="39"/>
      <c r="KM62" s="39"/>
      <c r="KN62" s="39"/>
      <c r="KO62" s="41" t="b">
        <f aca="false">TRUE()</f>
        <v>1</v>
      </c>
      <c r="KP62" s="41" t="b">
        <f aca="false">TRUE()</f>
        <v>1</v>
      </c>
      <c r="KQ62" s="39"/>
      <c r="KR62" s="39"/>
      <c r="KS62" s="39"/>
      <c r="KT62" s="41" t="b">
        <f aca="false">TRUE()</f>
        <v>1</v>
      </c>
      <c r="KU62" s="39"/>
    </row>
    <row r="63" customFormat="false" ht="14.4" hidden="false" customHeight="false" outlineLevel="0" collapsed="false">
      <c r="A63" s="37" t="s">
        <v>305</v>
      </c>
      <c r="B63" s="37" t="s">
        <v>1648</v>
      </c>
      <c r="C63" s="37"/>
      <c r="D63" s="37"/>
      <c r="E63" s="37"/>
      <c r="F63" s="37" t="s">
        <v>1649</v>
      </c>
      <c r="G63" s="37" t="s">
        <v>1650</v>
      </c>
      <c r="H63" s="37" t="s">
        <v>1651</v>
      </c>
      <c r="I63" s="37" t="s">
        <v>310</v>
      </c>
      <c r="J63" s="37" t="s">
        <v>1652</v>
      </c>
      <c r="K63" s="37"/>
      <c r="L63" s="37"/>
      <c r="M63" s="37"/>
      <c r="N63" s="37"/>
      <c r="O63" s="37"/>
      <c r="P63" s="37" t="s">
        <v>1653</v>
      </c>
      <c r="Q63" s="37" t="s">
        <v>1654</v>
      </c>
      <c r="R63" s="37" t="s">
        <v>1655</v>
      </c>
      <c r="S63" s="37" t="s">
        <v>1656</v>
      </c>
      <c r="T63" s="37" t="s">
        <v>1657</v>
      </c>
      <c r="U63" s="37" t="s">
        <v>1658</v>
      </c>
      <c r="V63" s="37" t="s">
        <v>1659</v>
      </c>
      <c r="W63" s="37" t="s">
        <v>1660</v>
      </c>
      <c r="X63" s="37" t="s">
        <v>1661</v>
      </c>
      <c r="Y63" s="37" t="s">
        <v>1662</v>
      </c>
      <c r="Z63" s="37" t="s">
        <v>1663</v>
      </c>
      <c r="AA63" s="37" t="n">
        <v>54</v>
      </c>
      <c r="AB63" s="37" t="n">
        <v>3</v>
      </c>
      <c r="AC63" s="37" t="n">
        <v>3</v>
      </c>
      <c r="AD63" s="37" t="n">
        <v>8</v>
      </c>
      <c r="AE63" s="37" t="n">
        <v>30</v>
      </c>
      <c r="AF63" s="37" t="s">
        <v>1664</v>
      </c>
      <c r="AG63" s="37" t="s">
        <v>1665</v>
      </c>
      <c r="AH63" s="37" t="s">
        <v>1666</v>
      </c>
      <c r="AI63" s="37"/>
      <c r="AJ63" s="37" t="s">
        <v>1667</v>
      </c>
      <c r="AK63" s="37"/>
      <c r="AL63" s="37" t="s">
        <v>1668</v>
      </c>
      <c r="AM63" s="37" t="s">
        <v>1669</v>
      </c>
      <c r="AN63" s="37" t="s">
        <v>1670</v>
      </c>
      <c r="AO63" s="37" t="n">
        <v>2023</v>
      </c>
      <c r="AP63" s="37" t="n">
        <v>10</v>
      </c>
      <c r="AQ63" s="37" t="n">
        <v>1</v>
      </c>
      <c r="AR63" s="37"/>
      <c r="AS63" s="37"/>
      <c r="AT63" s="37"/>
      <c r="AU63" s="37" t="n">
        <v>908</v>
      </c>
      <c r="AV63" s="37" t="s">
        <v>1671</v>
      </c>
      <c r="AW63" s="37" t="str">
        <f aca="false">HYPERLINK("http://dx.doi.org/10.1038/s41597-023-02822-8","http://dx.doi.org/10.1038/s41597-023-02822-8")</f>
        <v>http://dx.doi.org/10.1038/s41597-023-02822-8</v>
      </c>
      <c r="AX63" s="37"/>
      <c r="AY63" s="37" t="n">
        <v>13</v>
      </c>
      <c r="AZ63" s="37" t="s">
        <v>1544</v>
      </c>
      <c r="BA63" s="37" t="s">
        <v>331</v>
      </c>
      <c r="BB63" s="37" t="s">
        <v>1545</v>
      </c>
      <c r="BC63" s="37" t="s">
        <v>1672</v>
      </c>
      <c r="BD63" s="37" t="n">
        <v>38110456</v>
      </c>
      <c r="BE63" s="37" t="s">
        <v>1547</v>
      </c>
      <c r="BF63" s="37" t="s">
        <v>334</v>
      </c>
      <c r="BG63" s="37" t="s">
        <v>1673</v>
      </c>
      <c r="BH63" s="37" t="str">
        <f aca="false">HYPERLINK("https%3A%2F%2Fwww.webofscience.com%2Fwos%2Fwoscc%2Ffull-record%2FWOS:001126815800003","View Full Record in Web of Science")</f>
        <v>View Full Record in Web of Science</v>
      </c>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c r="CV63" s="39"/>
      <c r="CW63" s="39"/>
      <c r="CX63" s="39"/>
      <c r="CY63" s="39"/>
      <c r="CZ63" s="39"/>
      <c r="DA63" s="39"/>
      <c r="DB63" s="41" t="b">
        <f aca="false">TRUE()</f>
        <v>1</v>
      </c>
      <c r="DC63" s="39"/>
      <c r="DD63" s="39"/>
      <c r="DE63" s="39"/>
      <c r="DF63" s="39"/>
      <c r="DG63" s="39"/>
      <c r="DH63" s="39"/>
      <c r="DI63" s="39"/>
      <c r="DJ63" s="39"/>
      <c r="DK63" s="39"/>
      <c r="DL63" s="39"/>
      <c r="DM63" s="39"/>
      <c r="DN63" s="39"/>
      <c r="DO63" s="39"/>
      <c r="DP63" s="39"/>
      <c r="DQ63" s="39"/>
      <c r="DR63" s="39"/>
      <c r="DS63" s="39"/>
      <c r="DT63" s="39"/>
      <c r="DU63" s="39"/>
      <c r="DV63" s="39"/>
      <c r="DW63" s="39"/>
      <c r="DX63" s="39"/>
      <c r="DY63" s="39"/>
      <c r="DZ63" s="39"/>
      <c r="EA63" s="41" t="b">
        <f aca="false">TRUE()</f>
        <v>1</v>
      </c>
      <c r="EB63" s="39"/>
      <c r="EC63" s="39"/>
      <c r="ED63" s="39"/>
      <c r="EE63" s="39"/>
      <c r="EF63" s="39"/>
      <c r="EG63" s="39"/>
      <c r="EH63" s="39"/>
      <c r="EI63" s="41" t="b">
        <f aca="false">TRUE()</f>
        <v>1</v>
      </c>
      <c r="EJ63" s="39"/>
      <c r="EK63" s="39"/>
      <c r="EL63" s="39"/>
      <c r="EM63" s="39"/>
      <c r="EN63" s="39"/>
      <c r="EO63" s="39"/>
      <c r="EP63" s="39"/>
      <c r="EQ63" s="39"/>
      <c r="ER63" s="39"/>
      <c r="ES63" s="41" t="b">
        <f aca="false">TRUE()</f>
        <v>1</v>
      </c>
      <c r="ET63" s="39"/>
      <c r="EU63" s="39"/>
      <c r="EV63" s="39"/>
      <c r="EW63" s="39"/>
      <c r="EX63" s="39"/>
      <c r="EY63" s="41" t="b">
        <f aca="false">TRUE()</f>
        <v>1</v>
      </c>
      <c r="EZ63" s="39"/>
      <c r="FA63" s="39"/>
      <c r="FB63" s="39"/>
      <c r="FC63" s="39"/>
      <c r="FD63" s="39"/>
      <c r="FE63" s="39"/>
      <c r="FF63" s="39"/>
      <c r="FG63" s="39"/>
      <c r="FH63" s="39"/>
      <c r="FI63" s="39"/>
      <c r="FJ63" s="39"/>
      <c r="FK63" s="39"/>
      <c r="FL63" s="39"/>
      <c r="FM63" s="39"/>
      <c r="FN63" s="39"/>
      <c r="FO63" s="39"/>
      <c r="FP63" s="39"/>
      <c r="FQ63" s="39"/>
      <c r="FR63" s="39"/>
      <c r="FS63" s="39"/>
      <c r="FT63" s="39"/>
      <c r="FU63" s="39"/>
      <c r="FV63" s="39"/>
      <c r="FW63" s="39"/>
      <c r="FX63" s="39"/>
      <c r="FY63" s="39"/>
      <c r="FZ63" s="39"/>
      <c r="GA63" s="39"/>
      <c r="GB63" s="39"/>
      <c r="GC63" s="39"/>
      <c r="GD63" s="39"/>
      <c r="GE63" s="39"/>
      <c r="GF63" s="39"/>
      <c r="GG63" s="39"/>
      <c r="GH63" s="39"/>
      <c r="GI63" s="39"/>
      <c r="GJ63" s="39"/>
      <c r="GK63" s="39"/>
      <c r="GL63" s="39"/>
      <c r="GM63" s="39"/>
      <c r="GN63" s="39"/>
      <c r="GO63" s="39"/>
      <c r="GP63" s="39"/>
      <c r="GQ63" s="39"/>
      <c r="GR63" s="39"/>
      <c r="GS63" s="39"/>
      <c r="GT63" s="39"/>
      <c r="GU63" s="39"/>
      <c r="GV63" s="39"/>
      <c r="GW63" s="39"/>
      <c r="GX63" s="39"/>
      <c r="GY63" s="39"/>
      <c r="GZ63" s="39"/>
      <c r="HA63" s="39"/>
      <c r="HB63" s="39"/>
      <c r="HC63" s="39"/>
      <c r="HD63" s="39"/>
      <c r="HE63" s="39"/>
      <c r="HF63" s="39"/>
      <c r="HG63" s="39"/>
      <c r="HH63" s="39"/>
      <c r="HI63" s="39"/>
      <c r="HJ63" s="39"/>
      <c r="HK63" s="39"/>
      <c r="HL63" s="39"/>
      <c r="HM63" s="39"/>
      <c r="HN63" s="39"/>
      <c r="HO63" s="39"/>
      <c r="HP63" s="39"/>
      <c r="HQ63" s="39"/>
      <c r="HR63" s="39"/>
      <c r="HS63" s="39"/>
      <c r="HT63" s="39"/>
      <c r="HU63" s="39"/>
      <c r="HV63" s="39"/>
      <c r="HW63" s="39"/>
      <c r="HX63" s="39"/>
      <c r="HY63" s="39"/>
      <c r="HZ63" s="39"/>
      <c r="IA63" s="39"/>
      <c r="IB63" s="41" t="b">
        <f aca="false">TRUE()</f>
        <v>1</v>
      </c>
      <c r="IC63" s="41" t="b">
        <f aca="false">TRUE()</f>
        <v>1</v>
      </c>
      <c r="ID63" s="39"/>
      <c r="IE63" s="39"/>
      <c r="IF63" s="39"/>
      <c r="IG63" s="39"/>
      <c r="IH63" s="39"/>
      <c r="II63" s="39"/>
      <c r="IJ63" s="39"/>
      <c r="IK63" s="39"/>
      <c r="IL63" s="39"/>
      <c r="IM63" s="39"/>
      <c r="IN63" s="39"/>
      <c r="IO63" s="39"/>
      <c r="IP63" s="39"/>
      <c r="IQ63" s="39"/>
      <c r="IR63" s="39"/>
      <c r="IS63" s="39"/>
      <c r="IT63" s="39"/>
      <c r="IU63" s="39"/>
      <c r="IV63" s="39"/>
      <c r="IW63" s="39"/>
      <c r="IX63" s="39"/>
      <c r="IY63" s="39"/>
      <c r="IZ63" s="39"/>
      <c r="JA63" s="39"/>
      <c r="JB63" s="39"/>
      <c r="JC63" s="39"/>
      <c r="JD63" s="39"/>
      <c r="JE63" s="39"/>
      <c r="JF63" s="39"/>
      <c r="JG63" s="39"/>
      <c r="JH63" s="39"/>
      <c r="JI63" s="39"/>
      <c r="JJ63" s="39"/>
      <c r="JK63" s="39"/>
      <c r="JL63" s="39"/>
      <c r="JM63" s="39"/>
      <c r="JN63" s="39"/>
      <c r="JO63" s="39"/>
      <c r="JP63" s="39"/>
      <c r="JQ63" s="39"/>
      <c r="JR63" s="39"/>
      <c r="JS63" s="39"/>
      <c r="JT63" s="41" t="b">
        <f aca="false">TRUE()</f>
        <v>1</v>
      </c>
      <c r="JU63" s="39"/>
      <c r="JV63" s="39"/>
      <c r="JW63" s="39"/>
      <c r="JX63" s="39"/>
      <c r="JY63" s="39"/>
      <c r="JZ63" s="39"/>
      <c r="KA63" s="39"/>
      <c r="KB63" s="39"/>
      <c r="KC63" s="39"/>
      <c r="KD63" s="39"/>
      <c r="KE63" s="39"/>
      <c r="KF63" s="39"/>
      <c r="KG63" s="39"/>
      <c r="KH63" s="39"/>
      <c r="KI63" s="39"/>
      <c r="KJ63" s="39"/>
      <c r="KK63" s="39"/>
      <c r="KL63" s="39"/>
      <c r="KM63" s="39"/>
      <c r="KN63" s="39"/>
      <c r="KO63" s="39"/>
      <c r="KP63" s="39"/>
      <c r="KQ63" s="39"/>
      <c r="KR63" s="41" t="b">
        <f aca="false">TRUE()</f>
        <v>1</v>
      </c>
      <c r="KS63" s="39"/>
      <c r="KT63" s="39"/>
      <c r="KU63" s="41" t="b">
        <f aca="false">TRUE()</f>
        <v>1</v>
      </c>
    </row>
    <row r="64" customFormat="false" ht="14.4" hidden="false" customHeight="false" outlineLevel="0" collapsed="false">
      <c r="A64" s="37" t="s">
        <v>305</v>
      </c>
      <c r="B64" s="37" t="s">
        <v>1674</v>
      </c>
      <c r="C64" s="37"/>
      <c r="D64" s="37"/>
      <c r="E64" s="37"/>
      <c r="F64" s="37" t="s">
        <v>1675</v>
      </c>
      <c r="G64" s="37" t="s">
        <v>1676</v>
      </c>
      <c r="H64" s="37" t="s">
        <v>1677</v>
      </c>
      <c r="I64" s="37" t="s">
        <v>310</v>
      </c>
      <c r="J64" s="37" t="s">
        <v>311</v>
      </c>
      <c r="K64" s="37"/>
      <c r="L64" s="37"/>
      <c r="M64" s="37"/>
      <c r="N64" s="37"/>
      <c r="O64" s="37" t="s">
        <v>1678</v>
      </c>
      <c r="P64" s="37" t="s">
        <v>1679</v>
      </c>
      <c r="Q64" s="37" t="s">
        <v>1680</v>
      </c>
      <c r="R64" s="37" t="s">
        <v>1681</v>
      </c>
      <c r="S64" s="37" t="s">
        <v>1682</v>
      </c>
      <c r="T64" s="37" t="s">
        <v>1683</v>
      </c>
      <c r="U64" s="37" t="s">
        <v>1684</v>
      </c>
      <c r="V64" s="37" t="s">
        <v>1685</v>
      </c>
      <c r="W64" s="37" t="s">
        <v>1686</v>
      </c>
      <c r="X64" s="37" t="s">
        <v>1687</v>
      </c>
      <c r="Y64" s="37" t="s">
        <v>1687</v>
      </c>
      <c r="Z64" s="37" t="s">
        <v>1688</v>
      </c>
      <c r="AA64" s="37" t="n">
        <v>41</v>
      </c>
      <c r="AB64" s="37" t="n">
        <v>0</v>
      </c>
      <c r="AC64" s="37" t="n">
        <v>0</v>
      </c>
      <c r="AD64" s="37" t="n">
        <v>3</v>
      </c>
      <c r="AE64" s="37" t="n">
        <v>3</v>
      </c>
      <c r="AF64" s="37" t="s">
        <v>546</v>
      </c>
      <c r="AG64" s="37" t="s">
        <v>547</v>
      </c>
      <c r="AH64" s="37" t="s">
        <v>548</v>
      </c>
      <c r="AI64" s="37"/>
      <c r="AJ64" s="37" t="s">
        <v>1689</v>
      </c>
      <c r="AK64" s="37"/>
      <c r="AL64" s="37" t="s">
        <v>1690</v>
      </c>
      <c r="AM64" s="37" t="s">
        <v>1691</v>
      </c>
      <c r="AN64" s="37" t="s">
        <v>408</v>
      </c>
      <c r="AO64" s="37" t="n">
        <v>2024</v>
      </c>
      <c r="AP64" s="37" t="n">
        <v>16</v>
      </c>
      <c r="AQ64" s="37" t="n">
        <v>24</v>
      </c>
      <c r="AR64" s="37"/>
      <c r="AS64" s="37"/>
      <c r="AT64" s="37"/>
      <c r="AU64" s="37" t="n">
        <v>11077</v>
      </c>
      <c r="AV64" s="37" t="s">
        <v>1692</v>
      </c>
      <c r="AW64" s="37" t="str">
        <f aca="false">HYPERLINK("http://dx.doi.org/10.3390/su162411077","http://dx.doi.org/10.3390/su162411077")</f>
        <v>http://dx.doi.org/10.3390/su162411077</v>
      </c>
      <c r="AX64" s="37"/>
      <c r="AY64" s="37" t="n">
        <v>22</v>
      </c>
      <c r="AZ64" s="37" t="s">
        <v>1693</v>
      </c>
      <c r="BA64" s="37" t="s">
        <v>1694</v>
      </c>
      <c r="BB64" s="37" t="s">
        <v>1695</v>
      </c>
      <c r="BC64" s="37" t="s">
        <v>1696</v>
      </c>
      <c r="BD64" s="37"/>
      <c r="BE64" s="37" t="s">
        <v>503</v>
      </c>
      <c r="BF64" s="37" t="s">
        <v>334</v>
      </c>
      <c r="BG64" s="37" t="s">
        <v>1697</v>
      </c>
      <c r="BH64" s="37" t="str">
        <f aca="false">HYPERLINK("https%3A%2F%2Fwww.webofscience.com%2Fwos%2Fwoscc%2Ffull-record%2FWOS:001386613900001","View Full Record in Web of Science")</f>
        <v>View Full Record in Web of Science</v>
      </c>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39"/>
      <c r="CV64" s="39"/>
      <c r="CW64" s="39"/>
      <c r="CX64" s="39"/>
      <c r="CY64" s="39"/>
      <c r="CZ64" s="39"/>
      <c r="DA64" s="39"/>
      <c r="DB64" s="39"/>
      <c r="DC64" s="39"/>
      <c r="DD64" s="39"/>
      <c r="DE64" s="39"/>
      <c r="DF64" s="39"/>
      <c r="DG64" s="39"/>
      <c r="DH64" s="39"/>
      <c r="DI64" s="39"/>
      <c r="DJ64" s="39"/>
      <c r="DK64" s="39"/>
      <c r="DL64" s="39"/>
      <c r="DM64" s="39"/>
      <c r="DN64" s="39"/>
      <c r="DO64" s="39"/>
      <c r="DP64" s="39"/>
      <c r="DQ64" s="39"/>
      <c r="DR64" s="39"/>
      <c r="DS64" s="39"/>
      <c r="DT64" s="39"/>
      <c r="DU64" s="39"/>
      <c r="DV64" s="39"/>
      <c r="DW64" s="39"/>
      <c r="DX64" s="39"/>
      <c r="DY64" s="39"/>
      <c r="DZ64" s="39"/>
      <c r="EA64" s="41" t="b">
        <f aca="false">TRUE()</f>
        <v>1</v>
      </c>
      <c r="EB64" s="41" t="b">
        <f aca="false">TRUE()</f>
        <v>1</v>
      </c>
      <c r="EC64" s="39"/>
      <c r="ED64" s="39"/>
      <c r="EE64" s="39"/>
      <c r="EF64" s="39"/>
      <c r="EG64" s="39"/>
      <c r="EH64" s="39"/>
      <c r="EI64" s="39"/>
      <c r="EJ64" s="39"/>
      <c r="EK64" s="39"/>
      <c r="EL64" s="39"/>
      <c r="EM64" s="39"/>
      <c r="EN64" s="39"/>
      <c r="EO64" s="39"/>
      <c r="EP64" s="39"/>
      <c r="EQ64" s="39"/>
      <c r="ER64" s="39"/>
      <c r="ES64" s="39"/>
      <c r="ET64" s="39"/>
      <c r="EU64" s="39"/>
      <c r="EV64" s="39"/>
      <c r="EW64" s="39"/>
      <c r="EX64" s="39"/>
      <c r="EY64" s="41" t="b">
        <f aca="false">TRUE()</f>
        <v>1</v>
      </c>
      <c r="EZ64" s="39"/>
      <c r="FA64" s="39"/>
      <c r="FB64" s="39"/>
      <c r="FC64" s="39"/>
      <c r="FD64" s="39"/>
      <c r="FE64" s="39"/>
      <c r="FF64" s="39"/>
      <c r="FG64" s="39"/>
      <c r="FH64" s="39"/>
      <c r="FI64" s="39"/>
      <c r="FJ64" s="39"/>
      <c r="FK64" s="39"/>
      <c r="FL64" s="39"/>
      <c r="FM64" s="39"/>
      <c r="FN64" s="39"/>
      <c r="FO64" s="39"/>
      <c r="FP64" s="39"/>
      <c r="FQ64" s="39"/>
      <c r="FR64" s="39"/>
      <c r="FS64" s="39"/>
      <c r="FT64" s="39"/>
      <c r="FU64" s="39"/>
      <c r="FV64" s="39"/>
      <c r="FW64" s="39"/>
      <c r="FX64" s="39"/>
      <c r="FY64" s="39"/>
      <c r="FZ64" s="39"/>
      <c r="GA64" s="39"/>
      <c r="GB64" s="39"/>
      <c r="GC64" s="39"/>
      <c r="GD64" s="39"/>
      <c r="GE64" s="39"/>
      <c r="GF64" s="39"/>
      <c r="GG64" s="39"/>
      <c r="GH64" s="39"/>
      <c r="GI64" s="39"/>
      <c r="GJ64" s="39"/>
      <c r="GK64" s="39"/>
      <c r="GL64" s="39"/>
      <c r="GM64" s="39"/>
      <c r="GN64" s="39"/>
      <c r="GO64" s="39"/>
      <c r="GP64" s="39"/>
      <c r="GQ64" s="39"/>
      <c r="GR64" s="39"/>
      <c r="GS64" s="39"/>
      <c r="GT64" s="39"/>
      <c r="GU64" s="39"/>
      <c r="GV64" s="39"/>
      <c r="GW64" s="39"/>
      <c r="GX64" s="39"/>
      <c r="GY64" s="39"/>
      <c r="GZ64" s="39"/>
      <c r="HA64" s="39"/>
      <c r="HB64" s="39"/>
      <c r="HC64" s="39"/>
      <c r="HD64" s="39"/>
      <c r="HE64" s="39"/>
      <c r="HF64" s="39"/>
      <c r="HG64" s="39"/>
      <c r="HH64" s="39"/>
      <c r="HI64" s="39"/>
      <c r="HJ64" s="39"/>
      <c r="HK64" s="39"/>
      <c r="HL64" s="39"/>
      <c r="HM64" s="39"/>
      <c r="HN64" s="39"/>
      <c r="HO64" s="39"/>
      <c r="HP64" s="39"/>
      <c r="HQ64" s="39"/>
      <c r="HR64" s="39"/>
      <c r="HS64" s="39"/>
      <c r="HT64" s="41" t="b">
        <f aca="false">TRUE()</f>
        <v>1</v>
      </c>
      <c r="HU64" s="39"/>
      <c r="HV64" s="39"/>
      <c r="HW64" s="39"/>
      <c r="HX64" s="39"/>
      <c r="HY64" s="39"/>
      <c r="HZ64" s="39"/>
      <c r="IA64" s="39"/>
      <c r="IB64" s="39"/>
      <c r="IC64" s="39"/>
      <c r="ID64" s="39"/>
      <c r="IE64" s="39"/>
      <c r="IF64" s="39"/>
      <c r="IG64" s="39"/>
      <c r="IH64" s="39"/>
      <c r="II64" s="39"/>
      <c r="IJ64" s="39"/>
      <c r="IK64" s="39"/>
      <c r="IL64" s="39"/>
      <c r="IM64" s="39"/>
      <c r="IN64" s="39"/>
      <c r="IO64" s="39"/>
      <c r="IP64" s="39"/>
      <c r="IQ64" s="39"/>
      <c r="IR64" s="39"/>
      <c r="IS64" s="39"/>
      <c r="IT64" s="39"/>
      <c r="IU64" s="39"/>
      <c r="IV64" s="39"/>
      <c r="IW64" s="39"/>
      <c r="IX64" s="41" t="b">
        <f aca="false">TRUE()</f>
        <v>1</v>
      </c>
      <c r="IY64" s="39"/>
      <c r="IZ64" s="39"/>
      <c r="JA64" s="39"/>
      <c r="JB64" s="39"/>
      <c r="JC64" s="39"/>
      <c r="JD64" s="39"/>
      <c r="JE64" s="39"/>
      <c r="JF64" s="39"/>
      <c r="JG64" s="39"/>
      <c r="JH64" s="39"/>
      <c r="JI64" s="39"/>
      <c r="JJ64" s="39"/>
      <c r="JK64" s="39"/>
      <c r="JL64" s="39"/>
      <c r="JM64" s="39"/>
      <c r="JN64" s="39"/>
      <c r="JO64" s="39"/>
      <c r="JP64" s="39"/>
      <c r="JQ64" s="39"/>
      <c r="JR64" s="39"/>
      <c r="JS64" s="39"/>
      <c r="JT64" s="41" t="b">
        <f aca="false">TRUE()</f>
        <v>1</v>
      </c>
      <c r="JU64" s="41" t="b">
        <f aca="false">TRUE()</f>
        <v>1</v>
      </c>
      <c r="JV64" s="39"/>
      <c r="JW64" s="39"/>
      <c r="JX64" s="39"/>
      <c r="JY64" s="39"/>
      <c r="JZ64" s="39"/>
      <c r="KA64" s="39"/>
      <c r="KB64" s="39"/>
      <c r="KC64" s="39"/>
      <c r="KD64" s="39"/>
      <c r="KE64" s="39"/>
      <c r="KF64" s="39"/>
      <c r="KG64" s="39"/>
      <c r="KH64" s="39"/>
      <c r="KI64" s="39"/>
      <c r="KJ64" s="39"/>
      <c r="KK64" s="39"/>
      <c r="KL64" s="39"/>
      <c r="KM64" s="39"/>
      <c r="KN64" s="39"/>
      <c r="KO64" s="39"/>
      <c r="KP64" s="39"/>
      <c r="KQ64" s="41" t="b">
        <f aca="false">TRUE()</f>
        <v>1</v>
      </c>
      <c r="KR64" s="39"/>
      <c r="KS64" s="41" t="b">
        <f aca="false">TRUE()</f>
        <v>1</v>
      </c>
      <c r="KT64" s="39"/>
      <c r="KU64" s="39"/>
    </row>
    <row r="65" customFormat="false" ht="14.4" hidden="false" customHeight="false" outlineLevel="0" collapsed="false">
      <c r="A65" s="53" t="s">
        <v>305</v>
      </c>
      <c r="B65" s="53" t="s">
        <v>1698</v>
      </c>
      <c r="C65" s="53"/>
      <c r="D65" s="53"/>
      <c r="E65" s="53"/>
      <c r="F65" s="53" t="s">
        <v>1699</v>
      </c>
      <c r="G65" s="53" t="s">
        <v>1700</v>
      </c>
      <c r="H65" s="53" t="s">
        <v>1701</v>
      </c>
      <c r="I65" s="53" t="s">
        <v>1702</v>
      </c>
      <c r="J65" s="53" t="s">
        <v>1527</v>
      </c>
      <c r="K65" s="53"/>
      <c r="L65" s="53"/>
      <c r="M65" s="53"/>
      <c r="N65" s="53"/>
      <c r="O65" s="53" t="s">
        <v>1703</v>
      </c>
      <c r="P65" s="53" t="s">
        <v>1704</v>
      </c>
      <c r="Q65" s="53" t="s">
        <v>1705</v>
      </c>
      <c r="R65" s="53" t="s">
        <v>1706</v>
      </c>
      <c r="S65" s="53"/>
      <c r="T65" s="53" t="s">
        <v>1707</v>
      </c>
      <c r="U65" s="53" t="s">
        <v>1708</v>
      </c>
      <c r="V65" s="53"/>
      <c r="W65" s="53"/>
      <c r="X65" s="53"/>
      <c r="Y65" s="53"/>
      <c r="Z65" s="53"/>
      <c r="AA65" s="53" t="n">
        <v>182</v>
      </c>
      <c r="AB65" s="53" t="n">
        <v>1</v>
      </c>
      <c r="AC65" s="53" t="n">
        <v>1</v>
      </c>
      <c r="AD65" s="53" t="n">
        <v>4</v>
      </c>
      <c r="AE65" s="53" t="n">
        <v>6</v>
      </c>
      <c r="AF65" s="53" t="s">
        <v>1709</v>
      </c>
      <c r="AG65" s="53" t="s">
        <v>1710</v>
      </c>
      <c r="AH65" s="53" t="s">
        <v>1711</v>
      </c>
      <c r="AI65" s="53" t="s">
        <v>1712</v>
      </c>
      <c r="AJ65" s="53" t="s">
        <v>1713</v>
      </c>
      <c r="AK65" s="53"/>
      <c r="AL65" s="53" t="s">
        <v>1714</v>
      </c>
      <c r="AM65" s="53" t="s">
        <v>1715</v>
      </c>
      <c r="AN65" s="53" t="s">
        <v>408</v>
      </c>
      <c r="AO65" s="53" t="n">
        <v>2022</v>
      </c>
      <c r="AP65" s="53" t="n">
        <v>38</v>
      </c>
      <c r="AQ65" s="53" t="n">
        <v>6</v>
      </c>
      <c r="AR65" s="53" t="n">
        <v>1</v>
      </c>
      <c r="AS65" s="53" t="n">
        <v>1141</v>
      </c>
      <c r="AT65" s="53" t="n">
        <v>1180</v>
      </c>
      <c r="AU65" s="53"/>
      <c r="AV65" s="53" t="s">
        <v>1716</v>
      </c>
      <c r="AW65" s="53" t="str">
        <f aca="false">HYPERLINK("http://dx.doi.org/10.7780/kjrs.2022.38.6.1.14","http://dx.doi.org/10.7780/kjrs.2022.38.6.1.14")</f>
        <v>http://dx.doi.org/10.7780/kjrs.2022.38.6.1.14</v>
      </c>
      <c r="AX65" s="53"/>
      <c r="AY65" s="53" t="n">
        <v>40</v>
      </c>
      <c r="AZ65" s="53" t="s">
        <v>1717</v>
      </c>
      <c r="BA65" s="53" t="s">
        <v>575</v>
      </c>
      <c r="BB65" s="53" t="s">
        <v>1717</v>
      </c>
      <c r="BC65" s="53" t="s">
        <v>1718</v>
      </c>
      <c r="BD65" s="53"/>
      <c r="BE65" s="53"/>
      <c r="BF65" s="53" t="s">
        <v>334</v>
      </c>
      <c r="BG65" s="53" t="s">
        <v>1719</v>
      </c>
      <c r="BH65" s="53" t="str">
        <f aca="false">HYPERLINK("https%3A%2F%2Fwww.webofscience.com%2Fwos%2Fwoscc%2Ffull-record%2FWOS:001228641100002","View Full Record in Web of Science")</f>
        <v>View Full Record in Web of Science</v>
      </c>
      <c r="BI65" s="54" t="b">
        <f aca="false">TRUE()</f>
        <v>1</v>
      </c>
      <c r="BJ65" s="55"/>
      <c r="BK65" s="55"/>
      <c r="BL65" s="55"/>
      <c r="BM65" s="55"/>
      <c r="BN65" s="55"/>
      <c r="BO65" s="54" t="b">
        <f aca="false">TRUE()</f>
        <v>1</v>
      </c>
      <c r="BP65" s="55"/>
      <c r="BQ65" s="55"/>
      <c r="BR65" s="54" t="b">
        <f aca="false">TRUE()</f>
        <v>1</v>
      </c>
      <c r="BS65" s="55"/>
      <c r="BT65" s="55"/>
      <c r="BU65" s="55"/>
      <c r="BV65" s="55"/>
      <c r="BW65" s="55"/>
      <c r="BX65" s="55"/>
      <c r="BY65" s="55"/>
      <c r="BZ65" s="55"/>
      <c r="CA65" s="55"/>
      <c r="CB65" s="55"/>
      <c r="CC65" s="55"/>
      <c r="CD65" s="55"/>
      <c r="CE65" s="55"/>
      <c r="CF65" s="55"/>
      <c r="CG65" s="55"/>
      <c r="CH65" s="55"/>
      <c r="CI65" s="55"/>
      <c r="CJ65" s="55"/>
      <c r="CK65" s="55"/>
      <c r="CL65" s="55"/>
      <c r="CM65" s="55"/>
      <c r="CN65" s="55"/>
      <c r="CO65" s="55"/>
      <c r="CP65" s="55"/>
      <c r="CQ65" s="55"/>
      <c r="CR65" s="55"/>
      <c r="CS65" s="55"/>
      <c r="CT65" s="55"/>
      <c r="CU65" s="55"/>
      <c r="CV65" s="55"/>
      <c r="CW65" s="55"/>
      <c r="CX65" s="55"/>
      <c r="CY65" s="55"/>
      <c r="CZ65" s="55"/>
      <c r="DA65" s="55"/>
      <c r="DB65" s="55"/>
      <c r="DC65" s="55"/>
      <c r="DD65" s="55"/>
      <c r="DE65" s="54" t="b">
        <f aca="false">TRUE()</f>
        <v>1</v>
      </c>
      <c r="DF65" s="55"/>
      <c r="DG65" s="55"/>
      <c r="DH65" s="55"/>
      <c r="DI65" s="55"/>
      <c r="DJ65" s="55"/>
      <c r="DK65" s="55"/>
      <c r="DL65" s="55"/>
      <c r="DM65" s="55"/>
      <c r="DN65" s="55"/>
      <c r="DO65" s="55"/>
      <c r="DP65" s="55"/>
      <c r="DQ65" s="55"/>
      <c r="DR65" s="55"/>
      <c r="DS65" s="55"/>
      <c r="DT65" s="55"/>
      <c r="DU65" s="55"/>
      <c r="DV65" s="55"/>
      <c r="DW65" s="55"/>
      <c r="DX65" s="55"/>
      <c r="DY65" s="55"/>
      <c r="DZ65" s="55"/>
      <c r="EA65" s="55"/>
      <c r="EB65" s="55"/>
      <c r="EC65" s="55"/>
      <c r="ED65" s="55"/>
      <c r="EE65" s="55"/>
      <c r="EF65" s="55"/>
      <c r="EG65" s="55"/>
      <c r="EH65" s="55"/>
      <c r="EI65" s="55"/>
      <c r="EJ65" s="55"/>
      <c r="EK65" s="55"/>
      <c r="EL65" s="55"/>
      <c r="EM65" s="55"/>
      <c r="EN65" s="55"/>
      <c r="EO65" s="55"/>
      <c r="EP65" s="55"/>
      <c r="EQ65" s="55"/>
      <c r="ER65" s="55"/>
      <c r="ES65" s="55"/>
      <c r="ET65" s="55"/>
      <c r="EU65" s="55"/>
      <c r="EV65" s="55"/>
      <c r="EW65" s="55"/>
      <c r="EX65" s="55"/>
      <c r="EY65" s="55"/>
      <c r="EZ65" s="55"/>
      <c r="FA65" s="55"/>
      <c r="FB65" s="55"/>
      <c r="FC65" s="55"/>
      <c r="FD65" s="55"/>
      <c r="FE65" s="55"/>
      <c r="FF65" s="55"/>
      <c r="FG65" s="55"/>
      <c r="FH65" s="55"/>
      <c r="FI65" s="55"/>
      <c r="FJ65" s="55"/>
      <c r="FK65" s="55"/>
      <c r="FL65" s="55"/>
      <c r="FM65" s="55"/>
      <c r="FN65" s="55"/>
      <c r="FO65" s="55"/>
      <c r="FP65" s="55"/>
      <c r="FQ65" s="55"/>
      <c r="FR65" s="55"/>
      <c r="FS65" s="55"/>
      <c r="FT65" s="55"/>
      <c r="FU65" s="55"/>
      <c r="FV65" s="55"/>
      <c r="FW65" s="55"/>
      <c r="FX65" s="55"/>
      <c r="FY65" s="55"/>
      <c r="FZ65" s="55"/>
      <c r="GA65" s="55"/>
      <c r="GB65" s="55"/>
      <c r="GC65" s="55"/>
      <c r="GD65" s="55"/>
      <c r="GE65" s="55"/>
      <c r="GF65" s="55"/>
      <c r="GG65" s="55"/>
      <c r="GH65" s="55"/>
      <c r="GI65" s="55"/>
      <c r="GJ65" s="55"/>
      <c r="GK65" s="55"/>
      <c r="GL65" s="55"/>
      <c r="GM65" s="55"/>
      <c r="GN65" s="55"/>
      <c r="GO65" s="55"/>
      <c r="GP65" s="55"/>
      <c r="GQ65" s="55"/>
      <c r="GR65" s="55"/>
      <c r="GS65" s="55"/>
      <c r="GT65" s="55"/>
      <c r="GU65" s="55"/>
      <c r="GV65" s="55"/>
      <c r="GW65" s="55"/>
      <c r="GX65" s="55"/>
      <c r="GY65" s="55"/>
      <c r="GZ65" s="55"/>
      <c r="HA65" s="55"/>
      <c r="HB65" s="55"/>
      <c r="HC65" s="55"/>
      <c r="HD65" s="55"/>
      <c r="HE65" s="55"/>
      <c r="HF65" s="55"/>
      <c r="HG65" s="55"/>
      <c r="HH65" s="55"/>
      <c r="HI65" s="55"/>
      <c r="HJ65" s="55"/>
      <c r="HK65" s="55"/>
      <c r="HL65" s="55"/>
      <c r="HM65" s="55"/>
      <c r="HN65" s="55"/>
      <c r="HO65" s="55"/>
      <c r="HP65" s="55"/>
      <c r="HQ65" s="55"/>
      <c r="HR65" s="55"/>
      <c r="HS65" s="55"/>
      <c r="HT65" s="55"/>
      <c r="HU65" s="55"/>
      <c r="HV65" s="55"/>
      <c r="HW65" s="55"/>
      <c r="HX65" s="55"/>
      <c r="HY65" s="55"/>
      <c r="HZ65" s="55"/>
      <c r="IA65" s="55"/>
      <c r="IB65" s="55"/>
      <c r="IC65" s="55"/>
      <c r="ID65" s="55"/>
      <c r="IE65" s="55"/>
      <c r="IF65" s="55"/>
      <c r="IG65" s="54" t="b">
        <f aca="false">TRUE()</f>
        <v>1</v>
      </c>
      <c r="IH65" s="55"/>
      <c r="II65" s="55"/>
      <c r="IJ65" s="55"/>
      <c r="IK65" s="55"/>
      <c r="IL65" s="55"/>
      <c r="IM65" s="55"/>
      <c r="IN65" s="55"/>
      <c r="IO65" s="55"/>
      <c r="IP65" s="55"/>
      <c r="IQ65" s="55"/>
      <c r="IR65" s="55"/>
      <c r="IS65" s="55"/>
      <c r="IT65" s="55"/>
      <c r="IU65" s="55"/>
      <c r="IV65" s="55"/>
      <c r="IW65" s="55"/>
      <c r="IX65" s="55"/>
      <c r="IY65" s="55"/>
      <c r="IZ65" s="55"/>
      <c r="JA65" s="55"/>
      <c r="JB65" s="55"/>
      <c r="JC65" s="55"/>
      <c r="JD65" s="55"/>
      <c r="JE65" s="55"/>
      <c r="JF65" s="55"/>
      <c r="JG65" s="55"/>
      <c r="JH65" s="55"/>
      <c r="JI65" s="55"/>
      <c r="JJ65" s="55"/>
      <c r="JK65" s="55"/>
      <c r="JL65" s="55"/>
      <c r="JM65" s="55"/>
      <c r="JN65" s="55"/>
      <c r="JO65" s="55"/>
      <c r="JP65" s="55"/>
      <c r="JQ65" s="55"/>
      <c r="JR65" s="55"/>
      <c r="JS65" s="55"/>
      <c r="JT65" s="54" t="b">
        <f aca="false">TRUE()</f>
        <v>1</v>
      </c>
      <c r="JU65" s="54" t="b">
        <f aca="false">TRUE()</f>
        <v>1</v>
      </c>
      <c r="JV65" s="55"/>
      <c r="JW65" s="55"/>
      <c r="JX65" s="55"/>
      <c r="JY65" s="55"/>
      <c r="JZ65" s="55"/>
      <c r="KA65" s="55"/>
      <c r="KB65" s="55"/>
      <c r="KC65" s="55"/>
      <c r="KD65" s="55"/>
      <c r="KE65" s="55"/>
      <c r="KF65" s="55"/>
      <c r="KG65" s="55"/>
      <c r="KH65" s="55"/>
      <c r="KI65" s="55"/>
      <c r="KJ65" s="55"/>
      <c r="KK65" s="55"/>
      <c r="KL65" s="55"/>
      <c r="KM65" s="55"/>
      <c r="KN65" s="55"/>
      <c r="KO65" s="55"/>
      <c r="KP65" s="55"/>
      <c r="KQ65" s="55"/>
      <c r="KR65" s="55"/>
      <c r="KS65" s="55"/>
      <c r="KT65" s="54" t="b">
        <f aca="false">TRUE()</f>
        <v>1</v>
      </c>
      <c r="KU65" s="55"/>
    </row>
    <row r="66" customFormat="false" ht="14.4" hidden="false" customHeight="false" outlineLevel="0" collapsed="false">
      <c r="A66" s="37" t="s">
        <v>305</v>
      </c>
      <c r="B66" s="37" t="s">
        <v>1720</v>
      </c>
      <c r="C66" s="37"/>
      <c r="D66" s="37"/>
      <c r="E66" s="37"/>
      <c r="F66" s="37" t="s">
        <v>1721</v>
      </c>
      <c r="G66" s="37" t="s">
        <v>1722</v>
      </c>
      <c r="H66" s="37" t="s">
        <v>1091</v>
      </c>
      <c r="I66" s="37" t="s">
        <v>310</v>
      </c>
      <c r="J66" s="37" t="s">
        <v>311</v>
      </c>
      <c r="K66" s="37"/>
      <c r="L66" s="37"/>
      <c r="M66" s="37"/>
      <c r="N66" s="37"/>
      <c r="O66" s="37" t="s">
        <v>1723</v>
      </c>
      <c r="P66" s="37" t="s">
        <v>1724</v>
      </c>
      <c r="Q66" s="37" t="s">
        <v>1725</v>
      </c>
      <c r="R66" s="37" t="s">
        <v>1726</v>
      </c>
      <c r="S66" s="37" t="s">
        <v>1727</v>
      </c>
      <c r="T66" s="37" t="s">
        <v>1728</v>
      </c>
      <c r="U66" s="37" t="s">
        <v>1729</v>
      </c>
      <c r="V66" s="37" t="s">
        <v>1730</v>
      </c>
      <c r="W66" s="37" t="s">
        <v>1731</v>
      </c>
      <c r="X66" s="37" t="s">
        <v>1732</v>
      </c>
      <c r="Y66" s="37" t="s">
        <v>1733</v>
      </c>
      <c r="Z66" s="37" t="s">
        <v>1734</v>
      </c>
      <c r="AA66" s="37" t="n">
        <v>130</v>
      </c>
      <c r="AB66" s="37" t="n">
        <v>39</v>
      </c>
      <c r="AC66" s="37" t="n">
        <v>41</v>
      </c>
      <c r="AD66" s="37" t="n">
        <v>17</v>
      </c>
      <c r="AE66" s="37" t="n">
        <v>179</v>
      </c>
      <c r="AF66" s="37" t="s">
        <v>546</v>
      </c>
      <c r="AG66" s="37" t="s">
        <v>547</v>
      </c>
      <c r="AH66" s="37" t="s">
        <v>548</v>
      </c>
      <c r="AI66" s="37"/>
      <c r="AJ66" s="37" t="s">
        <v>1104</v>
      </c>
      <c r="AK66" s="37"/>
      <c r="AL66" s="37" t="s">
        <v>1091</v>
      </c>
      <c r="AM66" s="37" t="s">
        <v>1105</v>
      </c>
      <c r="AN66" s="37" t="s">
        <v>700</v>
      </c>
      <c r="AO66" s="37" t="n">
        <v>2022</v>
      </c>
      <c r="AP66" s="37" t="n">
        <v>12</v>
      </c>
      <c r="AQ66" s="37" t="n">
        <v>3</v>
      </c>
      <c r="AR66" s="37"/>
      <c r="AS66" s="37"/>
      <c r="AT66" s="37"/>
      <c r="AU66" s="37" t="n">
        <v>594</v>
      </c>
      <c r="AV66" s="37" t="s">
        <v>1735</v>
      </c>
      <c r="AW66" s="37" t="str">
        <f aca="false">HYPERLINK("http://dx.doi.org/10.3390/agronomy12030594","http://dx.doi.org/10.3390/agronomy12030594")</f>
        <v>http://dx.doi.org/10.3390/agronomy12030594</v>
      </c>
      <c r="AX66" s="37"/>
      <c r="AY66" s="37" t="n">
        <v>34</v>
      </c>
      <c r="AZ66" s="37" t="s">
        <v>1107</v>
      </c>
      <c r="BA66" s="37" t="s">
        <v>331</v>
      </c>
      <c r="BB66" s="37" t="s">
        <v>1108</v>
      </c>
      <c r="BC66" s="37" t="s">
        <v>1736</v>
      </c>
      <c r="BD66" s="37"/>
      <c r="BE66" s="37" t="s">
        <v>503</v>
      </c>
      <c r="BF66" s="37" t="s">
        <v>334</v>
      </c>
      <c r="BG66" s="37" t="s">
        <v>1737</v>
      </c>
      <c r="BH66" s="37" t="str">
        <f aca="false">HYPERLINK("https%3A%2F%2Fwww.webofscience.com%2Fwos%2Fwoscc%2Ffull-record%2FWOS:000776981600001","View Full Record in Web of Science")</f>
        <v>View Full Record in Web of Science</v>
      </c>
      <c r="BI66" s="39"/>
      <c r="BJ66" s="39"/>
      <c r="BK66" s="39"/>
      <c r="BL66" s="39"/>
      <c r="BM66" s="39"/>
      <c r="BN66" s="39"/>
      <c r="BO66" s="39"/>
      <c r="BP66" s="39"/>
      <c r="BQ66" s="39"/>
      <c r="BR66" s="41" t="b">
        <f aca="false">TRUE()</f>
        <v>1</v>
      </c>
      <c r="BS66" s="41" t="b">
        <f aca="false">TRUE()</f>
        <v>1</v>
      </c>
      <c r="BT66" s="39"/>
      <c r="BU66" s="39"/>
      <c r="BV66" s="41" t="b">
        <f aca="false">TRUE()</f>
        <v>1</v>
      </c>
      <c r="BW66" s="39"/>
      <c r="BX66" s="39"/>
      <c r="BY66" s="39"/>
      <c r="BZ66" s="39"/>
      <c r="CA66" s="39"/>
      <c r="CB66" s="39"/>
      <c r="CC66" s="39"/>
      <c r="CD66" s="39"/>
      <c r="CE66" s="39"/>
      <c r="CF66" s="39"/>
      <c r="CG66" s="39"/>
      <c r="CH66" s="39"/>
      <c r="CI66" s="41" t="b">
        <f aca="false">TRUE()</f>
        <v>1</v>
      </c>
      <c r="CJ66" s="39"/>
      <c r="CK66" s="39"/>
      <c r="CL66" s="39"/>
      <c r="CM66" s="39"/>
      <c r="CN66" s="39"/>
      <c r="CO66" s="41" t="b">
        <f aca="false">TRUE()</f>
        <v>1</v>
      </c>
      <c r="CP66" s="39"/>
      <c r="CQ66" s="39"/>
      <c r="CR66" s="39"/>
      <c r="CS66" s="39"/>
      <c r="CT66" s="39"/>
      <c r="CU66" s="39"/>
      <c r="CV66" s="41" t="b">
        <f aca="false">TRUE()</f>
        <v>1</v>
      </c>
      <c r="CW66" s="39"/>
      <c r="CX66" s="39"/>
      <c r="CY66" s="39"/>
      <c r="CZ66" s="39"/>
      <c r="DA66" s="39"/>
      <c r="DB66" s="39"/>
      <c r="DC66" s="39"/>
      <c r="DD66" s="39"/>
      <c r="DE66" s="39"/>
      <c r="DF66" s="39"/>
      <c r="DG66" s="39"/>
      <c r="DH66" s="39"/>
      <c r="DI66" s="41" t="b">
        <f aca="false">TRUE()</f>
        <v>1</v>
      </c>
      <c r="DJ66" s="39"/>
      <c r="DK66" s="39"/>
      <c r="DL66" s="39"/>
      <c r="DM66" s="41" t="b">
        <f aca="false">TRUE()</f>
        <v>1</v>
      </c>
      <c r="DN66" s="39"/>
      <c r="DO66" s="39"/>
      <c r="DP66" s="39"/>
      <c r="DQ66" s="39"/>
      <c r="DR66" s="39"/>
      <c r="DS66" s="39"/>
      <c r="DT66" s="39"/>
      <c r="DU66" s="41" t="b">
        <f aca="false">TRUE()</f>
        <v>1</v>
      </c>
      <c r="DV66" s="39"/>
      <c r="DW66" s="39"/>
      <c r="DX66" s="39"/>
      <c r="DY66" s="39"/>
      <c r="DZ66" s="39"/>
      <c r="EA66" s="41" t="b">
        <f aca="false">TRUE()</f>
        <v>1</v>
      </c>
      <c r="EB66" s="39"/>
      <c r="EC66" s="39"/>
      <c r="ED66" s="39"/>
      <c r="EE66" s="39"/>
      <c r="EF66" s="39"/>
      <c r="EG66" s="39"/>
      <c r="EH66" s="39"/>
      <c r="EI66" s="41" t="b">
        <f aca="false">TRUE()</f>
        <v>1</v>
      </c>
      <c r="EJ66" s="39"/>
      <c r="EK66" s="39"/>
      <c r="EL66" s="39"/>
      <c r="EM66" s="39"/>
      <c r="EN66" s="39"/>
      <c r="EO66" s="39"/>
      <c r="EP66" s="39"/>
      <c r="EQ66" s="39"/>
      <c r="ER66" s="39"/>
      <c r="ES66" s="39"/>
      <c r="ET66" s="39"/>
      <c r="EU66" s="39"/>
      <c r="EV66" s="39"/>
      <c r="EW66" s="39"/>
      <c r="EX66" s="39"/>
      <c r="EY66" s="41" t="b">
        <f aca="false">TRUE()</f>
        <v>1</v>
      </c>
      <c r="EZ66" s="39"/>
      <c r="FA66" s="39"/>
      <c r="FB66" s="39"/>
      <c r="FC66" s="41" t="b">
        <f aca="false">TRUE()</f>
        <v>1</v>
      </c>
      <c r="FD66" s="39"/>
      <c r="FE66" s="41" t="b">
        <f aca="false">TRUE()</f>
        <v>1</v>
      </c>
      <c r="FF66" s="39"/>
      <c r="FG66" s="39"/>
      <c r="FH66" s="39"/>
      <c r="FI66" s="39"/>
      <c r="FJ66" s="39"/>
      <c r="FK66" s="39"/>
      <c r="FL66" s="39"/>
      <c r="FM66" s="39"/>
      <c r="FN66" s="39"/>
      <c r="FO66" s="39"/>
      <c r="FP66" s="39"/>
      <c r="FQ66" s="39"/>
      <c r="FR66" s="39"/>
      <c r="FS66" s="39"/>
      <c r="FT66" s="39"/>
      <c r="FU66" s="39"/>
      <c r="FV66" s="39"/>
      <c r="FW66" s="39"/>
      <c r="FX66" s="39"/>
      <c r="FY66" s="39"/>
      <c r="FZ66" s="39"/>
      <c r="GA66" s="39"/>
      <c r="GB66" s="39"/>
      <c r="GC66" s="39"/>
      <c r="GD66" s="39"/>
      <c r="GE66" s="39"/>
      <c r="GF66" s="39"/>
      <c r="GG66" s="39"/>
      <c r="GH66" s="39"/>
      <c r="GI66" s="39"/>
      <c r="GJ66" s="39"/>
      <c r="GK66" s="39"/>
      <c r="GL66" s="39"/>
      <c r="GM66" s="39"/>
      <c r="GN66" s="39"/>
      <c r="GO66" s="39"/>
      <c r="GP66" s="39"/>
      <c r="GQ66" s="39"/>
      <c r="GR66" s="39"/>
      <c r="GS66" s="39"/>
      <c r="GT66" s="39"/>
      <c r="GU66" s="39"/>
      <c r="GV66" s="39"/>
      <c r="GW66" s="39"/>
      <c r="GX66" s="39"/>
      <c r="GY66" s="39"/>
      <c r="GZ66" s="39"/>
      <c r="HA66" s="39"/>
      <c r="HB66" s="39"/>
      <c r="HC66" s="39"/>
      <c r="HD66" s="39"/>
      <c r="HE66" s="39"/>
      <c r="HF66" s="39"/>
      <c r="HG66" s="39"/>
      <c r="HH66" s="39"/>
      <c r="HI66" s="39"/>
      <c r="HJ66" s="39"/>
      <c r="HK66" s="41" t="b">
        <f aca="false">TRUE()</f>
        <v>1</v>
      </c>
      <c r="HL66" s="39"/>
      <c r="HM66" s="39"/>
      <c r="HN66" s="39"/>
      <c r="HO66" s="39"/>
      <c r="HP66" s="39"/>
      <c r="HQ66" s="39"/>
      <c r="HR66" s="39"/>
      <c r="HS66" s="39"/>
      <c r="HT66" s="39"/>
      <c r="HU66" s="39"/>
      <c r="HV66" s="39"/>
      <c r="HW66" s="39"/>
      <c r="HX66" s="39"/>
      <c r="HY66" s="39"/>
      <c r="HZ66" s="39"/>
      <c r="IA66" s="39"/>
      <c r="IB66" s="39"/>
      <c r="IC66" s="39"/>
      <c r="ID66" s="39"/>
      <c r="IE66" s="39"/>
      <c r="IF66" s="39"/>
      <c r="IG66" s="39"/>
      <c r="IH66" s="39"/>
      <c r="II66" s="41" t="b">
        <f aca="false">TRUE()</f>
        <v>1</v>
      </c>
      <c r="IJ66" s="39"/>
      <c r="IK66" s="39"/>
      <c r="IL66" s="39"/>
      <c r="IM66" s="39"/>
      <c r="IN66" s="39"/>
      <c r="IO66" s="39"/>
      <c r="IP66" s="39"/>
      <c r="IQ66" s="39"/>
      <c r="IR66" s="39"/>
      <c r="IS66" s="39"/>
      <c r="IT66" s="39"/>
      <c r="IU66" s="39"/>
      <c r="IV66" s="39"/>
      <c r="IW66" s="39"/>
      <c r="IX66" s="39"/>
      <c r="IY66" s="39"/>
      <c r="IZ66" s="39"/>
      <c r="JA66" s="39"/>
      <c r="JB66" s="39"/>
      <c r="JC66" s="39"/>
      <c r="JD66" s="39"/>
      <c r="JE66" s="39"/>
      <c r="JF66" s="39"/>
      <c r="JG66" s="39"/>
      <c r="JH66" s="39"/>
      <c r="JI66" s="39"/>
      <c r="JJ66" s="39"/>
      <c r="JK66" s="39"/>
      <c r="JL66" s="39"/>
      <c r="JM66" s="39"/>
      <c r="JN66" s="39"/>
      <c r="JO66" s="39"/>
      <c r="JP66" s="39"/>
      <c r="JQ66" s="39"/>
      <c r="JR66" s="39"/>
      <c r="JS66" s="39"/>
      <c r="JT66" s="41" t="b">
        <f aca="false">TRUE()</f>
        <v>1</v>
      </c>
      <c r="JU66" s="39"/>
      <c r="JV66" s="39"/>
      <c r="JW66" s="39"/>
      <c r="JX66" s="39"/>
      <c r="JY66" s="39"/>
      <c r="JZ66" s="39"/>
      <c r="KA66" s="39"/>
      <c r="KB66" s="39"/>
      <c r="KC66" s="39"/>
      <c r="KD66" s="39"/>
      <c r="KE66" s="39"/>
      <c r="KF66" s="39"/>
      <c r="KG66" s="39"/>
      <c r="KH66" s="39"/>
      <c r="KI66" s="39"/>
      <c r="KJ66" s="39"/>
      <c r="KK66" s="39"/>
      <c r="KL66" s="39"/>
      <c r="KM66" s="39"/>
      <c r="KN66" s="39"/>
      <c r="KO66" s="39"/>
      <c r="KP66" s="41" t="b">
        <f aca="false">TRUE()</f>
        <v>1</v>
      </c>
      <c r="KQ66" s="39"/>
      <c r="KR66" s="39"/>
      <c r="KS66" s="41" t="b">
        <f aca="false">TRUE()</f>
        <v>1</v>
      </c>
      <c r="KT66" s="39"/>
      <c r="KU66" s="39"/>
    </row>
    <row r="67" customFormat="false" ht="14.4" hidden="false" customHeight="false" outlineLevel="0" collapsed="false">
      <c r="A67" s="37" t="s">
        <v>305</v>
      </c>
      <c r="B67" s="37" t="s">
        <v>1738</v>
      </c>
      <c r="C67" s="37"/>
      <c r="D67" s="37"/>
      <c r="E67" s="37"/>
      <c r="F67" s="37" t="s">
        <v>1739</v>
      </c>
      <c r="G67" s="37" t="s">
        <v>1740</v>
      </c>
      <c r="H67" s="37" t="s">
        <v>1186</v>
      </c>
      <c r="I67" s="37" t="s">
        <v>310</v>
      </c>
      <c r="J67" s="37" t="s">
        <v>311</v>
      </c>
      <c r="K67" s="37"/>
      <c r="L67" s="37"/>
      <c r="M67" s="37"/>
      <c r="N67" s="37"/>
      <c r="O67" s="37" t="s">
        <v>1741</v>
      </c>
      <c r="P67" s="37" t="s">
        <v>1742</v>
      </c>
      <c r="Q67" s="37" t="s">
        <v>1743</v>
      </c>
      <c r="R67" s="37" t="s">
        <v>1744</v>
      </c>
      <c r="S67" s="37" t="s">
        <v>1745</v>
      </c>
      <c r="T67" s="37" t="s">
        <v>1746</v>
      </c>
      <c r="U67" s="37" t="s">
        <v>1747</v>
      </c>
      <c r="V67" s="37" t="s">
        <v>1748</v>
      </c>
      <c r="W67" s="37" t="s">
        <v>1749</v>
      </c>
      <c r="X67" s="37" t="s">
        <v>1750</v>
      </c>
      <c r="Y67" s="37" t="s">
        <v>1751</v>
      </c>
      <c r="Z67" s="37" t="s">
        <v>1752</v>
      </c>
      <c r="AA67" s="37" t="n">
        <v>47</v>
      </c>
      <c r="AB67" s="37" t="n">
        <v>5</v>
      </c>
      <c r="AC67" s="37" t="n">
        <v>5</v>
      </c>
      <c r="AD67" s="37" t="n">
        <v>1</v>
      </c>
      <c r="AE67" s="37" t="n">
        <v>13</v>
      </c>
      <c r="AF67" s="37" t="s">
        <v>428</v>
      </c>
      <c r="AG67" s="37" t="s">
        <v>429</v>
      </c>
      <c r="AH67" s="37" t="s">
        <v>430</v>
      </c>
      <c r="AI67" s="37" t="s">
        <v>1199</v>
      </c>
      <c r="AJ67" s="37" t="s">
        <v>1200</v>
      </c>
      <c r="AK67" s="37"/>
      <c r="AL67" s="37" t="s">
        <v>1201</v>
      </c>
      <c r="AM67" s="37" t="s">
        <v>1202</v>
      </c>
      <c r="AN67" s="37" t="s">
        <v>459</v>
      </c>
      <c r="AO67" s="37" t="n">
        <v>2021</v>
      </c>
      <c r="AP67" s="37" t="n">
        <v>35</v>
      </c>
      <c r="AQ67" s="37" t="n">
        <v>8</v>
      </c>
      <c r="AR67" s="37"/>
      <c r="AS67" s="37"/>
      <c r="AT67" s="37"/>
      <c r="AU67" s="37" t="s">
        <v>1753</v>
      </c>
      <c r="AV67" s="37" t="s">
        <v>1754</v>
      </c>
      <c r="AW67" s="37" t="str">
        <f aca="false">HYPERLINK("http://dx.doi.org/10.1002/hyp.14315","http://dx.doi.org/10.1002/hyp.14315")</f>
        <v>http://dx.doi.org/10.1002/hyp.14315</v>
      </c>
      <c r="AX67" s="37"/>
      <c r="AY67" s="37" t="n">
        <v>16</v>
      </c>
      <c r="AZ67" s="37" t="s">
        <v>727</v>
      </c>
      <c r="BA67" s="37" t="s">
        <v>331</v>
      </c>
      <c r="BB67" s="37" t="s">
        <v>727</v>
      </c>
      <c r="BC67" s="37" t="s">
        <v>1755</v>
      </c>
      <c r="BD67" s="37"/>
      <c r="BE67" s="37"/>
      <c r="BF67" s="37" t="s">
        <v>334</v>
      </c>
      <c r="BG67" s="37" t="s">
        <v>1756</v>
      </c>
      <c r="BH67" s="37" t="str">
        <f aca="false">HYPERLINK("https%3A%2F%2Fwww.webofscience.com%2Fwos%2Fwoscc%2Ffull-record%2FWOS:000691011400042","View Full Record in Web of Science")</f>
        <v>View Full Record in Web of Science</v>
      </c>
      <c r="BI67" s="39"/>
      <c r="BJ67" s="39"/>
      <c r="BK67" s="39"/>
      <c r="BL67" s="39"/>
      <c r="BM67" s="39"/>
      <c r="BN67" s="41" t="b">
        <f aca="false">TRUE()</f>
        <v>1</v>
      </c>
      <c r="BO67" s="39"/>
      <c r="BP67" s="39"/>
      <c r="BQ67" s="39"/>
      <c r="BR67" s="39"/>
      <c r="BS67" s="39"/>
      <c r="BT67" s="39"/>
      <c r="BU67" s="39"/>
      <c r="BV67" s="39"/>
      <c r="BW67" s="39"/>
      <c r="BX67" s="39"/>
      <c r="BY67" s="39"/>
      <c r="BZ67" s="39"/>
      <c r="CA67" s="39"/>
      <c r="CB67" s="39"/>
      <c r="CC67" s="39"/>
      <c r="CD67" s="39"/>
      <c r="CE67" s="39"/>
      <c r="CF67" s="39"/>
      <c r="CG67" s="39"/>
      <c r="CH67" s="39"/>
      <c r="CI67" s="39"/>
      <c r="CJ67" s="39"/>
      <c r="CK67" s="39"/>
      <c r="CL67" s="39"/>
      <c r="CM67" s="39"/>
      <c r="CN67" s="39"/>
      <c r="CO67" s="39"/>
      <c r="CP67" s="39"/>
      <c r="CQ67" s="39"/>
      <c r="CR67" s="39"/>
      <c r="CS67" s="39"/>
      <c r="CT67" s="39"/>
      <c r="CU67" s="39"/>
      <c r="CV67" s="39"/>
      <c r="CW67" s="39"/>
      <c r="CX67" s="39"/>
      <c r="CY67" s="39"/>
      <c r="CZ67" s="39"/>
      <c r="DA67" s="39"/>
      <c r="DB67" s="39"/>
      <c r="DC67" s="39"/>
      <c r="DD67" s="39"/>
      <c r="DE67" s="39"/>
      <c r="DF67" s="39"/>
      <c r="DG67" s="39"/>
      <c r="DH67" s="39"/>
      <c r="DI67" s="39"/>
      <c r="DJ67" s="39"/>
      <c r="DK67" s="39"/>
      <c r="DL67" s="39"/>
      <c r="DM67" s="39"/>
      <c r="DN67" s="39"/>
      <c r="DO67" s="39"/>
      <c r="DP67" s="39"/>
      <c r="DQ67" s="39"/>
      <c r="DR67" s="39"/>
      <c r="DS67" s="39"/>
      <c r="DT67" s="39"/>
      <c r="DU67" s="39"/>
      <c r="DV67" s="39"/>
      <c r="DW67" s="39"/>
      <c r="DX67" s="39"/>
      <c r="DY67" s="39"/>
      <c r="DZ67" s="39"/>
      <c r="EA67" s="39"/>
      <c r="EB67" s="39"/>
      <c r="EC67" s="39"/>
      <c r="ED67" s="39"/>
      <c r="EE67" s="39"/>
      <c r="EF67" s="39"/>
      <c r="EG67" s="39"/>
      <c r="EH67" s="39"/>
      <c r="EI67" s="39"/>
      <c r="EJ67" s="39"/>
      <c r="EK67" s="39"/>
      <c r="EL67" s="39"/>
      <c r="EM67" s="39"/>
      <c r="EN67" s="39"/>
      <c r="EO67" s="39"/>
      <c r="EP67" s="39"/>
      <c r="EQ67" s="39"/>
      <c r="ER67" s="39"/>
      <c r="ES67" s="39"/>
      <c r="ET67" s="39"/>
      <c r="EU67" s="39"/>
      <c r="EV67" s="39"/>
      <c r="EW67" s="39"/>
      <c r="EX67" s="39"/>
      <c r="EY67" s="39"/>
      <c r="EZ67" s="39"/>
      <c r="FA67" s="39"/>
      <c r="FB67" s="39"/>
      <c r="FC67" s="39"/>
      <c r="FD67" s="39"/>
      <c r="FE67" s="39"/>
      <c r="FF67" s="39"/>
      <c r="FG67" s="39"/>
      <c r="FH67" s="39"/>
      <c r="FI67" s="39"/>
      <c r="FJ67" s="39"/>
      <c r="FK67" s="39"/>
      <c r="FL67" s="39"/>
      <c r="FM67" s="39"/>
      <c r="FN67" s="39"/>
      <c r="FO67" s="39"/>
      <c r="FP67" s="39"/>
      <c r="FQ67" s="39"/>
      <c r="FR67" s="39"/>
      <c r="FS67" s="39"/>
      <c r="FT67" s="39"/>
      <c r="FU67" s="39"/>
      <c r="FV67" s="39"/>
      <c r="FW67" s="39"/>
      <c r="FX67" s="39"/>
      <c r="FY67" s="39"/>
      <c r="FZ67" s="39"/>
      <c r="GA67" s="39"/>
      <c r="GB67" s="39"/>
      <c r="GC67" s="39"/>
      <c r="GD67" s="39"/>
      <c r="GE67" s="39"/>
      <c r="GF67" s="39"/>
      <c r="GG67" s="39"/>
      <c r="GH67" s="39"/>
      <c r="GI67" s="39"/>
      <c r="GJ67" s="39"/>
      <c r="GK67" s="39"/>
      <c r="GL67" s="39"/>
      <c r="GM67" s="39"/>
      <c r="GN67" s="39"/>
      <c r="GO67" s="39"/>
      <c r="GP67" s="39"/>
      <c r="GQ67" s="39"/>
      <c r="GR67" s="39"/>
      <c r="GS67" s="39"/>
      <c r="GT67" s="39"/>
      <c r="GU67" s="39"/>
      <c r="GV67" s="39"/>
      <c r="GW67" s="39"/>
      <c r="GX67" s="39"/>
      <c r="GY67" s="39"/>
      <c r="GZ67" s="39"/>
      <c r="HA67" s="39"/>
      <c r="HB67" s="39"/>
      <c r="HC67" s="39"/>
      <c r="HD67" s="39"/>
      <c r="HE67" s="39"/>
      <c r="HF67" s="39"/>
      <c r="HG67" s="39"/>
      <c r="HH67" s="39"/>
      <c r="HI67" s="39"/>
      <c r="HJ67" s="39"/>
      <c r="HK67" s="39"/>
      <c r="HL67" s="39"/>
      <c r="HM67" s="39"/>
      <c r="HN67" s="39"/>
      <c r="HO67" s="39"/>
      <c r="HP67" s="39"/>
      <c r="HQ67" s="39"/>
      <c r="HR67" s="39"/>
      <c r="HS67" s="39"/>
      <c r="HT67" s="39"/>
      <c r="HU67" s="39"/>
      <c r="HV67" s="39"/>
      <c r="HW67" s="39"/>
      <c r="HX67" s="39"/>
      <c r="HY67" s="39"/>
      <c r="HZ67" s="39"/>
      <c r="IA67" s="39"/>
      <c r="IB67" s="39"/>
      <c r="IC67" s="39"/>
      <c r="ID67" s="39"/>
      <c r="IE67" s="39"/>
      <c r="IF67" s="39"/>
      <c r="IG67" s="41" t="b">
        <f aca="false">TRUE()</f>
        <v>1</v>
      </c>
      <c r="IH67" s="39"/>
      <c r="II67" s="39"/>
      <c r="IJ67" s="39"/>
      <c r="IK67" s="39"/>
      <c r="IL67" s="39"/>
      <c r="IM67" s="39"/>
      <c r="IN67" s="39"/>
      <c r="IO67" s="39"/>
      <c r="IP67" s="39"/>
      <c r="IQ67" s="39"/>
      <c r="IR67" s="39"/>
      <c r="IS67" s="39"/>
      <c r="IT67" s="39"/>
      <c r="IU67" s="39"/>
      <c r="IV67" s="39"/>
      <c r="IW67" s="39"/>
      <c r="IX67" s="39"/>
      <c r="IY67" s="39"/>
      <c r="IZ67" s="39"/>
      <c r="JA67" s="39"/>
      <c r="JB67" s="39"/>
      <c r="JC67" s="39"/>
      <c r="JD67" s="39"/>
      <c r="JE67" s="39"/>
      <c r="JF67" s="39"/>
      <c r="JG67" s="39"/>
      <c r="JH67" s="39"/>
      <c r="JI67" s="39"/>
      <c r="JJ67" s="39"/>
      <c r="JK67" s="39"/>
      <c r="JL67" s="39"/>
      <c r="JM67" s="39"/>
      <c r="JN67" s="39"/>
      <c r="JO67" s="39"/>
      <c r="JP67" s="39"/>
      <c r="JQ67" s="39"/>
      <c r="JR67" s="39"/>
      <c r="JS67" s="39"/>
      <c r="JT67" s="41" t="b">
        <f aca="false">TRUE()</f>
        <v>1</v>
      </c>
      <c r="JU67" s="39"/>
      <c r="JV67" s="39"/>
      <c r="JW67" s="39"/>
      <c r="JX67" s="39"/>
      <c r="JY67" s="39"/>
      <c r="JZ67" s="39"/>
      <c r="KA67" s="39"/>
      <c r="KB67" s="39"/>
      <c r="KC67" s="39"/>
      <c r="KD67" s="39"/>
      <c r="KE67" s="39"/>
      <c r="KF67" s="39"/>
      <c r="KG67" s="39"/>
      <c r="KH67" s="39"/>
      <c r="KI67" s="39"/>
      <c r="KJ67" s="39"/>
      <c r="KK67" s="39"/>
      <c r="KL67" s="39"/>
      <c r="KM67" s="39"/>
      <c r="KN67" s="39"/>
      <c r="KO67" s="39"/>
      <c r="KP67" s="39"/>
      <c r="KQ67" s="39"/>
      <c r="KR67" s="41" t="b">
        <f aca="false">TRUE()</f>
        <v>1</v>
      </c>
      <c r="KS67" s="39"/>
      <c r="KT67" s="41" t="b">
        <f aca="false">TRUE()</f>
        <v>1</v>
      </c>
      <c r="KU67" s="39"/>
    </row>
    <row r="68" customFormat="false" ht="14.4" hidden="false" customHeight="false" outlineLevel="0" collapsed="false">
      <c r="A68" s="37" t="s">
        <v>305</v>
      </c>
      <c r="B68" s="37" t="s">
        <v>1757</v>
      </c>
      <c r="C68" s="37"/>
      <c r="D68" s="37"/>
      <c r="E68" s="37"/>
      <c r="F68" s="37" t="s">
        <v>1758</v>
      </c>
      <c r="G68" s="37" t="s">
        <v>1759</v>
      </c>
      <c r="H68" s="37" t="s">
        <v>1760</v>
      </c>
      <c r="I68" s="37" t="s">
        <v>310</v>
      </c>
      <c r="J68" s="37" t="s">
        <v>311</v>
      </c>
      <c r="K68" s="37"/>
      <c r="L68" s="37"/>
      <c r="M68" s="37"/>
      <c r="N68" s="37"/>
      <c r="O68" s="37" t="s">
        <v>1761</v>
      </c>
      <c r="P68" s="37" t="s">
        <v>1762</v>
      </c>
      <c r="Q68" s="37" t="s">
        <v>1763</v>
      </c>
      <c r="R68" s="37" t="s">
        <v>1764</v>
      </c>
      <c r="S68" s="37" t="s">
        <v>1765</v>
      </c>
      <c r="T68" s="37" t="s">
        <v>1766</v>
      </c>
      <c r="U68" s="37" t="s">
        <v>1763</v>
      </c>
      <c r="V68" s="37" t="s">
        <v>1767</v>
      </c>
      <c r="W68" s="37" t="s">
        <v>1768</v>
      </c>
      <c r="X68" s="37"/>
      <c r="Y68" s="37"/>
      <c r="Z68" s="37"/>
      <c r="AA68" s="37" t="n">
        <v>57</v>
      </c>
      <c r="AB68" s="37" t="n">
        <v>5</v>
      </c>
      <c r="AC68" s="37" t="n">
        <v>5</v>
      </c>
      <c r="AD68" s="37" t="n">
        <v>2</v>
      </c>
      <c r="AE68" s="37" t="n">
        <v>6</v>
      </c>
      <c r="AF68" s="37" t="s">
        <v>1769</v>
      </c>
      <c r="AG68" s="37" t="s">
        <v>1770</v>
      </c>
      <c r="AH68" s="37" t="s">
        <v>1771</v>
      </c>
      <c r="AI68" s="37"/>
      <c r="AJ68" s="37" t="s">
        <v>1772</v>
      </c>
      <c r="AK68" s="37"/>
      <c r="AL68" s="37" t="s">
        <v>1773</v>
      </c>
      <c r="AM68" s="37" t="s">
        <v>1774</v>
      </c>
      <c r="AN68" s="37" t="s">
        <v>132</v>
      </c>
      <c r="AO68" s="37" t="n">
        <v>2023</v>
      </c>
      <c r="AP68" s="37" t="n">
        <v>9</v>
      </c>
      <c r="AQ68" s="37"/>
      <c r="AR68" s="37"/>
      <c r="AS68" s="37" t="n">
        <v>61</v>
      </c>
      <c r="AT68" s="37" t="n">
        <v>75</v>
      </c>
      <c r="AU68" s="37"/>
      <c r="AV68" s="37" t="s">
        <v>1775</v>
      </c>
      <c r="AW68" s="37" t="str">
        <f aca="false">HYPERLINK("http://dx.doi.org/10.1016/j.aiia.2023.08.003","http://dx.doi.org/10.1016/j.aiia.2023.08.003")</f>
        <v>http://dx.doi.org/10.1016/j.aiia.2023.08.003</v>
      </c>
      <c r="AX68" s="37"/>
      <c r="AY68" s="37" t="n">
        <v>15</v>
      </c>
      <c r="AZ68" s="37" t="s">
        <v>1776</v>
      </c>
      <c r="BA68" s="37" t="s">
        <v>331</v>
      </c>
      <c r="BB68" s="37" t="s">
        <v>412</v>
      </c>
      <c r="BC68" s="37" t="s">
        <v>1777</v>
      </c>
      <c r="BD68" s="37"/>
      <c r="BE68" s="37" t="s">
        <v>503</v>
      </c>
      <c r="BF68" s="37" t="s">
        <v>334</v>
      </c>
      <c r="BG68" s="37" t="s">
        <v>1778</v>
      </c>
      <c r="BH68" s="37" t="str">
        <f aca="false">HYPERLINK("https%3A%2F%2Fwww.webofscience.com%2Fwos%2Fwoscc%2Ffull-record%2FWOS:001072974100001","View Full Record in Web of Science")</f>
        <v>View Full Record in Web of Science</v>
      </c>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39"/>
      <c r="CV68" s="39"/>
      <c r="CW68" s="39"/>
      <c r="CX68" s="39"/>
      <c r="CY68" s="39"/>
      <c r="CZ68" s="39"/>
      <c r="DA68" s="39"/>
      <c r="DB68" s="39"/>
      <c r="DC68" s="39"/>
      <c r="DD68" s="39"/>
      <c r="DE68" s="39"/>
      <c r="DF68" s="39"/>
      <c r="DG68" s="39"/>
      <c r="DH68" s="39"/>
      <c r="DI68" s="39"/>
      <c r="DJ68" s="39"/>
      <c r="DK68" s="39"/>
      <c r="DL68" s="39"/>
      <c r="DM68" s="39"/>
      <c r="DN68" s="39"/>
      <c r="DO68" s="39"/>
      <c r="DP68" s="39"/>
      <c r="DQ68" s="39"/>
      <c r="DR68" s="39"/>
      <c r="DS68" s="39"/>
      <c r="DT68" s="39"/>
      <c r="DU68" s="39"/>
      <c r="DV68" s="39"/>
      <c r="DW68" s="39"/>
      <c r="DX68" s="39"/>
      <c r="DY68" s="39"/>
      <c r="DZ68" s="39"/>
      <c r="EA68" s="39"/>
      <c r="EB68" s="39"/>
      <c r="EC68" s="39"/>
      <c r="ED68" s="39"/>
      <c r="EE68" s="39"/>
      <c r="EF68" s="39"/>
      <c r="EG68" s="39"/>
      <c r="EH68" s="39"/>
      <c r="EI68" s="39"/>
      <c r="EJ68" s="39"/>
      <c r="EK68" s="39"/>
      <c r="EL68" s="39"/>
      <c r="EM68" s="39"/>
      <c r="EN68" s="39"/>
      <c r="EO68" s="39"/>
      <c r="EP68" s="39"/>
      <c r="EQ68" s="39"/>
      <c r="ER68" s="39"/>
      <c r="ES68" s="39"/>
      <c r="ET68" s="39"/>
      <c r="EU68" s="39"/>
      <c r="EV68" s="39"/>
      <c r="EW68" s="39"/>
      <c r="EX68" s="39"/>
      <c r="EY68" s="39"/>
      <c r="EZ68" s="39"/>
      <c r="FA68" s="39"/>
      <c r="FB68" s="39"/>
      <c r="FC68" s="39"/>
      <c r="FD68" s="39"/>
      <c r="FE68" s="39"/>
      <c r="FF68" s="39"/>
      <c r="FG68" s="39"/>
      <c r="FH68" s="39"/>
      <c r="FI68" s="39"/>
      <c r="FJ68" s="39"/>
      <c r="FK68" s="39"/>
      <c r="FL68" s="39"/>
      <c r="FM68" s="39"/>
      <c r="FN68" s="39"/>
      <c r="FO68" s="39"/>
      <c r="FP68" s="39"/>
      <c r="FQ68" s="39"/>
      <c r="FR68" s="39"/>
      <c r="FS68" s="39"/>
      <c r="FT68" s="39"/>
      <c r="FU68" s="39"/>
      <c r="FV68" s="39"/>
      <c r="FW68" s="39"/>
      <c r="FX68" s="39"/>
      <c r="FY68" s="39"/>
      <c r="FZ68" s="39"/>
      <c r="GA68" s="39"/>
      <c r="GB68" s="39"/>
      <c r="GC68" s="39"/>
      <c r="GD68" s="39"/>
      <c r="GE68" s="39"/>
      <c r="GF68" s="39"/>
      <c r="GG68" s="39"/>
      <c r="GH68" s="39"/>
      <c r="GI68" s="39"/>
      <c r="GJ68" s="39"/>
      <c r="GK68" s="39"/>
      <c r="GL68" s="39"/>
      <c r="GM68" s="39"/>
      <c r="GN68" s="39"/>
      <c r="GO68" s="39"/>
      <c r="GP68" s="39"/>
      <c r="GQ68" s="39"/>
      <c r="GR68" s="39"/>
      <c r="GS68" s="39"/>
      <c r="GT68" s="39"/>
      <c r="GU68" s="39"/>
      <c r="GV68" s="39"/>
      <c r="GW68" s="39"/>
      <c r="GX68" s="39"/>
      <c r="GY68" s="39"/>
      <c r="GZ68" s="39"/>
      <c r="HA68" s="39"/>
      <c r="HB68" s="39"/>
      <c r="HC68" s="39"/>
      <c r="HD68" s="39"/>
      <c r="HE68" s="39"/>
      <c r="HF68" s="39"/>
      <c r="HG68" s="39"/>
      <c r="HH68" s="39"/>
      <c r="HI68" s="39"/>
      <c r="HJ68" s="39"/>
      <c r="HK68" s="39"/>
      <c r="HL68" s="39"/>
      <c r="HM68" s="39"/>
      <c r="HN68" s="39"/>
      <c r="HO68" s="39"/>
      <c r="HP68" s="39"/>
      <c r="HQ68" s="39"/>
      <c r="HR68" s="39"/>
      <c r="HS68" s="39"/>
      <c r="HT68" s="39"/>
      <c r="HU68" s="39"/>
      <c r="HV68" s="39"/>
      <c r="HW68" s="39"/>
      <c r="HX68" s="39"/>
      <c r="HY68" s="39"/>
      <c r="HZ68" s="39"/>
      <c r="IA68" s="39"/>
      <c r="IB68" s="39"/>
      <c r="IC68" s="39"/>
      <c r="ID68" s="39"/>
      <c r="IE68" s="39"/>
      <c r="IF68" s="39"/>
      <c r="IG68" s="39"/>
      <c r="IH68" s="39"/>
      <c r="II68" s="39"/>
      <c r="IJ68" s="39"/>
      <c r="IK68" s="39"/>
      <c r="IL68" s="39"/>
      <c r="IM68" s="39"/>
      <c r="IN68" s="39"/>
      <c r="IO68" s="39"/>
      <c r="IP68" s="39"/>
      <c r="IQ68" s="39"/>
      <c r="IR68" s="39"/>
      <c r="IS68" s="39"/>
      <c r="IT68" s="39"/>
      <c r="IU68" s="39"/>
      <c r="IV68" s="39"/>
      <c r="IW68" s="39"/>
      <c r="IX68" s="39"/>
      <c r="IY68" s="39"/>
      <c r="IZ68" s="39"/>
      <c r="JA68" s="39"/>
      <c r="JB68" s="39"/>
      <c r="JC68" s="39"/>
      <c r="JD68" s="39"/>
      <c r="JE68" s="39"/>
      <c r="JF68" s="39"/>
      <c r="JG68" s="39"/>
      <c r="JH68" s="39"/>
      <c r="JI68" s="39"/>
      <c r="JJ68" s="39"/>
      <c r="JK68" s="39"/>
      <c r="JL68" s="39"/>
      <c r="JM68" s="39"/>
      <c r="JN68" s="39"/>
      <c r="JO68" s="39"/>
      <c r="JP68" s="39"/>
      <c r="JQ68" s="39"/>
      <c r="JR68" s="39"/>
      <c r="JS68" s="39"/>
      <c r="JT68" s="39"/>
      <c r="JU68" s="39"/>
      <c r="JV68" s="39"/>
      <c r="JW68" s="39"/>
      <c r="JX68" s="39"/>
      <c r="JY68" s="39"/>
      <c r="JZ68" s="39"/>
      <c r="KA68" s="39"/>
      <c r="KB68" s="39"/>
      <c r="KC68" s="39"/>
      <c r="KD68" s="39"/>
      <c r="KE68" s="39"/>
      <c r="KF68" s="39"/>
      <c r="KG68" s="39"/>
      <c r="KH68" s="39"/>
      <c r="KI68" s="39"/>
      <c r="KJ68" s="39"/>
      <c r="KK68" s="39"/>
      <c r="KL68" s="39"/>
      <c r="KM68" s="39"/>
      <c r="KN68" s="39"/>
      <c r="KO68" s="39"/>
      <c r="KP68" s="39"/>
      <c r="KQ68" s="39"/>
      <c r="KR68" s="39"/>
      <c r="KS68" s="39"/>
      <c r="KT68" s="39"/>
      <c r="KU68" s="39"/>
    </row>
    <row r="69" customFormat="false" ht="14.4" hidden="false" customHeight="false" outlineLevel="0" collapsed="false">
      <c r="A69" s="37" t="s">
        <v>305</v>
      </c>
      <c r="B69" s="37" t="s">
        <v>1779</v>
      </c>
      <c r="C69" s="37"/>
      <c r="D69" s="37"/>
      <c r="E69" s="37"/>
      <c r="F69" s="37" t="s">
        <v>1780</v>
      </c>
      <c r="G69" s="37" t="s">
        <v>1781</v>
      </c>
      <c r="H69" s="37" t="s">
        <v>733</v>
      </c>
      <c r="I69" s="37" t="s">
        <v>310</v>
      </c>
      <c r="J69" s="37" t="s">
        <v>311</v>
      </c>
      <c r="K69" s="37"/>
      <c r="L69" s="37"/>
      <c r="M69" s="37"/>
      <c r="N69" s="37"/>
      <c r="O69" s="37" t="s">
        <v>1782</v>
      </c>
      <c r="P69" s="37" t="s">
        <v>1783</v>
      </c>
      <c r="Q69" s="37" t="s">
        <v>1784</v>
      </c>
      <c r="R69" s="37" t="s">
        <v>1785</v>
      </c>
      <c r="S69" s="37" t="s">
        <v>1786</v>
      </c>
      <c r="T69" s="37" t="s">
        <v>1787</v>
      </c>
      <c r="U69" s="37" t="s">
        <v>1788</v>
      </c>
      <c r="V69" s="37" t="s">
        <v>1789</v>
      </c>
      <c r="W69" s="37" t="s">
        <v>1790</v>
      </c>
      <c r="X69" s="37"/>
      <c r="Y69" s="37"/>
      <c r="Z69" s="37"/>
      <c r="AA69" s="37" t="n">
        <v>83</v>
      </c>
      <c r="AB69" s="37" t="n">
        <v>10</v>
      </c>
      <c r="AC69" s="37" t="n">
        <v>10</v>
      </c>
      <c r="AD69" s="37" t="n">
        <v>3</v>
      </c>
      <c r="AE69" s="37" t="n">
        <v>14</v>
      </c>
      <c r="AF69" s="37" t="s">
        <v>353</v>
      </c>
      <c r="AG69" s="37" t="s">
        <v>354</v>
      </c>
      <c r="AH69" s="37" t="s">
        <v>355</v>
      </c>
      <c r="AI69" s="37" t="s">
        <v>745</v>
      </c>
      <c r="AJ69" s="37" t="s">
        <v>746</v>
      </c>
      <c r="AK69" s="37"/>
      <c r="AL69" s="37" t="s">
        <v>747</v>
      </c>
      <c r="AM69" s="37" t="s">
        <v>748</v>
      </c>
      <c r="AN69" s="37" t="s">
        <v>1791</v>
      </c>
      <c r="AO69" s="37" t="n">
        <v>2023</v>
      </c>
      <c r="AP69" s="37" t="n">
        <v>290</v>
      </c>
      <c r="AQ69" s="37"/>
      <c r="AR69" s="37"/>
      <c r="AS69" s="37"/>
      <c r="AT69" s="37"/>
      <c r="AU69" s="37" t="n">
        <v>108604</v>
      </c>
      <c r="AV69" s="37" t="s">
        <v>1792</v>
      </c>
      <c r="AW69" s="37" t="str">
        <f aca="false">HYPERLINK("http://dx.doi.org/10.1016/j.agwat.2023.108604","http://dx.doi.org/10.1016/j.agwat.2023.108604")</f>
        <v>http://dx.doi.org/10.1016/j.agwat.2023.108604</v>
      </c>
      <c r="AX69" s="37" t="s">
        <v>410</v>
      </c>
      <c r="AY69" s="37" t="n">
        <v>16</v>
      </c>
      <c r="AZ69" s="37" t="s">
        <v>438</v>
      </c>
      <c r="BA69" s="37" t="s">
        <v>331</v>
      </c>
      <c r="BB69" s="37" t="s">
        <v>439</v>
      </c>
      <c r="BC69" s="37" t="s">
        <v>1793</v>
      </c>
      <c r="BD69" s="37"/>
      <c r="BE69" s="37" t="s">
        <v>684</v>
      </c>
      <c r="BF69" s="37" t="s">
        <v>334</v>
      </c>
      <c r="BG69" s="37" t="s">
        <v>1794</v>
      </c>
      <c r="BH69" s="37" t="str">
        <f aca="false">HYPERLINK("https%3A%2F%2Fwww.webofscience.com%2Fwos%2Fwoscc%2Ffull-record%2FWOS:001125096400001","View Full Record in Web of Science")</f>
        <v>View Full Record in Web of Science</v>
      </c>
      <c r="BI69" s="39"/>
      <c r="BJ69" s="41" t="b">
        <f aca="false">TRUE()</f>
        <v>1</v>
      </c>
      <c r="BK69" s="39"/>
      <c r="BL69" s="39"/>
      <c r="BM69" s="39"/>
      <c r="BN69" s="39"/>
      <c r="BO69" s="39"/>
      <c r="BP69" s="39"/>
      <c r="BQ69" s="41" t="b">
        <f aca="false">TRUE()</f>
        <v>1</v>
      </c>
      <c r="BR69" s="39"/>
      <c r="BS69" s="39"/>
      <c r="BT69" s="39"/>
      <c r="BU69" s="39"/>
      <c r="BV69" s="39"/>
      <c r="BW69" s="39"/>
      <c r="BX69" s="39"/>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41" t="b">
        <f aca="false">TRUE()</f>
        <v>1</v>
      </c>
      <c r="CX69" s="39"/>
      <c r="CY69" s="39"/>
      <c r="CZ69" s="39"/>
      <c r="DA69" s="41" t="b">
        <f aca="false">TRUE()</f>
        <v>1</v>
      </c>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41" t="b">
        <f aca="false">TRUE()</f>
        <v>1</v>
      </c>
      <c r="EB69" s="39"/>
      <c r="EC69" s="39"/>
      <c r="ED69" s="39"/>
      <c r="EE69" s="39"/>
      <c r="EF69" s="39"/>
      <c r="EG69" s="39"/>
      <c r="EH69" s="39"/>
      <c r="EI69" s="39"/>
      <c r="EJ69" s="39"/>
      <c r="EK69" s="39"/>
      <c r="EL69" s="39"/>
      <c r="EM69" s="39"/>
      <c r="EN69" s="41" t="b">
        <f aca="false">TRUE()</f>
        <v>1</v>
      </c>
      <c r="EO69" s="39"/>
      <c r="EP69" s="39"/>
      <c r="EQ69" s="39"/>
      <c r="ER69" s="39"/>
      <c r="ES69" s="39"/>
      <c r="ET69" s="39"/>
      <c r="EU69" s="39"/>
      <c r="EV69" s="39"/>
      <c r="EW69" s="39"/>
      <c r="EX69" s="39"/>
      <c r="EY69" s="41" t="b">
        <f aca="false">TRUE()</f>
        <v>1</v>
      </c>
      <c r="EZ69" s="39"/>
      <c r="FA69" s="39"/>
      <c r="FB69" s="39"/>
      <c r="FC69" s="39"/>
      <c r="FD69" s="39"/>
      <c r="FE69" s="39"/>
      <c r="FF69" s="39"/>
      <c r="FG69" s="39"/>
      <c r="FH69" s="39"/>
      <c r="FI69" s="39"/>
      <c r="FJ69" s="39"/>
      <c r="FK69" s="39"/>
      <c r="FL69" s="39"/>
      <c r="FM69" s="39"/>
      <c r="FN69" s="39"/>
      <c r="FO69" s="39"/>
      <c r="FP69" s="39"/>
      <c r="FQ69" s="39"/>
      <c r="FR69" s="39"/>
      <c r="FS69" s="39"/>
      <c r="FT69" s="39"/>
      <c r="FU69" s="39"/>
      <c r="FV69" s="39"/>
      <c r="FW69" s="39"/>
      <c r="FX69" s="39"/>
      <c r="FY69" s="39"/>
      <c r="FZ69" s="39"/>
      <c r="GA69" s="39"/>
      <c r="GB69" s="39"/>
      <c r="GC69" s="39"/>
      <c r="GD69" s="39"/>
      <c r="GE69" s="39"/>
      <c r="GF69" s="39"/>
      <c r="GG69" s="39"/>
      <c r="GH69" s="39"/>
      <c r="GI69" s="39"/>
      <c r="GJ69" s="39"/>
      <c r="GK69" s="39"/>
      <c r="GL69" s="39"/>
      <c r="GM69" s="39"/>
      <c r="GN69" s="39"/>
      <c r="GO69" s="39"/>
      <c r="GP69" s="39"/>
      <c r="GQ69" s="39"/>
      <c r="GR69" s="39"/>
      <c r="GS69" s="39"/>
      <c r="GT69" s="39"/>
      <c r="GU69" s="39"/>
      <c r="GV69" s="39"/>
      <c r="GW69" s="39"/>
      <c r="GX69" s="39"/>
      <c r="GY69" s="39"/>
      <c r="GZ69" s="39"/>
      <c r="HA69" s="39"/>
      <c r="HB69" s="39"/>
      <c r="HC69" s="39"/>
      <c r="HD69" s="39"/>
      <c r="HE69" s="39"/>
      <c r="HF69" s="39"/>
      <c r="HG69" s="39"/>
      <c r="HH69" s="39"/>
      <c r="HI69" s="39"/>
      <c r="HJ69" s="39"/>
      <c r="HK69" s="41" t="b">
        <f aca="false">TRUE()</f>
        <v>1</v>
      </c>
      <c r="HL69" s="39"/>
      <c r="HM69" s="39"/>
      <c r="HN69" s="39"/>
      <c r="HO69" s="39"/>
      <c r="HP69" s="39"/>
      <c r="HQ69" s="39"/>
      <c r="HR69" s="39"/>
      <c r="HS69" s="39"/>
      <c r="HT69" s="39"/>
      <c r="HU69" s="39"/>
      <c r="HV69" s="39"/>
      <c r="HW69" s="39"/>
      <c r="HX69" s="39"/>
      <c r="HY69" s="39"/>
      <c r="HZ69" s="39"/>
      <c r="IA69" s="39"/>
      <c r="IB69" s="41" t="b">
        <f aca="false">TRUE()</f>
        <v>1</v>
      </c>
      <c r="IC69" s="39"/>
      <c r="ID69" s="39"/>
      <c r="IE69" s="39"/>
      <c r="IF69" s="39"/>
      <c r="IG69" s="39"/>
      <c r="IH69" s="39"/>
      <c r="II69" s="39"/>
      <c r="IJ69" s="39"/>
      <c r="IK69" s="39"/>
      <c r="IL69" s="39"/>
      <c r="IM69" s="39"/>
      <c r="IN69" s="39"/>
      <c r="IO69" s="39"/>
      <c r="IP69" s="39"/>
      <c r="IQ69" s="39"/>
      <c r="IR69" s="39"/>
      <c r="IS69" s="39"/>
      <c r="IT69" s="39"/>
      <c r="IU69" s="39"/>
      <c r="IV69" s="39"/>
      <c r="IW69" s="39"/>
      <c r="IX69" s="39"/>
      <c r="IY69" s="39"/>
      <c r="IZ69" s="39"/>
      <c r="JA69" s="39"/>
      <c r="JB69" s="39"/>
      <c r="JC69" s="39"/>
      <c r="JD69" s="39"/>
      <c r="JE69" s="39"/>
      <c r="JF69" s="39"/>
      <c r="JG69" s="39"/>
      <c r="JH69" s="39"/>
      <c r="JI69" s="39"/>
      <c r="JJ69" s="39"/>
      <c r="JK69" s="39"/>
      <c r="JL69" s="39"/>
      <c r="JM69" s="39"/>
      <c r="JN69" s="39"/>
      <c r="JO69" s="39"/>
      <c r="JP69" s="39"/>
      <c r="JQ69" s="39"/>
      <c r="JR69" s="39"/>
      <c r="JS69" s="39"/>
      <c r="JT69" s="41" t="b">
        <f aca="false">TRUE()</f>
        <v>1</v>
      </c>
      <c r="JU69" s="39"/>
      <c r="JV69" s="39"/>
      <c r="JW69" s="39"/>
      <c r="JX69" s="39"/>
      <c r="JY69" s="39"/>
      <c r="JZ69" s="39"/>
      <c r="KA69" s="39"/>
      <c r="KB69" s="39"/>
      <c r="KC69" s="39"/>
      <c r="KD69" s="39"/>
      <c r="KE69" s="39"/>
      <c r="KF69" s="39"/>
      <c r="KG69" s="39"/>
      <c r="KH69" s="39"/>
      <c r="KI69" s="39"/>
      <c r="KJ69" s="41" t="b">
        <f aca="false">TRUE()</f>
        <v>1</v>
      </c>
      <c r="KK69" s="39"/>
      <c r="KL69" s="39"/>
      <c r="KM69" s="39"/>
      <c r="KN69" s="39"/>
      <c r="KO69" s="41" t="b">
        <f aca="false">TRUE()</f>
        <v>1</v>
      </c>
      <c r="KP69" s="41" t="b">
        <f aca="false">TRUE()</f>
        <v>1</v>
      </c>
      <c r="KQ69" s="39"/>
      <c r="KR69" s="39"/>
      <c r="KS69" s="39"/>
      <c r="KT69" s="41" t="b">
        <f aca="false">TRUE()</f>
        <v>1</v>
      </c>
      <c r="KU69" s="39"/>
    </row>
    <row r="70" customFormat="false" ht="14.4" hidden="false" customHeight="false" outlineLevel="0" collapsed="false">
      <c r="A70" s="37" t="s">
        <v>305</v>
      </c>
      <c r="B70" s="37" t="s">
        <v>1795</v>
      </c>
      <c r="C70" s="37"/>
      <c r="D70" s="37"/>
      <c r="E70" s="37"/>
      <c r="F70" s="37" t="s">
        <v>1796</v>
      </c>
      <c r="G70" s="37" t="s">
        <v>1797</v>
      </c>
      <c r="H70" s="37" t="s">
        <v>340</v>
      </c>
      <c r="I70" s="37" t="s">
        <v>310</v>
      </c>
      <c r="J70" s="37" t="s">
        <v>311</v>
      </c>
      <c r="K70" s="37"/>
      <c r="L70" s="37"/>
      <c r="M70" s="37"/>
      <c r="N70" s="37"/>
      <c r="O70" s="37" t="s">
        <v>1798</v>
      </c>
      <c r="P70" s="37" t="s">
        <v>1799</v>
      </c>
      <c r="Q70" s="37" t="s">
        <v>1800</v>
      </c>
      <c r="R70" s="37" t="s">
        <v>1801</v>
      </c>
      <c r="S70" s="37" t="s">
        <v>1401</v>
      </c>
      <c r="T70" s="37" t="s">
        <v>1402</v>
      </c>
      <c r="U70" s="37" t="s">
        <v>1403</v>
      </c>
      <c r="V70" s="37" t="s">
        <v>1404</v>
      </c>
      <c r="W70" s="37" t="s">
        <v>1405</v>
      </c>
      <c r="X70" s="37" t="s">
        <v>1802</v>
      </c>
      <c r="Y70" s="37" t="s">
        <v>378</v>
      </c>
      <c r="Z70" s="37" t="s">
        <v>1803</v>
      </c>
      <c r="AA70" s="37" t="n">
        <v>69</v>
      </c>
      <c r="AB70" s="37" t="n">
        <v>72</v>
      </c>
      <c r="AC70" s="37" t="n">
        <v>77</v>
      </c>
      <c r="AD70" s="37" t="n">
        <v>28</v>
      </c>
      <c r="AE70" s="37" t="n">
        <v>229</v>
      </c>
      <c r="AF70" s="37" t="s">
        <v>353</v>
      </c>
      <c r="AG70" s="37" t="s">
        <v>354</v>
      </c>
      <c r="AH70" s="37" t="s">
        <v>355</v>
      </c>
      <c r="AI70" s="37" t="s">
        <v>356</v>
      </c>
      <c r="AJ70" s="37" t="s">
        <v>357</v>
      </c>
      <c r="AK70" s="37"/>
      <c r="AL70" s="37" t="s">
        <v>358</v>
      </c>
      <c r="AM70" s="37" t="s">
        <v>359</v>
      </c>
      <c r="AN70" s="37" t="s">
        <v>435</v>
      </c>
      <c r="AO70" s="37" t="n">
        <v>2021</v>
      </c>
      <c r="AP70" s="37" t="n">
        <v>601</v>
      </c>
      <c r="AQ70" s="37"/>
      <c r="AR70" s="37"/>
      <c r="AS70" s="37"/>
      <c r="AT70" s="37"/>
      <c r="AU70" s="37" t="n">
        <v>126592</v>
      </c>
      <c r="AV70" s="37" t="s">
        <v>1804</v>
      </c>
      <c r="AW70" s="37" t="str">
        <f aca="false">HYPERLINK("http://dx.doi.org/10.1016/j.jhydrol.2021.126592","http://dx.doi.org/10.1016/j.jhydrol.2021.126592")</f>
        <v>http://dx.doi.org/10.1016/j.jhydrol.2021.126592</v>
      </c>
      <c r="AX70" s="37" t="s">
        <v>1805</v>
      </c>
      <c r="AY70" s="37" t="n">
        <v>13</v>
      </c>
      <c r="AZ70" s="37" t="s">
        <v>362</v>
      </c>
      <c r="BA70" s="37" t="s">
        <v>331</v>
      </c>
      <c r="BB70" s="37" t="s">
        <v>363</v>
      </c>
      <c r="BC70" s="37" t="s">
        <v>1806</v>
      </c>
      <c r="BD70" s="37"/>
      <c r="BE70" s="37"/>
      <c r="BF70" s="37" t="s">
        <v>334</v>
      </c>
      <c r="BG70" s="37" t="s">
        <v>1807</v>
      </c>
      <c r="BH70" s="37" t="str">
        <f aca="false">HYPERLINK("https%3A%2F%2Fwww.webofscience.com%2Fwos%2Fwoscc%2Ffull-record%2FWOS:000695816300014","View Full Record in Web of Science")</f>
        <v>View Full Record in Web of Science</v>
      </c>
      <c r="BI70" s="41" t="b">
        <f aca="false">TRUE()</f>
        <v>1</v>
      </c>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c r="CV70" s="39"/>
      <c r="CW70" s="41" t="b">
        <f aca="false">TRUE()</f>
        <v>1</v>
      </c>
      <c r="CX70" s="39"/>
      <c r="CY70" s="39"/>
      <c r="CZ70" s="39"/>
      <c r="DA70" s="39"/>
      <c r="DB70" s="39"/>
      <c r="DC70" s="39"/>
      <c r="DD70" s="39"/>
      <c r="DE70" s="39"/>
      <c r="DF70" s="39"/>
      <c r="DG70" s="39"/>
      <c r="DH70" s="39"/>
      <c r="DI70" s="39"/>
      <c r="DJ70" s="39"/>
      <c r="DK70" s="39"/>
      <c r="DL70" s="39"/>
      <c r="DM70" s="39"/>
      <c r="DN70" s="39"/>
      <c r="DO70" s="39"/>
      <c r="DP70" s="39"/>
      <c r="DQ70" s="39"/>
      <c r="DR70" s="41" t="b">
        <f aca="false">TRUE()</f>
        <v>1</v>
      </c>
      <c r="DS70" s="39"/>
      <c r="DT70" s="39"/>
      <c r="DU70" s="39"/>
      <c r="DV70" s="39"/>
      <c r="DW70" s="39"/>
      <c r="DX70" s="39"/>
      <c r="DY70" s="39"/>
      <c r="DZ70" s="39"/>
      <c r="EA70" s="41" t="b">
        <f aca="false">TRUE()</f>
        <v>1</v>
      </c>
      <c r="EB70" s="39"/>
      <c r="EC70" s="39"/>
      <c r="ED70" s="39"/>
      <c r="EE70" s="39"/>
      <c r="EF70" s="39"/>
      <c r="EG70" s="39"/>
      <c r="EH70" s="39"/>
      <c r="EI70" s="39"/>
      <c r="EJ70" s="39"/>
      <c r="EK70" s="39"/>
      <c r="EL70" s="39"/>
      <c r="EM70" s="39"/>
      <c r="EN70" s="39"/>
      <c r="EO70" s="39"/>
      <c r="EP70" s="39"/>
      <c r="EQ70" s="39"/>
      <c r="ER70" s="39"/>
      <c r="ES70" s="39"/>
      <c r="ET70" s="39"/>
      <c r="EU70" s="39"/>
      <c r="EV70" s="39"/>
      <c r="EW70" s="39"/>
      <c r="EX70" s="39"/>
      <c r="EY70" s="39"/>
      <c r="EZ70" s="39"/>
      <c r="FA70" s="39"/>
      <c r="FB70" s="39"/>
      <c r="FC70" s="39"/>
      <c r="FD70" s="39"/>
      <c r="FE70" s="39"/>
      <c r="FF70" s="39"/>
      <c r="FG70" s="39"/>
      <c r="FH70" s="39"/>
      <c r="FI70" s="39"/>
      <c r="FJ70" s="39"/>
      <c r="FK70" s="39"/>
      <c r="FL70" s="39"/>
      <c r="FM70" s="39"/>
      <c r="FN70" s="39"/>
      <c r="FO70" s="39"/>
      <c r="FP70" s="39"/>
      <c r="FQ70" s="39"/>
      <c r="FR70" s="39"/>
      <c r="FS70" s="39"/>
      <c r="FT70" s="39"/>
      <c r="FU70" s="39"/>
      <c r="FV70" s="39"/>
      <c r="FW70" s="39"/>
      <c r="FX70" s="39"/>
      <c r="FY70" s="39"/>
      <c r="FZ70" s="39"/>
      <c r="GA70" s="39"/>
      <c r="GB70" s="39"/>
      <c r="GC70" s="39"/>
      <c r="GD70" s="39"/>
      <c r="GE70" s="39"/>
      <c r="GF70" s="39"/>
      <c r="GG70" s="39"/>
      <c r="GH70" s="39"/>
      <c r="GI70" s="39"/>
      <c r="GJ70" s="39"/>
      <c r="GK70" s="39"/>
      <c r="GL70" s="39"/>
      <c r="GM70" s="39"/>
      <c r="GN70" s="39"/>
      <c r="GO70" s="39"/>
      <c r="GP70" s="39"/>
      <c r="GQ70" s="39"/>
      <c r="GR70" s="39"/>
      <c r="GS70" s="39"/>
      <c r="GT70" s="39"/>
      <c r="GU70" s="39"/>
      <c r="GV70" s="39"/>
      <c r="GW70" s="39"/>
      <c r="GX70" s="41" t="b">
        <f aca="false">TRUE()</f>
        <v>1</v>
      </c>
      <c r="GY70" s="39"/>
      <c r="GZ70" s="39"/>
      <c r="HA70" s="39"/>
      <c r="HB70" s="39"/>
      <c r="HC70" s="39"/>
      <c r="HD70" s="39"/>
      <c r="HE70" s="39"/>
      <c r="HF70" s="39"/>
      <c r="HG70" s="39"/>
      <c r="HH70" s="39"/>
      <c r="HI70" s="39"/>
      <c r="HJ70" s="39"/>
      <c r="HK70" s="39"/>
      <c r="HL70" s="39"/>
      <c r="HM70" s="39"/>
      <c r="HN70" s="39"/>
      <c r="HO70" s="39"/>
      <c r="HP70" s="39"/>
      <c r="HQ70" s="39"/>
      <c r="HR70" s="39"/>
      <c r="HS70" s="39"/>
      <c r="HT70" s="39"/>
      <c r="HU70" s="39"/>
      <c r="HV70" s="39"/>
      <c r="HW70" s="39"/>
      <c r="HX70" s="39"/>
      <c r="HY70" s="39"/>
      <c r="HZ70" s="39"/>
      <c r="IA70" s="39"/>
      <c r="IB70" s="39"/>
      <c r="IC70" s="39"/>
      <c r="ID70" s="39"/>
      <c r="IE70" s="39"/>
      <c r="IF70" s="39"/>
      <c r="IG70" s="39"/>
      <c r="IH70" s="39"/>
      <c r="II70" s="39"/>
      <c r="IJ70" s="39"/>
      <c r="IK70" s="39"/>
      <c r="IL70" s="39"/>
      <c r="IM70" s="39"/>
      <c r="IN70" s="39"/>
      <c r="IO70" s="39"/>
      <c r="IP70" s="39"/>
      <c r="IQ70" s="39"/>
      <c r="IR70" s="39"/>
      <c r="IS70" s="39"/>
      <c r="IT70" s="39"/>
      <c r="IU70" s="39"/>
      <c r="IV70" s="39"/>
      <c r="IW70" s="39"/>
      <c r="IX70" s="39"/>
      <c r="IY70" s="39"/>
      <c r="IZ70" s="39"/>
      <c r="JA70" s="39"/>
      <c r="JB70" s="39"/>
      <c r="JC70" s="39"/>
      <c r="JD70" s="39"/>
      <c r="JE70" s="39"/>
      <c r="JF70" s="39"/>
      <c r="JG70" s="39"/>
      <c r="JH70" s="41" t="b">
        <f aca="false">TRUE()</f>
        <v>1</v>
      </c>
      <c r="JI70" s="39"/>
      <c r="JJ70" s="39"/>
      <c r="JK70" s="39"/>
      <c r="JL70" s="39"/>
      <c r="JM70" s="39"/>
      <c r="JN70" s="39"/>
      <c r="JO70" s="39"/>
      <c r="JP70" s="39"/>
      <c r="JQ70" s="39"/>
      <c r="JR70" s="39"/>
      <c r="JS70" s="39"/>
      <c r="JT70" s="41" t="b">
        <f aca="false">TRUE()</f>
        <v>1</v>
      </c>
      <c r="JU70" s="39"/>
      <c r="JV70" s="39"/>
      <c r="JW70" s="39"/>
      <c r="JX70" s="39"/>
      <c r="JY70" s="39"/>
      <c r="JZ70" s="39"/>
      <c r="KA70" s="39"/>
      <c r="KB70" s="39"/>
      <c r="KC70" s="39"/>
      <c r="KD70" s="39"/>
      <c r="KE70" s="41" t="b">
        <f aca="false">TRUE()</f>
        <v>1</v>
      </c>
      <c r="KF70" s="39"/>
      <c r="KG70" s="39"/>
      <c r="KH70" s="39"/>
      <c r="KI70" s="39"/>
      <c r="KJ70" s="39"/>
      <c r="KK70" s="39"/>
      <c r="KL70" s="39"/>
      <c r="KM70" s="39"/>
      <c r="KN70" s="39"/>
      <c r="KO70" s="39"/>
      <c r="KP70" s="41" t="b">
        <f aca="false">TRUE()</f>
        <v>1</v>
      </c>
      <c r="KQ70" s="39"/>
      <c r="KR70" s="39"/>
      <c r="KS70" s="39"/>
      <c r="KT70" s="39"/>
      <c r="KU70" s="41" t="b">
        <f aca="false">TRUE()</f>
        <v>1</v>
      </c>
    </row>
    <row r="71" customFormat="false" ht="17.15" hidden="false" customHeight="false" outlineLevel="0" collapsed="false">
      <c r="A71" s="37" t="s">
        <v>305</v>
      </c>
      <c r="B71" s="37" t="s">
        <v>1808</v>
      </c>
      <c r="C71" s="37"/>
      <c r="D71" s="37"/>
      <c r="E71" s="37"/>
      <c r="F71" s="37" t="s">
        <v>1809</v>
      </c>
      <c r="G71" s="37" t="s">
        <v>1810</v>
      </c>
      <c r="H71" s="37" t="s">
        <v>340</v>
      </c>
      <c r="I71" s="37" t="s">
        <v>310</v>
      </c>
      <c r="J71" s="37" t="s">
        <v>311</v>
      </c>
      <c r="K71" s="37"/>
      <c r="L71" s="37"/>
      <c r="M71" s="37"/>
      <c r="N71" s="37"/>
      <c r="O71" s="37" t="s">
        <v>1811</v>
      </c>
      <c r="P71" s="37" t="s">
        <v>1812</v>
      </c>
      <c r="Q71" s="37" t="s">
        <v>1813</v>
      </c>
      <c r="R71" s="37" t="s">
        <v>1814</v>
      </c>
      <c r="S71" s="37" t="s">
        <v>1815</v>
      </c>
      <c r="T71" s="37" t="s">
        <v>1439</v>
      </c>
      <c r="U71" s="37" t="s">
        <v>1816</v>
      </c>
      <c r="V71" s="51" t="s">
        <v>1817</v>
      </c>
      <c r="W71" s="37" t="s">
        <v>1818</v>
      </c>
      <c r="X71" s="37" t="s">
        <v>1819</v>
      </c>
      <c r="Y71" s="37" t="s">
        <v>1820</v>
      </c>
      <c r="Z71" s="37" t="s">
        <v>1821</v>
      </c>
      <c r="AA71" s="37" t="n">
        <v>145</v>
      </c>
      <c r="AB71" s="37" t="n">
        <v>3</v>
      </c>
      <c r="AC71" s="37" t="n">
        <v>3</v>
      </c>
      <c r="AD71" s="37" t="n">
        <v>26</v>
      </c>
      <c r="AE71" s="37" t="n">
        <v>31</v>
      </c>
      <c r="AF71" s="37" t="s">
        <v>353</v>
      </c>
      <c r="AG71" s="37" t="s">
        <v>354</v>
      </c>
      <c r="AH71" s="37" t="s">
        <v>355</v>
      </c>
      <c r="AI71" s="37" t="s">
        <v>356</v>
      </c>
      <c r="AJ71" s="37" t="s">
        <v>357</v>
      </c>
      <c r="AK71" s="37"/>
      <c r="AL71" s="37" t="s">
        <v>358</v>
      </c>
      <c r="AM71" s="37" t="s">
        <v>359</v>
      </c>
      <c r="AN71" s="37" t="s">
        <v>132</v>
      </c>
      <c r="AO71" s="37" t="n">
        <v>2024</v>
      </c>
      <c r="AP71" s="37" t="n">
        <v>641</v>
      </c>
      <c r="AQ71" s="37"/>
      <c r="AR71" s="37"/>
      <c r="AS71" s="37"/>
      <c r="AT71" s="37"/>
      <c r="AU71" s="37" t="n">
        <v>131755</v>
      </c>
      <c r="AV71" s="37" t="s">
        <v>1822</v>
      </c>
      <c r="AW71" s="37" t="str">
        <f aca="false">HYPERLINK("http://dx.doi.org/10.1016/j.jhydrol.2024.131755","http://dx.doi.org/10.1016/j.jhydrol.2024.131755")</f>
        <v>http://dx.doi.org/10.1016/j.jhydrol.2024.131755</v>
      </c>
      <c r="AX71" s="37" t="s">
        <v>1447</v>
      </c>
      <c r="AY71" s="37" t="n">
        <v>22</v>
      </c>
      <c r="AZ71" s="37" t="s">
        <v>362</v>
      </c>
      <c r="BA71" s="37" t="s">
        <v>331</v>
      </c>
      <c r="BB71" s="37" t="s">
        <v>363</v>
      </c>
      <c r="BC71" s="37" t="s">
        <v>1823</v>
      </c>
      <c r="BD71" s="37"/>
      <c r="BE71" s="37"/>
      <c r="BF71" s="37" t="s">
        <v>334</v>
      </c>
      <c r="BG71" s="37" t="s">
        <v>1824</v>
      </c>
      <c r="BH71" s="37" t="str">
        <f aca="false">HYPERLINK("https%3A%2F%2Fwww.webofscience.com%2Fwos%2Fwoscc%2Ffull-record%2FWOS:001292580100001","View Full Record in Web of Science")</f>
        <v>View Full Record in Web of Science</v>
      </c>
      <c r="BI71" s="39"/>
      <c r="BJ71" s="39"/>
      <c r="BK71" s="39"/>
      <c r="BL71" s="39"/>
      <c r="BM71" s="39"/>
      <c r="BN71" s="39"/>
      <c r="BO71" s="39"/>
      <c r="BP71" s="39"/>
      <c r="BQ71" s="39"/>
      <c r="BR71" s="39"/>
      <c r="BS71" s="39"/>
      <c r="BT71" s="39"/>
      <c r="BU71" s="39"/>
      <c r="BV71" s="39"/>
      <c r="BW71" s="39"/>
      <c r="BX71" s="39"/>
      <c r="BY71" s="41" t="b">
        <f aca="false">TRUE()</f>
        <v>1</v>
      </c>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41" t="b">
        <f aca="false">TRUE()</f>
        <v>1</v>
      </c>
      <c r="CX71" s="39"/>
      <c r="CY71" s="39"/>
      <c r="CZ71" s="41" t="b">
        <f aca="false">TRUE()</f>
        <v>1</v>
      </c>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41" t="b">
        <f aca="false">TRUE()</f>
        <v>1</v>
      </c>
      <c r="EB71" s="39"/>
      <c r="EC71" s="39"/>
      <c r="ED71" s="39"/>
      <c r="EE71" s="39"/>
      <c r="EF71" s="39"/>
      <c r="EG71" s="39"/>
      <c r="EH71" s="39"/>
      <c r="EI71" s="39"/>
      <c r="EJ71" s="39"/>
      <c r="EK71" s="39"/>
      <c r="EL71" s="39"/>
      <c r="EM71" s="39"/>
      <c r="EN71" s="39"/>
      <c r="EO71" s="39"/>
      <c r="EP71" s="39"/>
      <c r="EQ71" s="41" t="b">
        <f aca="false">TRUE()</f>
        <v>1</v>
      </c>
      <c r="ER71" s="39"/>
      <c r="ES71" s="39"/>
      <c r="ET71" s="39"/>
      <c r="EU71" s="39"/>
      <c r="EV71" s="39"/>
      <c r="EW71" s="39"/>
      <c r="EX71" s="39"/>
      <c r="EY71" s="41" t="b">
        <f aca="false">TRUE()</f>
        <v>1</v>
      </c>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41" t="b">
        <f aca="false">TRUE()</f>
        <v>1</v>
      </c>
      <c r="GD71" s="39"/>
      <c r="GE71" s="39"/>
      <c r="GF71" s="39"/>
      <c r="GG71" s="39"/>
      <c r="GH71" s="39"/>
      <c r="GI71" s="39"/>
      <c r="GJ71" s="39"/>
      <c r="GK71" s="39"/>
      <c r="GL71" s="39"/>
      <c r="GM71" s="39"/>
      <c r="GN71" s="39"/>
      <c r="GO71" s="39"/>
      <c r="GP71" s="39"/>
      <c r="GQ71" s="39"/>
      <c r="GR71" s="39"/>
      <c r="GS71" s="39"/>
      <c r="GT71" s="39"/>
      <c r="GU71" s="39"/>
      <c r="GV71" s="39"/>
      <c r="GW71" s="39"/>
      <c r="GX71" s="41" t="b">
        <f aca="false">TRUE()</f>
        <v>1</v>
      </c>
      <c r="GY71" s="39"/>
      <c r="GZ71" s="39"/>
      <c r="HA71" s="39"/>
      <c r="HB71" s="39"/>
      <c r="HC71" s="39"/>
      <c r="HD71" s="39"/>
      <c r="HE71" s="39"/>
      <c r="HF71" s="39"/>
      <c r="HG71" s="39"/>
      <c r="HH71" s="39"/>
      <c r="HI71" s="39"/>
      <c r="HJ71" s="39"/>
      <c r="HK71" s="41" t="b">
        <f aca="false">TRUE()</f>
        <v>1</v>
      </c>
      <c r="HL71" s="39"/>
      <c r="HM71" s="39"/>
      <c r="HN71" s="39"/>
      <c r="HO71" s="39"/>
      <c r="HP71" s="39"/>
      <c r="HQ71" s="39"/>
      <c r="HR71" s="39"/>
      <c r="HS71" s="39"/>
      <c r="HT71" s="39"/>
      <c r="HU71" s="39"/>
      <c r="HV71" s="39"/>
      <c r="HW71" s="39"/>
      <c r="HX71" s="39"/>
      <c r="HY71" s="39"/>
      <c r="HZ71" s="39"/>
      <c r="IA71" s="39"/>
      <c r="IB71" s="39"/>
      <c r="IC71" s="39"/>
      <c r="ID71" s="39"/>
      <c r="IE71" s="39"/>
      <c r="IF71" s="39"/>
      <c r="IG71" s="39"/>
      <c r="IH71" s="39"/>
      <c r="II71" s="39"/>
      <c r="IJ71" s="39"/>
      <c r="IK71" s="39"/>
      <c r="IL71" s="39"/>
      <c r="IM71" s="39"/>
      <c r="IN71" s="39"/>
      <c r="IO71" s="39"/>
      <c r="IP71" s="39"/>
      <c r="IQ71" s="39"/>
      <c r="IR71" s="39"/>
      <c r="IS71" s="39"/>
      <c r="IT71" s="39"/>
      <c r="IU71" s="39"/>
      <c r="IV71" s="39"/>
      <c r="IW71" s="39"/>
      <c r="IX71" s="39"/>
      <c r="IY71" s="39"/>
      <c r="IZ71" s="39"/>
      <c r="JA71" s="39"/>
      <c r="JB71" s="39"/>
      <c r="JC71" s="39"/>
      <c r="JD71" s="39"/>
      <c r="JE71" s="39"/>
      <c r="JF71" s="39"/>
      <c r="JG71" s="39"/>
      <c r="JH71" s="41" t="b">
        <f aca="false">TRUE()</f>
        <v>1</v>
      </c>
      <c r="JI71" s="39"/>
      <c r="JJ71" s="39"/>
      <c r="JK71" s="39"/>
      <c r="JL71" s="39"/>
      <c r="JM71" s="39"/>
      <c r="JN71" s="39"/>
      <c r="JO71" s="39"/>
      <c r="JP71" s="39"/>
      <c r="JQ71" s="39"/>
      <c r="JR71" s="39"/>
      <c r="JS71" s="39"/>
      <c r="JT71" s="41" t="b">
        <f aca="false">TRUE()</f>
        <v>1</v>
      </c>
      <c r="JU71" s="41" t="b">
        <f aca="false">TRUE()</f>
        <v>1</v>
      </c>
      <c r="JV71" s="39"/>
      <c r="JW71" s="39"/>
      <c r="JX71" s="39"/>
      <c r="JY71" s="39"/>
      <c r="JZ71" s="39"/>
      <c r="KA71" s="39"/>
      <c r="KB71" s="39"/>
      <c r="KC71" s="39"/>
      <c r="KD71" s="39"/>
      <c r="KE71" s="39"/>
      <c r="KF71" s="39"/>
      <c r="KG71" s="39"/>
      <c r="KH71" s="39"/>
      <c r="KI71" s="39"/>
      <c r="KJ71" s="39"/>
      <c r="KK71" s="39"/>
      <c r="KL71" s="39"/>
      <c r="KM71" s="39"/>
      <c r="KN71" s="39"/>
      <c r="KO71" s="39"/>
      <c r="KP71" s="41" t="b">
        <f aca="false">TRUE()</f>
        <v>1</v>
      </c>
      <c r="KQ71" s="39"/>
      <c r="KR71" s="39"/>
      <c r="KS71" s="39"/>
      <c r="KT71" s="39"/>
      <c r="KU71" s="41" t="b">
        <f aca="false">TRUE()</f>
        <v>1</v>
      </c>
    </row>
    <row r="72" customFormat="false" ht="14.4" hidden="false" customHeight="false" outlineLevel="0" collapsed="false">
      <c r="A72" s="45" t="s">
        <v>505</v>
      </c>
      <c r="B72" s="45" t="s">
        <v>1825</v>
      </c>
      <c r="C72" s="45"/>
      <c r="D72" s="45" t="s">
        <v>1826</v>
      </c>
      <c r="E72" s="45"/>
      <c r="F72" s="45" t="s">
        <v>1827</v>
      </c>
      <c r="G72" s="45" t="s">
        <v>1828</v>
      </c>
      <c r="H72" s="45" t="s">
        <v>1829</v>
      </c>
      <c r="I72" s="45" t="s">
        <v>310</v>
      </c>
      <c r="J72" s="45" t="s">
        <v>511</v>
      </c>
      <c r="K72" s="45" t="s">
        <v>1830</v>
      </c>
      <c r="L72" s="45" t="s">
        <v>1831</v>
      </c>
      <c r="M72" s="45" t="s">
        <v>1832</v>
      </c>
      <c r="N72" s="45" t="s">
        <v>1833</v>
      </c>
      <c r="O72" s="45" t="s">
        <v>1834</v>
      </c>
      <c r="P72" s="45"/>
      <c r="Q72" s="45" t="s">
        <v>1835</v>
      </c>
      <c r="R72" s="45" t="s">
        <v>1836</v>
      </c>
      <c r="S72" s="45" t="s">
        <v>1837</v>
      </c>
      <c r="T72" s="45" t="s">
        <v>1838</v>
      </c>
      <c r="U72" s="45" t="s">
        <v>1839</v>
      </c>
      <c r="V72" s="45"/>
      <c r="W72" s="45"/>
      <c r="X72" s="45"/>
      <c r="Y72" s="45"/>
      <c r="Z72" s="45"/>
      <c r="AA72" s="45" t="n">
        <v>36</v>
      </c>
      <c r="AB72" s="45" t="n">
        <v>1</v>
      </c>
      <c r="AC72" s="45" t="n">
        <v>1</v>
      </c>
      <c r="AD72" s="45" t="n">
        <v>1</v>
      </c>
      <c r="AE72" s="45" t="n">
        <v>4</v>
      </c>
      <c r="AF72" s="45" t="s">
        <v>1159</v>
      </c>
      <c r="AG72" s="45" t="s">
        <v>525</v>
      </c>
      <c r="AH72" s="45" t="s">
        <v>1174</v>
      </c>
      <c r="AI72" s="45" t="s">
        <v>1840</v>
      </c>
      <c r="AJ72" s="45"/>
      <c r="AK72" s="45" t="s">
        <v>1841</v>
      </c>
      <c r="AL72" s="45" t="s">
        <v>1842</v>
      </c>
      <c r="AM72" s="45"/>
      <c r="AN72" s="45"/>
      <c r="AO72" s="45" t="n">
        <v>2022</v>
      </c>
      <c r="AP72" s="45"/>
      <c r="AQ72" s="45"/>
      <c r="AR72" s="45"/>
      <c r="AS72" s="45" t="n">
        <v>214</v>
      </c>
      <c r="AT72" s="45" t="n">
        <v>219</v>
      </c>
      <c r="AU72" s="45"/>
      <c r="AV72" s="45" t="s">
        <v>1843</v>
      </c>
      <c r="AW72" s="45" t="str">
        <f aca="false">HYPERLINK("http://dx.doi.org/10.1109/ICICS55353.2022.9811182","http://dx.doi.org/10.1109/ICICS55353.2022.9811182")</f>
        <v>http://dx.doi.org/10.1109/ICICS55353.2022.9811182</v>
      </c>
      <c r="AX72" s="45"/>
      <c r="AY72" s="45" t="n">
        <v>6</v>
      </c>
      <c r="AZ72" s="45" t="s">
        <v>1844</v>
      </c>
      <c r="BA72" s="45" t="s">
        <v>530</v>
      </c>
      <c r="BB72" s="45" t="s">
        <v>1009</v>
      </c>
      <c r="BC72" s="45" t="s">
        <v>1845</v>
      </c>
      <c r="BD72" s="45"/>
      <c r="BE72" s="45"/>
      <c r="BF72" s="45" t="s">
        <v>334</v>
      </c>
      <c r="BG72" s="45" t="s">
        <v>1846</v>
      </c>
      <c r="BH72" s="45" t="str">
        <f aca="false">HYPERLINK("https%3A%2F%2Fwww.webofscience.com%2Fwos%2Fwoscc%2Ffull-record%2FWOS:000937676000040","View Full Record in Web of Science")</f>
        <v>View Full Record in Web of Science</v>
      </c>
      <c r="BI72" s="47"/>
      <c r="BJ72" s="47"/>
      <c r="BK72" s="47"/>
      <c r="BL72" s="47"/>
      <c r="BM72" s="47"/>
      <c r="BN72" s="52" t="b">
        <f aca="false">TRUE()</f>
        <v>1</v>
      </c>
      <c r="BO72" s="52" t="b">
        <f aca="false">TRUE()</f>
        <v>1</v>
      </c>
      <c r="BP72" s="47"/>
      <c r="BQ72" s="47"/>
      <c r="BR72" s="52" t="b">
        <f aca="false">TRUE()</f>
        <v>1</v>
      </c>
      <c r="BS72" s="47"/>
      <c r="BT72" s="47"/>
      <c r="BU72" s="47"/>
      <c r="BV72" s="47"/>
      <c r="BW72" s="47"/>
      <c r="BX72" s="47"/>
      <c r="BY72" s="52" t="b">
        <f aca="false">TRUE()</f>
        <v>1</v>
      </c>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52" t="b">
        <f aca="false">TRUE()</f>
        <v>1</v>
      </c>
      <c r="EB72" s="47"/>
      <c r="EC72" s="47"/>
      <c r="ED72" s="47"/>
      <c r="EE72" s="47"/>
      <c r="EF72" s="47"/>
      <c r="EG72" s="47"/>
      <c r="EH72" s="47"/>
      <c r="EI72" s="52" t="b">
        <f aca="false">TRUE()</f>
        <v>1</v>
      </c>
      <c r="EJ72" s="47"/>
      <c r="EK72" s="47"/>
      <c r="EL72" s="47"/>
      <c r="EM72" s="47"/>
      <c r="EN72" s="47"/>
      <c r="EO72" s="47"/>
      <c r="EP72" s="47"/>
      <c r="EQ72" s="47"/>
      <c r="ER72" s="47"/>
      <c r="ES72" s="47"/>
      <c r="ET72" s="47"/>
      <c r="EU72" s="47"/>
      <c r="EV72" s="47"/>
      <c r="EW72" s="47"/>
      <c r="EX72" s="52" t="b">
        <f aca="false">TRUE()</f>
        <v>1</v>
      </c>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7"/>
      <c r="GR72" s="47"/>
      <c r="GS72" s="47"/>
      <c r="GT72" s="47"/>
      <c r="GU72" s="47"/>
      <c r="GV72" s="47"/>
      <c r="GW72" s="47"/>
      <c r="GX72" s="47"/>
      <c r="GY72" s="47"/>
      <c r="GZ72" s="47"/>
      <c r="HA72" s="47"/>
      <c r="HB72" s="47"/>
      <c r="HC72" s="47"/>
      <c r="HD72" s="47"/>
      <c r="HE72" s="47"/>
      <c r="HF72" s="47"/>
      <c r="HG72" s="47"/>
      <c r="HH72" s="47"/>
      <c r="HI72" s="47"/>
      <c r="HJ72" s="47"/>
      <c r="HK72" s="47"/>
      <c r="HL72" s="47"/>
      <c r="HM72" s="47"/>
      <c r="HN72" s="47"/>
      <c r="HO72" s="47"/>
      <c r="HP72" s="47"/>
      <c r="HQ72" s="47"/>
      <c r="HR72" s="47"/>
      <c r="HS72" s="47"/>
      <c r="HT72" s="47"/>
      <c r="HU72" s="47"/>
      <c r="HV72" s="47"/>
      <c r="HW72" s="47"/>
      <c r="HX72" s="47"/>
      <c r="HY72" s="47"/>
      <c r="HZ72" s="47"/>
      <c r="IA72" s="47"/>
      <c r="IB72" s="47"/>
      <c r="IC72" s="47"/>
      <c r="ID72" s="47"/>
      <c r="IE72" s="47"/>
      <c r="IF72" s="47"/>
      <c r="IG72" s="47"/>
      <c r="IH72" s="47"/>
      <c r="II72" s="47"/>
      <c r="IJ72" s="47"/>
      <c r="IK72" s="47"/>
      <c r="IL72" s="47"/>
      <c r="IM72" s="47"/>
      <c r="IN72" s="47"/>
      <c r="IO72" s="47"/>
      <c r="IP72" s="47"/>
      <c r="IQ72" s="47"/>
      <c r="IR72" s="47"/>
      <c r="IS72" s="47"/>
      <c r="IT72" s="47"/>
      <c r="IU72" s="47"/>
      <c r="IV72" s="47"/>
      <c r="IW72" s="47"/>
      <c r="IX72" s="47"/>
      <c r="IY72" s="47"/>
      <c r="IZ72" s="47"/>
      <c r="JA72" s="47"/>
      <c r="JB72" s="47"/>
      <c r="JC72" s="47"/>
      <c r="JD72" s="47"/>
      <c r="JE72" s="47"/>
      <c r="JF72" s="47"/>
      <c r="JG72" s="47"/>
      <c r="JH72" s="47"/>
      <c r="JI72" s="47"/>
      <c r="JJ72" s="47"/>
      <c r="JK72" s="47"/>
      <c r="JL72" s="47"/>
      <c r="JM72" s="47"/>
      <c r="JN72" s="47"/>
      <c r="JO72" s="47"/>
      <c r="JP72" s="47"/>
      <c r="JQ72" s="47"/>
      <c r="JR72" s="47"/>
      <c r="JS72" s="47"/>
      <c r="JT72" s="52" t="b">
        <f aca="false">TRUE()</f>
        <v>1</v>
      </c>
      <c r="JU72" s="52" t="b">
        <f aca="false">TRUE()</f>
        <v>1</v>
      </c>
      <c r="JV72" s="47"/>
      <c r="JW72" s="47"/>
      <c r="JX72" s="47"/>
      <c r="JY72" s="47"/>
      <c r="JZ72" s="47"/>
      <c r="KA72" s="47"/>
      <c r="KB72" s="47"/>
      <c r="KC72" s="47"/>
      <c r="KD72" s="47"/>
      <c r="KE72" s="47"/>
      <c r="KF72" s="47"/>
      <c r="KG72" s="47"/>
      <c r="KH72" s="47"/>
      <c r="KI72" s="47"/>
      <c r="KJ72" s="52" t="b">
        <f aca="false">TRUE()</f>
        <v>1</v>
      </c>
      <c r="KK72" s="47"/>
      <c r="KL72" s="47"/>
      <c r="KM72" s="47"/>
      <c r="KN72" s="47"/>
      <c r="KO72" s="47"/>
      <c r="KP72" s="52" t="b">
        <f aca="false">TRUE()</f>
        <v>1</v>
      </c>
      <c r="KQ72" s="47"/>
      <c r="KR72" s="47"/>
      <c r="KS72" s="47"/>
      <c r="KT72" s="47"/>
      <c r="KU72" s="47"/>
    </row>
    <row r="73" customFormat="false" ht="17.15" hidden="false" customHeight="false" outlineLevel="0" collapsed="false">
      <c r="A73" s="37" t="s">
        <v>305</v>
      </c>
      <c r="B73" s="37" t="s">
        <v>1847</v>
      </c>
      <c r="C73" s="37"/>
      <c r="D73" s="37"/>
      <c r="E73" s="37"/>
      <c r="F73" s="37" t="s">
        <v>1848</v>
      </c>
      <c r="G73" s="37" t="s">
        <v>1849</v>
      </c>
      <c r="H73" s="37" t="s">
        <v>1850</v>
      </c>
      <c r="I73" s="37" t="s">
        <v>310</v>
      </c>
      <c r="J73" s="37" t="s">
        <v>311</v>
      </c>
      <c r="K73" s="37"/>
      <c r="L73" s="37"/>
      <c r="M73" s="37"/>
      <c r="N73" s="37"/>
      <c r="O73" s="37" t="s">
        <v>1851</v>
      </c>
      <c r="P73" s="37" t="s">
        <v>1852</v>
      </c>
      <c r="Q73" s="37" t="s">
        <v>1853</v>
      </c>
      <c r="R73" s="37" t="s">
        <v>1854</v>
      </c>
      <c r="S73" s="37" t="s">
        <v>1855</v>
      </c>
      <c r="T73" s="37" t="s">
        <v>1856</v>
      </c>
      <c r="U73" s="37" t="s">
        <v>1857</v>
      </c>
      <c r="V73" s="51" t="s">
        <v>1858</v>
      </c>
      <c r="W73" s="37"/>
      <c r="X73" s="37"/>
      <c r="Y73" s="37"/>
      <c r="Z73" s="37"/>
      <c r="AA73" s="37" t="n">
        <v>50</v>
      </c>
      <c r="AB73" s="37" t="n">
        <v>3</v>
      </c>
      <c r="AC73" s="37" t="n">
        <v>3</v>
      </c>
      <c r="AD73" s="37" t="n">
        <v>16</v>
      </c>
      <c r="AE73" s="37" t="n">
        <v>28</v>
      </c>
      <c r="AF73" s="37" t="s">
        <v>1859</v>
      </c>
      <c r="AG73" s="37" t="s">
        <v>1040</v>
      </c>
      <c r="AH73" s="37" t="s">
        <v>1860</v>
      </c>
      <c r="AI73" s="37" t="s">
        <v>1861</v>
      </c>
      <c r="AJ73" s="37" t="s">
        <v>1862</v>
      </c>
      <c r="AK73" s="37"/>
      <c r="AL73" s="37" t="s">
        <v>1850</v>
      </c>
      <c r="AM73" s="37" t="s">
        <v>1863</v>
      </c>
      <c r="AN73" s="37" t="s">
        <v>1046</v>
      </c>
      <c r="AO73" s="37" t="n">
        <v>2024</v>
      </c>
      <c r="AP73" s="37" t="n">
        <v>24</v>
      </c>
      <c r="AQ73" s="37" t="n">
        <v>2</v>
      </c>
      <c r="AR73" s="37"/>
      <c r="AS73" s="37" t="n">
        <v>555</v>
      </c>
      <c r="AT73" s="37" t="n">
        <v>567</v>
      </c>
      <c r="AU73" s="37"/>
      <c r="AV73" s="37" t="s">
        <v>1864</v>
      </c>
      <c r="AW73" s="37" t="str">
        <f aca="false">HYPERLINK("http://dx.doi.org/10.2166/ws.2024.009","http://dx.doi.org/10.2166/ws.2024.009")</f>
        <v>http://dx.doi.org/10.2166/ws.2024.009</v>
      </c>
      <c r="AX73" s="37" t="s">
        <v>1865</v>
      </c>
      <c r="AY73" s="37" t="n">
        <v>13</v>
      </c>
      <c r="AZ73" s="37" t="s">
        <v>1866</v>
      </c>
      <c r="BA73" s="37" t="s">
        <v>331</v>
      </c>
      <c r="BB73" s="37" t="s">
        <v>1867</v>
      </c>
      <c r="BC73" s="37" t="s">
        <v>1868</v>
      </c>
      <c r="BD73" s="37"/>
      <c r="BE73" s="37" t="s">
        <v>503</v>
      </c>
      <c r="BF73" s="37" t="s">
        <v>334</v>
      </c>
      <c r="BG73" s="37" t="s">
        <v>1869</v>
      </c>
      <c r="BH73" s="37" t="str">
        <f aca="false">HYPERLINK("https%3A%2F%2Fwww.webofscience.com%2Fwos%2Fwoscc%2Ffull-record%2FWOS:001145573900001","View Full Record in Web of Science")</f>
        <v>View Full Record in Web of Science</v>
      </c>
      <c r="BI73" s="39"/>
      <c r="BJ73" s="39"/>
      <c r="BK73" s="39"/>
      <c r="BL73" s="39"/>
      <c r="BM73" s="39"/>
      <c r="BN73" s="39"/>
      <c r="BO73" s="41" t="b">
        <f aca="false">TRUE()</f>
        <v>1</v>
      </c>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41" t="b">
        <f aca="false">TRUE()</f>
        <v>1</v>
      </c>
      <c r="EC73" s="39"/>
      <c r="ED73" s="39"/>
      <c r="EE73" s="39"/>
      <c r="EF73" s="39"/>
      <c r="EG73" s="39"/>
      <c r="EH73" s="39"/>
      <c r="EI73" s="41" t="b">
        <f aca="false">TRUE()</f>
        <v>1</v>
      </c>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41" t="b">
        <f aca="false">TRUE()</f>
        <v>1</v>
      </c>
      <c r="HL73" s="39"/>
      <c r="HM73" s="39"/>
      <c r="HN73" s="39"/>
      <c r="HO73" s="39"/>
      <c r="HP73" s="39"/>
      <c r="HQ73" s="39"/>
      <c r="HR73" s="39"/>
      <c r="HS73" s="39"/>
      <c r="HT73" s="39"/>
      <c r="HU73" s="39"/>
      <c r="HV73" s="39"/>
      <c r="HW73" s="39"/>
      <c r="HX73" s="39"/>
      <c r="HY73" s="39"/>
      <c r="HZ73" s="39"/>
      <c r="IA73" s="39"/>
      <c r="IB73" s="39"/>
      <c r="IC73" s="39"/>
      <c r="ID73" s="41" t="b">
        <f aca="false">TRUE()</f>
        <v>1</v>
      </c>
      <c r="IE73" s="39"/>
      <c r="IF73" s="39"/>
      <c r="IG73" s="39"/>
      <c r="IH73" s="39"/>
      <c r="II73" s="39"/>
      <c r="IJ73" s="39"/>
      <c r="IK73" s="39"/>
      <c r="IL73" s="39"/>
      <c r="IM73" s="39"/>
      <c r="IN73" s="39"/>
      <c r="IO73" s="39"/>
      <c r="IP73" s="39"/>
      <c r="IQ73" s="39"/>
      <c r="IR73" s="39"/>
      <c r="IS73" s="39"/>
      <c r="IT73" s="39"/>
      <c r="IU73" s="39"/>
      <c r="IV73" s="39"/>
      <c r="IW73" s="39"/>
      <c r="IX73" s="39"/>
      <c r="IY73" s="39"/>
      <c r="IZ73" s="39"/>
      <c r="JA73" s="39"/>
      <c r="JB73" s="39"/>
      <c r="JC73" s="39"/>
      <c r="JD73" s="39"/>
      <c r="JE73" s="39"/>
      <c r="JF73" s="39"/>
      <c r="JG73" s="39"/>
      <c r="JH73" s="39"/>
      <c r="JI73" s="39"/>
      <c r="JJ73" s="39"/>
      <c r="JK73" s="39"/>
      <c r="JL73" s="39"/>
      <c r="JM73" s="39"/>
      <c r="JN73" s="39"/>
      <c r="JO73" s="39"/>
      <c r="JP73" s="39"/>
      <c r="JQ73" s="39"/>
      <c r="JR73" s="39"/>
      <c r="JS73" s="39"/>
      <c r="JT73" s="41" t="b">
        <f aca="false">TRUE()</f>
        <v>1</v>
      </c>
      <c r="JU73" s="41" t="b">
        <f aca="false">TRUE()</f>
        <v>1</v>
      </c>
      <c r="JV73" s="39"/>
      <c r="JW73" s="39"/>
      <c r="JX73" s="39"/>
      <c r="JY73" s="39"/>
      <c r="JZ73" s="39"/>
      <c r="KA73" s="39"/>
      <c r="KB73" s="39"/>
      <c r="KC73" s="39"/>
      <c r="KD73" s="39"/>
      <c r="KE73" s="39"/>
      <c r="KF73" s="39"/>
      <c r="KG73" s="39"/>
      <c r="KH73" s="39"/>
      <c r="KI73" s="39"/>
      <c r="KJ73" s="39"/>
      <c r="KK73" s="39"/>
      <c r="KL73" s="39"/>
      <c r="KM73" s="39"/>
      <c r="KN73" s="39"/>
      <c r="KO73" s="39"/>
      <c r="KP73" s="39"/>
      <c r="KQ73" s="39"/>
      <c r="KR73" s="41" t="b">
        <f aca="false">TRUE()</f>
        <v>1</v>
      </c>
      <c r="KS73" s="39"/>
      <c r="KT73" s="41" t="b">
        <f aca="false">TRUE()</f>
        <v>1</v>
      </c>
      <c r="KU73" s="39"/>
    </row>
    <row r="74" customFormat="false" ht="14.4" hidden="false" customHeight="false" outlineLevel="0" collapsed="false">
      <c r="A74" s="37" t="s">
        <v>305</v>
      </c>
      <c r="B74" s="37" t="s">
        <v>1870</v>
      </c>
      <c r="C74" s="37"/>
      <c r="D74" s="37"/>
      <c r="E74" s="37"/>
      <c r="F74" s="37" t="s">
        <v>1871</v>
      </c>
      <c r="G74" s="37" t="s">
        <v>1872</v>
      </c>
      <c r="H74" s="37" t="s">
        <v>1873</v>
      </c>
      <c r="I74" s="37" t="s">
        <v>310</v>
      </c>
      <c r="J74" s="37" t="s">
        <v>311</v>
      </c>
      <c r="K74" s="37"/>
      <c r="L74" s="37"/>
      <c r="M74" s="37"/>
      <c r="N74" s="37"/>
      <c r="O74" s="37" t="s">
        <v>1874</v>
      </c>
      <c r="P74" s="37" t="s">
        <v>1875</v>
      </c>
      <c r="Q74" s="37" t="s">
        <v>1876</v>
      </c>
      <c r="R74" s="37" t="s">
        <v>1877</v>
      </c>
      <c r="S74" s="37" t="s">
        <v>1878</v>
      </c>
      <c r="T74" s="37" t="s">
        <v>1879</v>
      </c>
      <c r="U74" s="37" t="s">
        <v>1880</v>
      </c>
      <c r="V74" s="37" t="s">
        <v>1881</v>
      </c>
      <c r="W74" s="37" t="s">
        <v>1882</v>
      </c>
      <c r="X74" s="37" t="s">
        <v>1883</v>
      </c>
      <c r="Y74" s="37" t="s">
        <v>1884</v>
      </c>
      <c r="Z74" s="37" t="s">
        <v>1885</v>
      </c>
      <c r="AA74" s="37" t="n">
        <v>297</v>
      </c>
      <c r="AB74" s="37" t="n">
        <v>991</v>
      </c>
      <c r="AC74" s="37" t="n">
        <v>1060</v>
      </c>
      <c r="AD74" s="37" t="n">
        <v>177</v>
      </c>
      <c r="AE74" s="37" t="n">
        <v>1632</v>
      </c>
      <c r="AF74" s="37" t="s">
        <v>795</v>
      </c>
      <c r="AG74" s="37" t="s">
        <v>525</v>
      </c>
      <c r="AH74" s="37" t="s">
        <v>796</v>
      </c>
      <c r="AI74" s="37" t="s">
        <v>1886</v>
      </c>
      <c r="AJ74" s="37" t="s">
        <v>1887</v>
      </c>
      <c r="AK74" s="37"/>
      <c r="AL74" s="37" t="s">
        <v>1888</v>
      </c>
      <c r="AM74" s="37" t="s">
        <v>1889</v>
      </c>
      <c r="AN74" s="37" t="s">
        <v>775</v>
      </c>
      <c r="AO74" s="37" t="n">
        <v>2020</v>
      </c>
      <c r="AP74" s="37" t="n">
        <v>241</v>
      </c>
      <c r="AQ74" s="37"/>
      <c r="AR74" s="37"/>
      <c r="AS74" s="37"/>
      <c r="AT74" s="37"/>
      <c r="AU74" s="37" t="n">
        <v>111716</v>
      </c>
      <c r="AV74" s="37" t="s">
        <v>1890</v>
      </c>
      <c r="AW74" s="37" t="str">
        <f aca="false">HYPERLINK("http://dx.doi.org/10.1016/j.rse.2020.111716","http://dx.doi.org/10.1016/j.rse.2020.111716")</f>
        <v>http://dx.doi.org/10.1016/j.rse.2020.111716</v>
      </c>
      <c r="AX74" s="37"/>
      <c r="AY74" s="37" t="n">
        <v>24</v>
      </c>
      <c r="AZ74" s="37" t="s">
        <v>1891</v>
      </c>
      <c r="BA74" s="37" t="s">
        <v>331</v>
      </c>
      <c r="BB74" s="37" t="s">
        <v>1892</v>
      </c>
      <c r="BC74" s="37" t="s">
        <v>1893</v>
      </c>
      <c r="BD74" s="37"/>
      <c r="BE74" s="37"/>
      <c r="BF74" s="37" t="s">
        <v>334</v>
      </c>
      <c r="BG74" s="37" t="s">
        <v>1894</v>
      </c>
      <c r="BH74" s="37" t="str">
        <f aca="false">HYPERLINK("https%3A%2F%2Fwww.webofscience.com%2Fwos%2Fwoscc%2Ffull-record%2FWOS:000523958600007","View Full Record in Web of Science")</f>
        <v>View Full Record in Web of Science</v>
      </c>
      <c r="BI74" s="41" t="b">
        <f aca="false">TRUE()</f>
        <v>1</v>
      </c>
      <c r="BJ74" s="39"/>
      <c r="BK74" s="39"/>
      <c r="BL74" s="39"/>
      <c r="BM74" s="39"/>
      <c r="BN74" s="39"/>
      <c r="BO74" s="41" t="b">
        <f aca="false">TRUE()</f>
        <v>1</v>
      </c>
      <c r="BP74" s="39"/>
      <c r="BQ74" s="39"/>
      <c r="BR74" s="41" t="b">
        <f aca="false">TRUE()</f>
        <v>1</v>
      </c>
      <c r="BS74" s="39"/>
      <c r="BT74" s="41" t="b">
        <f aca="false">TRUE()</f>
        <v>1</v>
      </c>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c r="DA74" s="39"/>
      <c r="DB74" s="39"/>
      <c r="DC74" s="39"/>
      <c r="DD74" s="39"/>
      <c r="DE74" s="39"/>
      <c r="DF74" s="39"/>
      <c r="DG74" s="39"/>
      <c r="DH74" s="39"/>
      <c r="DI74" s="39"/>
      <c r="DJ74" s="39"/>
      <c r="DK74" s="39"/>
      <c r="DL74" s="39"/>
      <c r="DM74" s="39"/>
      <c r="DN74" s="39"/>
      <c r="DO74" s="39"/>
      <c r="DP74" s="39"/>
      <c r="DQ74" s="39"/>
      <c r="DR74" s="39"/>
      <c r="DS74" s="39"/>
      <c r="DT74" s="39"/>
      <c r="DU74" s="39"/>
      <c r="DV74" s="39"/>
      <c r="DW74" s="39"/>
      <c r="DX74" s="39"/>
      <c r="DY74" s="39"/>
      <c r="DZ74" s="39"/>
      <c r="EA74" s="39"/>
      <c r="EB74" s="39"/>
      <c r="EC74" s="39"/>
      <c r="ED74" s="39"/>
      <c r="EE74" s="39"/>
      <c r="EF74" s="39"/>
      <c r="EG74" s="39"/>
      <c r="EH74" s="39"/>
      <c r="EI74" s="39"/>
      <c r="EJ74" s="39"/>
      <c r="EK74" s="39"/>
      <c r="EL74" s="39"/>
      <c r="EM74" s="39"/>
      <c r="EN74" s="39"/>
      <c r="EO74" s="39"/>
      <c r="EP74" s="39"/>
      <c r="EQ74" s="39"/>
      <c r="ER74" s="39"/>
      <c r="ES74" s="39"/>
      <c r="ET74" s="39"/>
      <c r="EU74" s="39"/>
      <c r="EV74" s="39"/>
      <c r="EW74" s="39"/>
      <c r="EX74" s="39"/>
      <c r="EY74" s="39"/>
      <c r="EZ74" s="39"/>
      <c r="FA74" s="39"/>
      <c r="FB74" s="39"/>
      <c r="FC74" s="39"/>
      <c r="FD74" s="39"/>
      <c r="FE74" s="39"/>
      <c r="FF74" s="39"/>
      <c r="FG74" s="39"/>
      <c r="FH74" s="39"/>
      <c r="FI74" s="39"/>
      <c r="FJ74" s="39"/>
      <c r="FK74" s="41" t="b">
        <f aca="false">TRUE()</f>
        <v>1</v>
      </c>
      <c r="FL74" s="39"/>
      <c r="FM74" s="39"/>
      <c r="FN74" s="41" t="b">
        <f aca="false">TRUE()</f>
        <v>1</v>
      </c>
      <c r="FO74" s="39"/>
      <c r="FP74" s="39"/>
      <c r="FQ74" s="39"/>
      <c r="FR74" s="39"/>
      <c r="FS74" s="39"/>
      <c r="FT74" s="39"/>
      <c r="FU74" s="39"/>
      <c r="FV74" s="39"/>
      <c r="FW74" s="39"/>
      <c r="FX74" s="39"/>
      <c r="FY74" s="41" t="b">
        <f aca="false">TRUE()</f>
        <v>1</v>
      </c>
      <c r="FZ74" s="39"/>
      <c r="GA74" s="39"/>
      <c r="GB74" s="39"/>
      <c r="GC74" s="39"/>
      <c r="GD74" s="39"/>
      <c r="GE74" s="39"/>
      <c r="GF74" s="39"/>
      <c r="GG74" s="39"/>
      <c r="GH74" s="39"/>
      <c r="GI74" s="39"/>
      <c r="GJ74" s="39"/>
      <c r="GK74" s="39"/>
      <c r="GL74" s="39"/>
      <c r="GM74" s="39"/>
      <c r="GN74" s="39"/>
      <c r="GO74" s="39"/>
      <c r="GP74" s="39"/>
      <c r="GQ74" s="39"/>
      <c r="GR74" s="39"/>
      <c r="GS74" s="39"/>
      <c r="GT74" s="39"/>
      <c r="GU74" s="39"/>
      <c r="GV74" s="39"/>
      <c r="GW74" s="39"/>
      <c r="GX74" s="39"/>
      <c r="GY74" s="39"/>
      <c r="GZ74" s="39"/>
      <c r="HA74" s="39"/>
      <c r="HB74" s="41" t="b">
        <f aca="false">TRUE()</f>
        <v>1</v>
      </c>
      <c r="HC74" s="39"/>
      <c r="HD74" s="39"/>
      <c r="HE74" s="39"/>
      <c r="HF74" s="39"/>
      <c r="HG74" s="39"/>
      <c r="HH74" s="39"/>
      <c r="HI74" s="39"/>
      <c r="HJ74" s="39"/>
      <c r="HK74" s="39"/>
      <c r="HL74" s="39"/>
      <c r="HM74" s="39"/>
      <c r="HN74" s="39"/>
      <c r="HO74" s="39"/>
      <c r="HP74" s="39"/>
      <c r="HQ74" s="39"/>
      <c r="HR74" s="39"/>
      <c r="HS74" s="39"/>
      <c r="HT74" s="39"/>
      <c r="HU74" s="39"/>
      <c r="HV74" s="39"/>
      <c r="HW74" s="39"/>
      <c r="HX74" s="39"/>
      <c r="HY74" s="39"/>
      <c r="HZ74" s="39"/>
      <c r="IA74" s="39"/>
      <c r="IB74" s="39"/>
      <c r="IC74" s="39"/>
      <c r="ID74" s="39"/>
      <c r="IE74" s="39"/>
      <c r="IF74" s="39"/>
      <c r="IG74" s="39"/>
      <c r="IH74" s="39"/>
      <c r="II74" s="39"/>
      <c r="IJ74" s="39"/>
      <c r="IK74" s="39"/>
      <c r="IL74" s="39"/>
      <c r="IM74" s="39"/>
      <c r="IN74" s="39"/>
      <c r="IO74" s="39"/>
      <c r="IP74" s="39"/>
      <c r="IQ74" s="39"/>
      <c r="IR74" s="39"/>
      <c r="IS74" s="39"/>
      <c r="IT74" s="39"/>
      <c r="IU74" s="39"/>
      <c r="IV74" s="39"/>
      <c r="IW74" s="39"/>
      <c r="IX74" s="39"/>
      <c r="IY74" s="39"/>
      <c r="IZ74" s="39"/>
      <c r="JA74" s="39"/>
      <c r="JB74" s="39"/>
      <c r="JC74" s="39"/>
      <c r="JD74" s="39"/>
      <c r="JE74" s="39"/>
      <c r="JF74" s="39"/>
      <c r="JG74" s="39"/>
      <c r="JH74" s="41" t="b">
        <f aca="false">TRUE()</f>
        <v>1</v>
      </c>
      <c r="JI74" s="39"/>
      <c r="JJ74" s="39"/>
      <c r="JK74" s="39"/>
      <c r="JL74" s="39"/>
      <c r="JM74" s="39"/>
      <c r="JN74" s="39"/>
      <c r="JO74" s="39"/>
      <c r="JP74" s="39"/>
      <c r="JQ74" s="39"/>
      <c r="JR74" s="39"/>
      <c r="JS74" s="39"/>
      <c r="JT74" s="41" t="b">
        <f aca="false">TRUE()</f>
        <v>1</v>
      </c>
      <c r="JU74" s="41" t="b">
        <f aca="false">TRUE()</f>
        <v>1</v>
      </c>
      <c r="JV74" s="39"/>
      <c r="JW74" s="39"/>
      <c r="JX74" s="39"/>
      <c r="JY74" s="39"/>
      <c r="JZ74" s="39"/>
      <c r="KA74" s="39"/>
      <c r="KB74" s="39"/>
      <c r="KC74" s="41" t="b">
        <f aca="false">TRUE()</f>
        <v>1</v>
      </c>
      <c r="KD74" s="39"/>
      <c r="KE74" s="39"/>
      <c r="KF74" s="39"/>
      <c r="KG74" s="39"/>
      <c r="KH74" s="39"/>
      <c r="KI74" s="39"/>
      <c r="KJ74" s="41" t="b">
        <f aca="false">TRUE()</f>
        <v>1</v>
      </c>
      <c r="KK74" s="39"/>
      <c r="KL74" s="39"/>
      <c r="KM74" s="39"/>
      <c r="KN74" s="39"/>
      <c r="KO74" s="39"/>
      <c r="KP74" s="39"/>
      <c r="KQ74" s="39"/>
      <c r="KR74" s="41" t="b">
        <f aca="false">TRUE()</f>
        <v>1</v>
      </c>
      <c r="KS74" s="39"/>
      <c r="KT74" s="39"/>
      <c r="KU74" s="41" t="b">
        <f aca="false">TRUE()</f>
        <v>1</v>
      </c>
    </row>
    <row r="75" customFormat="false" ht="14.4" hidden="false" customHeight="false" outlineLevel="0" collapsed="false">
      <c r="A75" s="37" t="s">
        <v>305</v>
      </c>
      <c r="B75" s="37" t="s">
        <v>1895</v>
      </c>
      <c r="C75" s="37"/>
      <c r="D75" s="37"/>
      <c r="E75" s="37"/>
      <c r="F75" s="37" t="s">
        <v>1896</v>
      </c>
      <c r="G75" s="37" t="s">
        <v>1897</v>
      </c>
      <c r="H75" s="37" t="s">
        <v>388</v>
      </c>
      <c r="I75" s="37" t="s">
        <v>310</v>
      </c>
      <c r="J75" s="37" t="s">
        <v>311</v>
      </c>
      <c r="K75" s="37"/>
      <c r="L75" s="37"/>
      <c r="M75" s="37"/>
      <c r="N75" s="37"/>
      <c r="O75" s="37" t="s">
        <v>1898</v>
      </c>
      <c r="P75" s="37" t="s">
        <v>1899</v>
      </c>
      <c r="Q75" s="37" t="s">
        <v>1900</v>
      </c>
      <c r="R75" s="37" t="s">
        <v>1901</v>
      </c>
      <c r="S75" s="37" t="s">
        <v>738</v>
      </c>
      <c r="T75" s="37" t="s">
        <v>1902</v>
      </c>
      <c r="U75" s="37" t="s">
        <v>1903</v>
      </c>
      <c r="V75" s="37" t="s">
        <v>1904</v>
      </c>
      <c r="W75" s="37"/>
      <c r="X75" s="37" t="s">
        <v>1905</v>
      </c>
      <c r="Y75" s="37" t="s">
        <v>1906</v>
      </c>
      <c r="Z75" s="37" t="s">
        <v>1907</v>
      </c>
      <c r="AA75" s="37" t="n">
        <v>69</v>
      </c>
      <c r="AB75" s="37" t="n">
        <v>16</v>
      </c>
      <c r="AC75" s="37" t="n">
        <v>16</v>
      </c>
      <c r="AD75" s="37" t="n">
        <v>28</v>
      </c>
      <c r="AE75" s="37" t="n">
        <v>71</v>
      </c>
      <c r="AF75" s="37" t="s">
        <v>401</v>
      </c>
      <c r="AG75" s="37" t="s">
        <v>402</v>
      </c>
      <c r="AH75" s="37" t="s">
        <v>403</v>
      </c>
      <c r="AI75" s="37" t="s">
        <v>404</v>
      </c>
      <c r="AJ75" s="37" t="s">
        <v>405</v>
      </c>
      <c r="AK75" s="37"/>
      <c r="AL75" s="37" t="s">
        <v>406</v>
      </c>
      <c r="AM75" s="37" t="s">
        <v>407</v>
      </c>
      <c r="AN75" s="37" t="s">
        <v>132</v>
      </c>
      <c r="AO75" s="37" t="n">
        <v>2023</v>
      </c>
      <c r="AP75" s="37" t="n">
        <v>212</v>
      </c>
      <c r="AQ75" s="37"/>
      <c r="AR75" s="37"/>
      <c r="AS75" s="37"/>
      <c r="AT75" s="37"/>
      <c r="AU75" s="37" t="n">
        <v>108140</v>
      </c>
      <c r="AV75" s="37" t="s">
        <v>1908</v>
      </c>
      <c r="AW75" s="37" t="str">
        <f aca="false">HYPERLINK("http://dx.doi.org/10.1016/j.compag.2023.108140","http://dx.doi.org/10.1016/j.compag.2023.108140")</f>
        <v>http://dx.doi.org/10.1016/j.compag.2023.108140</v>
      </c>
      <c r="AX75" s="37" t="s">
        <v>894</v>
      </c>
      <c r="AY75" s="37" t="n">
        <v>16</v>
      </c>
      <c r="AZ75" s="37" t="s">
        <v>411</v>
      </c>
      <c r="BA75" s="37" t="s">
        <v>331</v>
      </c>
      <c r="BB75" s="37" t="s">
        <v>412</v>
      </c>
      <c r="BC75" s="37" t="s">
        <v>1909</v>
      </c>
      <c r="BD75" s="37"/>
      <c r="BE75" s="37"/>
      <c r="BF75" s="37" t="s">
        <v>334</v>
      </c>
      <c r="BG75" s="37" t="s">
        <v>1910</v>
      </c>
      <c r="BH75" s="37" t="str">
        <f aca="false">HYPERLINK("https%3A%2F%2Fwww.webofscience.com%2Fwos%2Fwoscc%2Ffull-record%2FWOS:001059434000001","View Full Record in Web of Science")</f>
        <v>View Full Record in Web of Science</v>
      </c>
      <c r="BI75" s="41" t="b">
        <f aca="false">TRUE()</f>
        <v>1</v>
      </c>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41" t="b">
        <f aca="false">TRUE()</f>
        <v>1</v>
      </c>
      <c r="CX75" s="39"/>
      <c r="CY75" s="39"/>
      <c r="CZ75" s="41" t="b">
        <f aca="false">TRUE()</f>
        <v>1</v>
      </c>
      <c r="DA75" s="39"/>
      <c r="DB75" s="39"/>
      <c r="DC75" s="39"/>
      <c r="DD75" s="39"/>
      <c r="DE75" s="39"/>
      <c r="DF75" s="39"/>
      <c r="DG75" s="39"/>
      <c r="DH75" s="39"/>
      <c r="DI75" s="39"/>
      <c r="DJ75" s="39"/>
      <c r="DK75" s="39"/>
      <c r="DL75" s="39"/>
      <c r="DM75" s="39"/>
      <c r="DN75" s="39"/>
      <c r="DO75" s="39"/>
      <c r="DP75" s="39"/>
      <c r="DQ75" s="39"/>
      <c r="DR75" s="39"/>
      <c r="DS75" s="39"/>
      <c r="DT75" s="41" t="b">
        <f aca="false">TRUE()</f>
        <v>1</v>
      </c>
      <c r="DU75" s="39"/>
      <c r="DV75" s="39"/>
      <c r="DW75" s="39"/>
      <c r="DX75" s="39"/>
      <c r="DY75" s="39"/>
      <c r="DZ75" s="39"/>
      <c r="EA75" s="41" t="b">
        <f aca="false">TRUE()</f>
        <v>1</v>
      </c>
      <c r="EB75" s="39"/>
      <c r="EC75" s="39"/>
      <c r="ED75" s="39"/>
      <c r="EE75" s="39"/>
      <c r="EF75" s="39"/>
      <c r="EG75" s="39"/>
      <c r="EH75" s="39"/>
      <c r="EI75" s="41" t="b">
        <f aca="false">TRUE()</f>
        <v>1</v>
      </c>
      <c r="EJ75" s="39"/>
      <c r="EK75" s="39"/>
      <c r="EL75" s="39"/>
      <c r="EM75" s="39"/>
      <c r="EN75" s="39"/>
      <c r="EO75" s="39"/>
      <c r="EP75" s="39"/>
      <c r="EQ75" s="39"/>
      <c r="ER75" s="39"/>
      <c r="ES75" s="39"/>
      <c r="ET75" s="39"/>
      <c r="EU75" s="39"/>
      <c r="EV75" s="39"/>
      <c r="EW75" s="39"/>
      <c r="EX75" s="39"/>
      <c r="EY75" s="41" t="b">
        <f aca="false">TRUE()</f>
        <v>1</v>
      </c>
      <c r="EZ75" s="39"/>
      <c r="FA75" s="39"/>
      <c r="FB75" s="39"/>
      <c r="FC75" s="41" t="b">
        <f aca="false">TRUE()</f>
        <v>1</v>
      </c>
      <c r="FD75" s="39"/>
      <c r="FE75" s="39"/>
      <c r="FF75" s="39"/>
      <c r="FG75" s="39"/>
      <c r="FH75" s="39"/>
      <c r="FI75" s="39"/>
      <c r="FJ75" s="39"/>
      <c r="FK75" s="39"/>
      <c r="FL75" s="39"/>
      <c r="FM75" s="39"/>
      <c r="FN75" s="39"/>
      <c r="FO75" s="39"/>
      <c r="FP75" s="39"/>
      <c r="FQ75" s="39"/>
      <c r="FR75" s="39"/>
      <c r="FS75" s="39"/>
      <c r="FT75" s="39"/>
      <c r="FU75" s="39"/>
      <c r="FV75" s="39"/>
      <c r="FW75" s="39"/>
      <c r="FX75" s="39"/>
      <c r="FY75" s="39"/>
      <c r="FZ75" s="39"/>
      <c r="GA75" s="39"/>
      <c r="GB75" s="39"/>
      <c r="GC75" s="39"/>
      <c r="GD75" s="39"/>
      <c r="GE75" s="39"/>
      <c r="GF75" s="39"/>
      <c r="GG75" s="39"/>
      <c r="GH75" s="39"/>
      <c r="GI75" s="39"/>
      <c r="GJ75" s="39"/>
      <c r="GK75" s="39"/>
      <c r="GL75" s="39"/>
      <c r="GM75" s="39"/>
      <c r="GN75" s="39"/>
      <c r="GO75" s="39"/>
      <c r="GP75" s="39"/>
      <c r="GQ75" s="39"/>
      <c r="GR75" s="39"/>
      <c r="GS75" s="41" t="b">
        <f aca="false">TRUE()</f>
        <v>1</v>
      </c>
      <c r="GT75" s="39"/>
      <c r="GU75" s="39"/>
      <c r="GV75" s="39"/>
      <c r="GW75" s="39"/>
      <c r="GX75" s="39"/>
      <c r="GY75" s="39"/>
      <c r="GZ75" s="39"/>
      <c r="HA75" s="39"/>
      <c r="HB75" s="39"/>
      <c r="HC75" s="39"/>
      <c r="HD75" s="39"/>
      <c r="HE75" s="39"/>
      <c r="HF75" s="39"/>
      <c r="HG75" s="39"/>
      <c r="HH75" s="39"/>
      <c r="HI75" s="39"/>
      <c r="HJ75" s="39"/>
      <c r="HK75" s="39"/>
      <c r="HL75" s="39"/>
      <c r="HM75" s="41" t="b">
        <f aca="false">TRUE()</f>
        <v>1</v>
      </c>
      <c r="HN75" s="39"/>
      <c r="HO75" s="39"/>
      <c r="HP75" s="39"/>
      <c r="HQ75" s="39"/>
      <c r="HR75" s="39"/>
      <c r="HS75" s="39"/>
      <c r="HT75" s="39"/>
      <c r="HU75" s="39"/>
      <c r="HV75" s="39"/>
      <c r="HW75" s="39"/>
      <c r="HX75" s="39"/>
      <c r="HY75" s="39"/>
      <c r="HZ75" s="39"/>
      <c r="IA75" s="39"/>
      <c r="IB75" s="39"/>
      <c r="IC75" s="39"/>
      <c r="ID75" s="41" t="b">
        <f aca="false">TRUE()</f>
        <v>1</v>
      </c>
      <c r="IE75" s="39"/>
      <c r="IF75" s="39"/>
      <c r="IG75" s="39"/>
      <c r="IH75" s="39"/>
      <c r="II75" s="39"/>
      <c r="IJ75" s="39"/>
      <c r="IK75" s="39"/>
      <c r="IL75" s="39"/>
      <c r="IM75" s="39"/>
      <c r="IN75" s="39"/>
      <c r="IO75" s="39"/>
      <c r="IP75" s="39"/>
      <c r="IQ75" s="39"/>
      <c r="IR75" s="39"/>
      <c r="IS75" s="39"/>
      <c r="IT75" s="39"/>
      <c r="IU75" s="39"/>
      <c r="IV75" s="39"/>
      <c r="IW75" s="39"/>
      <c r="IX75" s="39"/>
      <c r="IY75" s="39"/>
      <c r="IZ75" s="39"/>
      <c r="JA75" s="39"/>
      <c r="JB75" s="39"/>
      <c r="JC75" s="39"/>
      <c r="JD75" s="39"/>
      <c r="JE75" s="39"/>
      <c r="JF75" s="39"/>
      <c r="JG75" s="39"/>
      <c r="JH75" s="39"/>
      <c r="JI75" s="39"/>
      <c r="JJ75" s="39"/>
      <c r="JK75" s="39"/>
      <c r="JL75" s="39"/>
      <c r="JM75" s="39"/>
      <c r="JN75" s="39"/>
      <c r="JO75" s="39"/>
      <c r="JP75" s="39"/>
      <c r="JQ75" s="39"/>
      <c r="JR75" s="39"/>
      <c r="JS75" s="39"/>
      <c r="JT75" s="41" t="b">
        <f aca="false">TRUE()</f>
        <v>1</v>
      </c>
      <c r="JU75" s="39"/>
      <c r="JV75" s="39"/>
      <c r="JW75" s="39"/>
      <c r="JX75" s="41" t="b">
        <f aca="false">TRUE()</f>
        <v>1</v>
      </c>
      <c r="JY75" s="39"/>
      <c r="JZ75" s="39"/>
      <c r="KA75" s="39"/>
      <c r="KB75" s="39"/>
      <c r="KC75" s="39"/>
      <c r="KD75" s="39"/>
      <c r="KE75" s="39"/>
      <c r="KF75" s="39"/>
      <c r="KG75" s="39"/>
      <c r="KH75" s="39"/>
      <c r="KI75" s="39"/>
      <c r="KJ75" s="41" t="b">
        <f aca="false">TRUE()</f>
        <v>1</v>
      </c>
      <c r="KK75" s="39"/>
      <c r="KL75" s="39"/>
      <c r="KM75" s="39"/>
      <c r="KN75" s="39"/>
      <c r="KO75" s="41" t="b">
        <f aca="false">TRUE()</f>
        <v>1</v>
      </c>
      <c r="KP75" s="39"/>
      <c r="KQ75" s="41" t="b">
        <f aca="false">TRUE()</f>
        <v>1</v>
      </c>
      <c r="KR75" s="39"/>
      <c r="KS75" s="39"/>
      <c r="KT75" s="41" t="b">
        <f aca="false">TRUE()</f>
        <v>1</v>
      </c>
      <c r="KU75" s="39"/>
    </row>
    <row r="76" customFormat="false" ht="14.4" hidden="false" customHeight="false" outlineLevel="0" collapsed="false">
      <c r="A76" s="37" t="s">
        <v>305</v>
      </c>
      <c r="B76" s="37" t="s">
        <v>1911</v>
      </c>
      <c r="C76" s="37"/>
      <c r="D76" s="37"/>
      <c r="E76" s="37"/>
      <c r="F76" s="37" t="s">
        <v>1912</v>
      </c>
      <c r="G76" s="37" t="s">
        <v>1913</v>
      </c>
      <c r="H76" s="37" t="s">
        <v>1914</v>
      </c>
      <c r="I76" s="37" t="s">
        <v>310</v>
      </c>
      <c r="J76" s="37" t="s">
        <v>311</v>
      </c>
      <c r="K76" s="37"/>
      <c r="L76" s="37"/>
      <c r="M76" s="37"/>
      <c r="N76" s="37"/>
      <c r="O76" s="37" t="s">
        <v>1915</v>
      </c>
      <c r="P76" s="37" t="s">
        <v>1916</v>
      </c>
      <c r="Q76" s="37" t="s">
        <v>1917</v>
      </c>
      <c r="R76" s="37" t="s">
        <v>1918</v>
      </c>
      <c r="S76" s="37" t="s">
        <v>1919</v>
      </c>
      <c r="T76" s="37" t="s">
        <v>1920</v>
      </c>
      <c r="U76" s="37" t="s">
        <v>1921</v>
      </c>
      <c r="V76" s="37" t="s">
        <v>1922</v>
      </c>
      <c r="W76" s="37" t="s">
        <v>1923</v>
      </c>
      <c r="X76" s="37"/>
      <c r="Y76" s="37"/>
      <c r="Z76" s="37"/>
      <c r="AA76" s="37" t="n">
        <v>55</v>
      </c>
      <c r="AB76" s="37" t="n">
        <v>86</v>
      </c>
      <c r="AC76" s="37" t="n">
        <v>89</v>
      </c>
      <c r="AD76" s="37" t="n">
        <v>6</v>
      </c>
      <c r="AE76" s="37" t="n">
        <v>50</v>
      </c>
      <c r="AF76" s="37" t="s">
        <v>1511</v>
      </c>
      <c r="AG76" s="37" t="s">
        <v>1065</v>
      </c>
      <c r="AH76" s="37" t="s">
        <v>1512</v>
      </c>
      <c r="AI76" s="37" t="s">
        <v>1924</v>
      </c>
      <c r="AJ76" s="37" t="s">
        <v>1925</v>
      </c>
      <c r="AK76" s="37"/>
      <c r="AL76" s="37" t="s">
        <v>1926</v>
      </c>
      <c r="AM76" s="37" t="s">
        <v>1927</v>
      </c>
      <c r="AN76" s="37" t="s">
        <v>1928</v>
      </c>
      <c r="AO76" s="37" t="n">
        <v>2021</v>
      </c>
      <c r="AP76" s="37" t="n">
        <v>170</v>
      </c>
      <c r="AQ76" s="37"/>
      <c r="AR76" s="37"/>
      <c r="AS76" s="37"/>
      <c r="AT76" s="37"/>
      <c r="AU76" s="37" t="n">
        <v>114498</v>
      </c>
      <c r="AV76" s="37" t="s">
        <v>1929</v>
      </c>
      <c r="AW76" s="37" t="str">
        <f aca="false">HYPERLINK("http://dx.doi.org/10.1016/j.eswa.2020.114498","http://dx.doi.org/10.1016/j.eswa.2020.114498")</f>
        <v>http://dx.doi.org/10.1016/j.eswa.2020.114498</v>
      </c>
      <c r="AX76" s="37" t="s">
        <v>1930</v>
      </c>
      <c r="AY76" s="37" t="n">
        <v>11</v>
      </c>
      <c r="AZ76" s="37" t="s">
        <v>1931</v>
      </c>
      <c r="BA76" s="37" t="s">
        <v>331</v>
      </c>
      <c r="BB76" s="37" t="s">
        <v>1932</v>
      </c>
      <c r="BC76" s="37" t="s">
        <v>1933</v>
      </c>
      <c r="BD76" s="37"/>
      <c r="BE76" s="37"/>
      <c r="BF76" s="37" t="s">
        <v>334</v>
      </c>
      <c r="BG76" s="37" t="s">
        <v>1934</v>
      </c>
      <c r="BH76" s="37" t="str">
        <f aca="false">HYPERLINK("https%3A%2F%2Fwww.webofscience.com%2Fwos%2Fwoscc%2Ffull-record%2FWOS:000626414500001","View Full Record in Web of Science")</f>
        <v>View Full Record in Web of Science</v>
      </c>
      <c r="BI76" s="41" t="b">
        <f aca="false">TRUE()</f>
        <v>1</v>
      </c>
      <c r="BJ76" s="39"/>
      <c r="BK76" s="39"/>
      <c r="BL76" s="39"/>
      <c r="BM76" s="39"/>
      <c r="BN76" s="39"/>
      <c r="BO76" s="39"/>
      <c r="BP76" s="41" t="b">
        <f aca="false">TRUE()</f>
        <v>1</v>
      </c>
      <c r="BQ76" s="39"/>
      <c r="BR76" s="41" t="b">
        <f aca="false">TRUE()</f>
        <v>1</v>
      </c>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41" t="b">
        <f aca="false">TRUE()</f>
        <v>1</v>
      </c>
      <c r="CQ76" s="39"/>
      <c r="CR76" s="39"/>
      <c r="CS76" s="39"/>
      <c r="CT76" s="39"/>
      <c r="CU76" s="39"/>
      <c r="CV76" s="39"/>
      <c r="CW76" s="41" t="b">
        <f aca="false">TRUE()</f>
        <v>1</v>
      </c>
      <c r="CX76" s="39"/>
      <c r="CY76" s="39"/>
      <c r="CZ76" s="41" t="b">
        <f aca="false">TRUE()</f>
        <v>1</v>
      </c>
      <c r="DA76" s="39"/>
      <c r="DB76" s="39"/>
      <c r="DC76" s="39"/>
      <c r="DD76" s="39"/>
      <c r="DE76" s="41" t="b">
        <f aca="false">TRUE()</f>
        <v>1</v>
      </c>
      <c r="DF76" s="39"/>
      <c r="DG76" s="39"/>
      <c r="DH76" s="39"/>
      <c r="DI76" s="39"/>
      <c r="DJ76" s="39"/>
      <c r="DK76" s="39"/>
      <c r="DL76" s="39"/>
      <c r="DM76" s="39"/>
      <c r="DN76" s="39"/>
      <c r="DO76" s="39"/>
      <c r="DP76" s="39"/>
      <c r="DQ76" s="39"/>
      <c r="DR76" s="39"/>
      <c r="DS76" s="39"/>
      <c r="DT76" s="41" t="b">
        <f aca="false">TRUE()</f>
        <v>1</v>
      </c>
      <c r="DU76" s="39"/>
      <c r="DV76" s="39"/>
      <c r="DW76" s="39"/>
      <c r="DX76" s="39"/>
      <c r="DY76" s="39"/>
      <c r="DZ76" s="39"/>
      <c r="EA76" s="41" t="b">
        <f aca="false">TRUE()</f>
        <v>1</v>
      </c>
      <c r="EB76" s="39"/>
      <c r="EC76" s="39"/>
      <c r="ED76" s="39"/>
      <c r="EE76" s="39"/>
      <c r="EF76" s="39"/>
      <c r="EG76" s="39"/>
      <c r="EH76" s="39"/>
      <c r="EI76" s="39"/>
      <c r="EJ76" s="39"/>
      <c r="EK76" s="39"/>
      <c r="EL76" s="39"/>
      <c r="EM76" s="39"/>
      <c r="EN76" s="39"/>
      <c r="EO76" s="39"/>
      <c r="EP76" s="39"/>
      <c r="EQ76" s="39"/>
      <c r="ER76" s="39"/>
      <c r="ES76" s="39"/>
      <c r="ET76" s="39"/>
      <c r="EU76" s="39"/>
      <c r="EV76" s="39"/>
      <c r="EW76" s="39"/>
      <c r="EX76" s="39"/>
      <c r="EY76" s="41" t="b">
        <f aca="false">TRUE()</f>
        <v>1</v>
      </c>
      <c r="EZ76" s="39"/>
      <c r="FA76" s="39"/>
      <c r="FB76" s="39"/>
      <c r="FC76" s="39"/>
      <c r="FD76" s="39"/>
      <c r="FE76" s="39"/>
      <c r="FF76" s="39"/>
      <c r="FG76" s="39"/>
      <c r="FH76" s="39"/>
      <c r="FI76" s="39"/>
      <c r="FJ76" s="39"/>
      <c r="FK76" s="39"/>
      <c r="FL76" s="39"/>
      <c r="FM76" s="39"/>
      <c r="FN76" s="39"/>
      <c r="FO76" s="39"/>
      <c r="FP76" s="39"/>
      <c r="FQ76" s="39"/>
      <c r="FR76" s="39"/>
      <c r="FS76" s="39"/>
      <c r="FT76" s="39"/>
      <c r="FU76" s="39"/>
      <c r="FV76" s="39"/>
      <c r="FW76" s="39"/>
      <c r="FX76" s="39"/>
      <c r="FY76" s="39"/>
      <c r="FZ76" s="39"/>
      <c r="GA76" s="39"/>
      <c r="GB76" s="39"/>
      <c r="GC76" s="39"/>
      <c r="GD76" s="39"/>
      <c r="GE76" s="39"/>
      <c r="GF76" s="39"/>
      <c r="GG76" s="39"/>
      <c r="GH76" s="39"/>
      <c r="GI76" s="39"/>
      <c r="GJ76" s="39"/>
      <c r="GK76" s="39"/>
      <c r="GL76" s="39"/>
      <c r="GM76" s="39"/>
      <c r="GN76" s="39"/>
      <c r="GO76" s="39"/>
      <c r="GP76" s="39"/>
      <c r="GQ76" s="39"/>
      <c r="GR76" s="39"/>
      <c r="GS76" s="39"/>
      <c r="GT76" s="39"/>
      <c r="GU76" s="39"/>
      <c r="GV76" s="39"/>
      <c r="GW76" s="39"/>
      <c r="GX76" s="39"/>
      <c r="GY76" s="39"/>
      <c r="GZ76" s="39"/>
      <c r="HA76" s="39"/>
      <c r="HB76" s="39"/>
      <c r="HC76" s="39"/>
      <c r="HD76" s="39"/>
      <c r="HE76" s="39"/>
      <c r="HF76" s="39"/>
      <c r="HG76" s="39"/>
      <c r="HH76" s="39"/>
      <c r="HI76" s="39"/>
      <c r="HJ76" s="39"/>
      <c r="HK76" s="41" t="b">
        <f aca="false">TRUE()</f>
        <v>1</v>
      </c>
      <c r="HL76" s="39"/>
      <c r="HM76" s="39"/>
      <c r="HN76" s="39"/>
      <c r="HO76" s="39"/>
      <c r="HP76" s="39"/>
      <c r="HQ76" s="39"/>
      <c r="HR76" s="39"/>
      <c r="HS76" s="39"/>
      <c r="HT76" s="39"/>
      <c r="HU76" s="39"/>
      <c r="HV76" s="39"/>
      <c r="HW76" s="39"/>
      <c r="HX76" s="39"/>
      <c r="HY76" s="39"/>
      <c r="HZ76" s="39"/>
      <c r="IA76" s="39"/>
      <c r="IB76" s="39"/>
      <c r="IC76" s="41" t="b">
        <f aca="false">TRUE()</f>
        <v>1</v>
      </c>
      <c r="ID76" s="39"/>
      <c r="IE76" s="39"/>
      <c r="IF76" s="39"/>
      <c r="IG76" s="39"/>
      <c r="IH76" s="39"/>
      <c r="II76" s="39"/>
      <c r="IJ76" s="39"/>
      <c r="IK76" s="39"/>
      <c r="IL76" s="39"/>
      <c r="IM76" s="39"/>
      <c r="IN76" s="39"/>
      <c r="IO76" s="39"/>
      <c r="IP76" s="39"/>
      <c r="IQ76" s="39"/>
      <c r="IR76" s="39"/>
      <c r="IS76" s="39"/>
      <c r="IT76" s="39"/>
      <c r="IU76" s="39"/>
      <c r="IV76" s="39"/>
      <c r="IW76" s="39"/>
      <c r="IX76" s="39"/>
      <c r="IY76" s="39"/>
      <c r="IZ76" s="39"/>
      <c r="JA76" s="39"/>
      <c r="JB76" s="39"/>
      <c r="JC76" s="39"/>
      <c r="JD76" s="39"/>
      <c r="JE76" s="39"/>
      <c r="JF76" s="39"/>
      <c r="JG76" s="39"/>
      <c r="JH76" s="39"/>
      <c r="JI76" s="39"/>
      <c r="JJ76" s="39"/>
      <c r="JK76" s="39"/>
      <c r="JL76" s="39"/>
      <c r="JM76" s="39"/>
      <c r="JN76" s="39"/>
      <c r="JO76" s="39"/>
      <c r="JP76" s="39"/>
      <c r="JQ76" s="39"/>
      <c r="JR76" s="39"/>
      <c r="JS76" s="39"/>
      <c r="JT76" s="41" t="b">
        <f aca="false">TRUE()</f>
        <v>1</v>
      </c>
      <c r="JU76" s="39"/>
      <c r="JV76" s="39"/>
      <c r="JW76" s="39"/>
      <c r="JX76" s="39"/>
      <c r="JY76" s="39"/>
      <c r="JZ76" s="39"/>
      <c r="KA76" s="39"/>
      <c r="KB76" s="39"/>
      <c r="KC76" s="39"/>
      <c r="KD76" s="39"/>
      <c r="KE76" s="39"/>
      <c r="KF76" s="39"/>
      <c r="KG76" s="41" t="b">
        <f aca="false">TRUE()</f>
        <v>1</v>
      </c>
      <c r="KH76" s="39"/>
      <c r="KI76" s="39"/>
      <c r="KJ76" s="39"/>
      <c r="KK76" s="39"/>
      <c r="KL76" s="39"/>
      <c r="KM76" s="39"/>
      <c r="KN76" s="39"/>
      <c r="KO76" s="39"/>
      <c r="KP76" s="39"/>
      <c r="KQ76" s="39"/>
      <c r="KR76" s="39"/>
      <c r="KS76" s="39"/>
      <c r="KT76" s="39"/>
      <c r="KU76" s="39"/>
    </row>
    <row r="77" customFormat="false" ht="14.4" hidden="false" customHeight="false" outlineLevel="0" collapsed="false">
      <c r="A77" s="37" t="s">
        <v>305</v>
      </c>
      <c r="B77" s="37" t="s">
        <v>1935</v>
      </c>
      <c r="C77" s="37"/>
      <c r="D77" s="37"/>
      <c r="E77" s="37"/>
      <c r="F77" s="37" t="s">
        <v>1936</v>
      </c>
      <c r="G77" s="37" t="s">
        <v>1937</v>
      </c>
      <c r="H77" s="37" t="s">
        <v>1453</v>
      </c>
      <c r="I77" s="37" t="s">
        <v>310</v>
      </c>
      <c r="J77" s="37" t="s">
        <v>311</v>
      </c>
      <c r="K77" s="37"/>
      <c r="L77" s="37"/>
      <c r="M77" s="37"/>
      <c r="N77" s="37"/>
      <c r="O77" s="37" t="s">
        <v>1938</v>
      </c>
      <c r="P77" s="37" t="s">
        <v>1939</v>
      </c>
      <c r="Q77" s="37" t="s">
        <v>1940</v>
      </c>
      <c r="R77" s="37" t="s">
        <v>1941</v>
      </c>
      <c r="S77" s="37" t="s">
        <v>1942</v>
      </c>
      <c r="T77" s="37" t="s">
        <v>1943</v>
      </c>
      <c r="U77" s="37" t="s">
        <v>1944</v>
      </c>
      <c r="V77" s="37" t="s">
        <v>1945</v>
      </c>
      <c r="W77" s="37" t="s">
        <v>1946</v>
      </c>
      <c r="X77" s="37" t="s">
        <v>1947</v>
      </c>
      <c r="Y77" s="37" t="s">
        <v>1948</v>
      </c>
      <c r="Z77" s="37" t="s">
        <v>1949</v>
      </c>
      <c r="AA77" s="37" t="n">
        <v>101</v>
      </c>
      <c r="AB77" s="37" t="n">
        <v>42</v>
      </c>
      <c r="AC77" s="37" t="n">
        <v>44</v>
      </c>
      <c r="AD77" s="37" t="n">
        <v>20</v>
      </c>
      <c r="AE77" s="37" t="n">
        <v>137</v>
      </c>
      <c r="AF77" s="37" t="s">
        <v>546</v>
      </c>
      <c r="AG77" s="37" t="s">
        <v>547</v>
      </c>
      <c r="AH77" s="37" t="s">
        <v>548</v>
      </c>
      <c r="AI77" s="37"/>
      <c r="AJ77" s="37" t="s">
        <v>1465</v>
      </c>
      <c r="AK77" s="37"/>
      <c r="AL77" s="37" t="s">
        <v>1466</v>
      </c>
      <c r="AM77" s="37" t="s">
        <v>1467</v>
      </c>
      <c r="AN77" s="37" t="s">
        <v>775</v>
      </c>
      <c r="AO77" s="37" t="n">
        <v>2021</v>
      </c>
      <c r="AP77" s="37" t="n">
        <v>13</v>
      </c>
      <c r="AQ77" s="37" t="n">
        <v>9</v>
      </c>
      <c r="AR77" s="37"/>
      <c r="AS77" s="37"/>
      <c r="AT77" s="37"/>
      <c r="AU77" s="37" t="n">
        <v>1715</v>
      </c>
      <c r="AV77" s="37" t="s">
        <v>1950</v>
      </c>
      <c r="AW77" s="37" t="str">
        <f aca="false">HYPERLINK("http://dx.doi.org/10.3390/rs13091715","http://dx.doi.org/10.3390/rs13091715")</f>
        <v>http://dx.doi.org/10.3390/rs13091715</v>
      </c>
      <c r="AX77" s="37"/>
      <c r="AY77" s="37" t="n">
        <v>28</v>
      </c>
      <c r="AZ77" s="37" t="s">
        <v>1469</v>
      </c>
      <c r="BA77" s="37" t="s">
        <v>331</v>
      </c>
      <c r="BB77" s="37" t="s">
        <v>1470</v>
      </c>
      <c r="BC77" s="37" t="s">
        <v>1951</v>
      </c>
      <c r="BD77" s="37"/>
      <c r="BE77" s="37" t="s">
        <v>503</v>
      </c>
      <c r="BF77" s="37" t="s">
        <v>334</v>
      </c>
      <c r="BG77" s="37" t="s">
        <v>1952</v>
      </c>
      <c r="BH77" s="37" t="str">
        <f aca="false">HYPERLINK("https%3A%2F%2Fwww.webofscience.com%2Fwos%2Fwoscc%2Ffull-record%2FWOS:000650750700001","View Full Record in Web of Science")</f>
        <v>View Full Record in Web of Science</v>
      </c>
      <c r="BI77" s="41" t="b">
        <f aca="false">TRUE()</f>
        <v>1</v>
      </c>
      <c r="BJ77" s="39"/>
      <c r="BK77" s="39"/>
      <c r="BL77" s="39"/>
      <c r="BM77" s="39"/>
      <c r="BN77" s="39"/>
      <c r="BO77" s="39"/>
      <c r="BP77" s="39"/>
      <c r="BQ77" s="39"/>
      <c r="BR77" s="39"/>
      <c r="BS77" s="39"/>
      <c r="BT77" s="39"/>
      <c r="BU77" s="39"/>
      <c r="BV77" s="39"/>
      <c r="BW77" s="39"/>
      <c r="BX77" s="39"/>
      <c r="BY77" s="39"/>
      <c r="BZ77" s="39"/>
      <c r="CA77" s="39"/>
      <c r="CB77" s="39"/>
      <c r="CC77" s="39"/>
      <c r="CD77" s="39"/>
      <c r="CE77" s="39"/>
      <c r="CF77" s="39"/>
      <c r="CG77" s="39"/>
      <c r="CH77" s="39"/>
      <c r="CI77" s="39"/>
      <c r="CJ77" s="39"/>
      <c r="CK77" s="39"/>
      <c r="CL77" s="39"/>
      <c r="CM77" s="39"/>
      <c r="CN77" s="39"/>
      <c r="CO77" s="39"/>
      <c r="CP77" s="39"/>
      <c r="CQ77" s="39"/>
      <c r="CR77" s="39"/>
      <c r="CS77" s="39"/>
      <c r="CT77" s="39"/>
      <c r="CU77" s="39"/>
      <c r="CV77" s="39"/>
      <c r="CW77" s="39"/>
      <c r="CX77" s="41" t="b">
        <f aca="false">TRUE()</f>
        <v>1</v>
      </c>
      <c r="CY77" s="39"/>
      <c r="CZ77" s="41" t="b">
        <f aca="false">TRUE()</f>
        <v>1</v>
      </c>
      <c r="DA77" s="39"/>
      <c r="DB77" s="39"/>
      <c r="DC77" s="39"/>
      <c r="DD77" s="39"/>
      <c r="DE77" s="39"/>
      <c r="DF77" s="39"/>
      <c r="DG77" s="39"/>
      <c r="DH77" s="39"/>
      <c r="DI77" s="39"/>
      <c r="DJ77" s="39"/>
      <c r="DK77" s="39"/>
      <c r="DL77" s="39"/>
      <c r="DM77" s="39"/>
      <c r="DN77" s="39"/>
      <c r="DO77" s="39"/>
      <c r="DP77" s="39"/>
      <c r="DQ77" s="39"/>
      <c r="DR77" s="39"/>
      <c r="DS77" s="39"/>
      <c r="DT77" s="39"/>
      <c r="DU77" s="39"/>
      <c r="DV77" s="39"/>
      <c r="DW77" s="39"/>
      <c r="DX77" s="39"/>
      <c r="DY77" s="39"/>
      <c r="DZ77" s="39"/>
      <c r="EA77" s="41" t="b">
        <f aca="false">TRUE()</f>
        <v>1</v>
      </c>
      <c r="EB77" s="39"/>
      <c r="EC77" s="39"/>
      <c r="ED77" s="39"/>
      <c r="EE77" s="39"/>
      <c r="EF77" s="39"/>
      <c r="EG77" s="39"/>
      <c r="EH77" s="39"/>
      <c r="EI77" s="39"/>
      <c r="EJ77" s="39"/>
      <c r="EK77" s="39"/>
      <c r="EL77" s="39"/>
      <c r="EM77" s="39"/>
      <c r="EN77" s="39"/>
      <c r="EO77" s="39"/>
      <c r="EP77" s="39"/>
      <c r="EQ77" s="39"/>
      <c r="ER77" s="39"/>
      <c r="ES77" s="39"/>
      <c r="ET77" s="39"/>
      <c r="EU77" s="39"/>
      <c r="EV77" s="39"/>
      <c r="EW77" s="39"/>
      <c r="EX77" s="39"/>
      <c r="EY77" s="41" t="b">
        <f aca="false">TRUE()</f>
        <v>1</v>
      </c>
      <c r="EZ77" s="39"/>
      <c r="FA77" s="39"/>
      <c r="FB77" s="39"/>
      <c r="FC77" s="39"/>
      <c r="FD77" s="39"/>
      <c r="FE77" s="39"/>
      <c r="FF77" s="39"/>
      <c r="FG77" s="39"/>
      <c r="FH77" s="39"/>
      <c r="FI77" s="39"/>
      <c r="FJ77" s="39"/>
      <c r="FK77" s="41" t="b">
        <f aca="false">TRUE()</f>
        <v>1</v>
      </c>
      <c r="FL77" s="39"/>
      <c r="FM77" s="39"/>
      <c r="FN77" s="39"/>
      <c r="FO77" s="39"/>
      <c r="FP77" s="39"/>
      <c r="FQ77" s="39"/>
      <c r="FR77" s="39"/>
      <c r="FS77" s="39"/>
      <c r="FT77" s="39"/>
      <c r="FU77" s="39"/>
      <c r="FV77" s="39"/>
      <c r="FW77" s="39"/>
      <c r="FX77" s="39"/>
      <c r="FY77" s="39"/>
      <c r="FZ77" s="39"/>
      <c r="GA77" s="39"/>
      <c r="GB77" s="39"/>
      <c r="GC77" s="39"/>
      <c r="GD77" s="39"/>
      <c r="GE77" s="39"/>
      <c r="GF77" s="41" t="b">
        <f aca="false">TRUE()</f>
        <v>1</v>
      </c>
      <c r="GG77" s="39"/>
      <c r="GH77" s="39"/>
      <c r="GI77" s="39"/>
      <c r="GJ77" s="39"/>
      <c r="GK77" s="39"/>
      <c r="GL77" s="39"/>
      <c r="GM77" s="39"/>
      <c r="GN77" s="39"/>
      <c r="GO77" s="39"/>
      <c r="GP77" s="39"/>
      <c r="GQ77" s="41" t="b">
        <f aca="false">TRUE()</f>
        <v>1</v>
      </c>
      <c r="GR77" s="39"/>
      <c r="GS77" s="39"/>
      <c r="GT77" s="39"/>
      <c r="GU77" s="39"/>
      <c r="GV77" s="39"/>
      <c r="GW77" s="39"/>
      <c r="GX77" s="39"/>
      <c r="GY77" s="39"/>
      <c r="GZ77" s="39"/>
      <c r="HA77" s="39"/>
      <c r="HB77" s="39"/>
      <c r="HC77" s="39"/>
      <c r="HD77" s="39"/>
      <c r="HE77" s="39"/>
      <c r="HF77" s="39"/>
      <c r="HG77" s="39"/>
      <c r="HH77" s="39"/>
      <c r="HI77" s="39"/>
      <c r="HJ77" s="39"/>
      <c r="HK77" s="39"/>
      <c r="HL77" s="39"/>
      <c r="HM77" s="39"/>
      <c r="HN77" s="39"/>
      <c r="HO77" s="39"/>
      <c r="HP77" s="39"/>
      <c r="HQ77" s="39"/>
      <c r="HR77" s="39"/>
      <c r="HS77" s="39"/>
      <c r="HT77" s="39"/>
      <c r="HU77" s="39"/>
      <c r="HV77" s="39"/>
      <c r="HW77" s="39"/>
      <c r="HX77" s="39"/>
      <c r="HY77" s="39"/>
      <c r="HZ77" s="39"/>
      <c r="IA77" s="39"/>
      <c r="IB77" s="39"/>
      <c r="IC77" s="39"/>
      <c r="ID77" s="39"/>
      <c r="IE77" s="39"/>
      <c r="IF77" s="41" t="b">
        <f aca="false">TRUE()</f>
        <v>1</v>
      </c>
      <c r="IG77" s="39"/>
      <c r="IH77" s="41" t="b">
        <f aca="false">TRUE()</f>
        <v>1</v>
      </c>
      <c r="II77" s="41" t="b">
        <f aca="false">TRUE()</f>
        <v>1</v>
      </c>
      <c r="IJ77" s="39"/>
      <c r="IK77" s="39"/>
      <c r="IL77" s="39"/>
      <c r="IM77" s="39"/>
      <c r="IN77" s="39"/>
      <c r="IO77" s="39"/>
      <c r="IP77" s="39"/>
      <c r="IQ77" s="39"/>
      <c r="IR77" s="39"/>
      <c r="IS77" s="39"/>
      <c r="IT77" s="39"/>
      <c r="IU77" s="39"/>
      <c r="IV77" s="39"/>
      <c r="IW77" s="39"/>
      <c r="IX77" s="39"/>
      <c r="IY77" s="39"/>
      <c r="IZ77" s="39"/>
      <c r="JA77" s="39"/>
      <c r="JB77" s="39"/>
      <c r="JC77" s="39"/>
      <c r="JD77" s="39"/>
      <c r="JE77" s="39"/>
      <c r="JF77" s="39"/>
      <c r="JG77" s="39"/>
      <c r="JH77" s="39"/>
      <c r="JI77" s="39"/>
      <c r="JJ77" s="39"/>
      <c r="JK77" s="39"/>
      <c r="JL77" s="39"/>
      <c r="JM77" s="39"/>
      <c r="JN77" s="39"/>
      <c r="JO77" s="39"/>
      <c r="JP77" s="39"/>
      <c r="JQ77" s="39"/>
      <c r="JR77" s="39"/>
      <c r="JS77" s="39"/>
      <c r="JT77" s="41" t="b">
        <f aca="false">TRUE()</f>
        <v>1</v>
      </c>
      <c r="JU77" s="41" t="b">
        <f aca="false">TRUE()</f>
        <v>1</v>
      </c>
      <c r="JV77" s="39"/>
      <c r="JW77" s="39"/>
      <c r="JX77" s="39"/>
      <c r="JY77" s="39"/>
      <c r="JZ77" s="39"/>
      <c r="KA77" s="39"/>
      <c r="KB77" s="39"/>
      <c r="KC77" s="39"/>
      <c r="KD77" s="39"/>
      <c r="KE77" s="39"/>
      <c r="KF77" s="39"/>
      <c r="KG77" s="39"/>
      <c r="KH77" s="39"/>
      <c r="KI77" s="39"/>
      <c r="KJ77" s="39"/>
      <c r="KK77" s="39"/>
      <c r="KL77" s="39"/>
      <c r="KM77" s="39"/>
      <c r="KN77" s="39"/>
      <c r="KO77" s="39"/>
      <c r="KP77" s="39"/>
      <c r="KQ77" s="41" t="b">
        <f aca="false">TRUE()</f>
        <v>1</v>
      </c>
      <c r="KR77" s="39"/>
      <c r="KS77" s="39"/>
      <c r="KT77" s="41" t="b">
        <f aca="false">TRUE()</f>
        <v>1</v>
      </c>
      <c r="KU77" s="39"/>
    </row>
    <row r="78" customFormat="false" ht="14.4" hidden="false" customHeight="false" outlineLevel="0" collapsed="false">
      <c r="A78" s="37" t="s">
        <v>305</v>
      </c>
      <c r="B78" s="37" t="s">
        <v>1953</v>
      </c>
      <c r="C78" s="37"/>
      <c r="D78" s="37"/>
      <c r="E78" s="37"/>
      <c r="F78" s="37" t="s">
        <v>1954</v>
      </c>
      <c r="G78" s="37" t="s">
        <v>1955</v>
      </c>
      <c r="H78" s="37" t="s">
        <v>733</v>
      </c>
      <c r="I78" s="37" t="s">
        <v>310</v>
      </c>
      <c r="J78" s="37" t="s">
        <v>311</v>
      </c>
      <c r="K78" s="37"/>
      <c r="L78" s="37"/>
      <c r="M78" s="37"/>
      <c r="N78" s="37"/>
      <c r="O78" s="37" t="s">
        <v>1956</v>
      </c>
      <c r="P78" s="37" t="s">
        <v>1957</v>
      </c>
      <c r="Q78" s="37" t="s">
        <v>1958</v>
      </c>
      <c r="R78" s="37" t="s">
        <v>1959</v>
      </c>
      <c r="S78" s="37" t="s">
        <v>1960</v>
      </c>
      <c r="T78" s="37" t="s">
        <v>1961</v>
      </c>
      <c r="U78" s="37" t="s">
        <v>1962</v>
      </c>
      <c r="V78" s="37"/>
      <c r="W78" s="37"/>
      <c r="X78" s="37" t="s">
        <v>1963</v>
      </c>
      <c r="Y78" s="37" t="s">
        <v>1964</v>
      </c>
      <c r="Z78" s="37" t="s">
        <v>1965</v>
      </c>
      <c r="AA78" s="37" t="n">
        <v>97</v>
      </c>
      <c r="AB78" s="37" t="n">
        <v>0</v>
      </c>
      <c r="AC78" s="37" t="n">
        <v>0</v>
      </c>
      <c r="AD78" s="37" t="n">
        <v>6</v>
      </c>
      <c r="AE78" s="37" t="n">
        <v>6</v>
      </c>
      <c r="AF78" s="37" t="s">
        <v>353</v>
      </c>
      <c r="AG78" s="37" t="s">
        <v>354</v>
      </c>
      <c r="AH78" s="37" t="s">
        <v>355</v>
      </c>
      <c r="AI78" s="37" t="s">
        <v>745</v>
      </c>
      <c r="AJ78" s="37" t="s">
        <v>746</v>
      </c>
      <c r="AK78" s="37"/>
      <c r="AL78" s="37" t="s">
        <v>747</v>
      </c>
      <c r="AM78" s="37" t="s">
        <v>748</v>
      </c>
      <c r="AN78" s="37" t="s">
        <v>1329</v>
      </c>
      <c r="AO78" s="37" t="n">
        <v>2025</v>
      </c>
      <c r="AP78" s="37" t="n">
        <v>307</v>
      </c>
      <c r="AQ78" s="37"/>
      <c r="AR78" s="37"/>
      <c r="AS78" s="37"/>
      <c r="AT78" s="37"/>
      <c r="AU78" s="37" t="n">
        <v>109268</v>
      </c>
      <c r="AV78" s="37" t="s">
        <v>1966</v>
      </c>
      <c r="AW78" s="37" t="str">
        <f aca="false">HYPERLINK("http://dx.doi.org/10.1016/j.agwat.2024.109268","http://dx.doi.org/10.1016/j.agwat.2024.109268")</f>
        <v>http://dx.doi.org/10.1016/j.agwat.2024.109268</v>
      </c>
      <c r="AX78" s="37" t="s">
        <v>1967</v>
      </c>
      <c r="AY78" s="37" t="n">
        <v>17</v>
      </c>
      <c r="AZ78" s="37" t="s">
        <v>438</v>
      </c>
      <c r="BA78" s="37" t="s">
        <v>331</v>
      </c>
      <c r="BB78" s="37" t="s">
        <v>439</v>
      </c>
      <c r="BC78" s="37" t="s">
        <v>1968</v>
      </c>
      <c r="BD78" s="37"/>
      <c r="BE78" s="37" t="s">
        <v>684</v>
      </c>
      <c r="BF78" s="37" t="s">
        <v>334</v>
      </c>
      <c r="BG78" s="37" t="s">
        <v>1969</v>
      </c>
      <c r="BH78" s="37" t="str">
        <f aca="false">HYPERLINK("https%3A%2F%2Fwww.webofscience.com%2Fwos%2Fwoscc%2Ffull-record%2FWOS:001394404100001","View Full Record in Web of Science")</f>
        <v>View Full Record in Web of Science</v>
      </c>
      <c r="BI78" s="39"/>
      <c r="BJ78" s="39"/>
      <c r="BK78" s="39"/>
      <c r="BL78" s="39"/>
      <c r="BM78" s="39"/>
      <c r="BN78" s="39"/>
      <c r="BO78" s="39"/>
      <c r="BP78" s="39"/>
      <c r="BQ78" s="39"/>
      <c r="BR78" s="41" t="b">
        <f aca="false">TRUE()</f>
        <v>1</v>
      </c>
      <c r="BS78" s="41" t="b">
        <f aca="false">TRUE()</f>
        <v>1</v>
      </c>
      <c r="BT78" s="41" t="b">
        <f aca="false">TRUE()</f>
        <v>1</v>
      </c>
      <c r="BU78" s="39"/>
      <c r="BV78" s="39"/>
      <c r="BW78" s="39"/>
      <c r="BX78" s="39"/>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41" t="b">
        <f aca="false">TRUE()</f>
        <v>1</v>
      </c>
      <c r="DU78" s="39"/>
      <c r="DV78" s="39"/>
      <c r="DW78" s="39"/>
      <c r="DX78" s="39"/>
      <c r="DY78" s="39"/>
      <c r="DZ78" s="39"/>
      <c r="EA78" s="41" t="b">
        <f aca="false">TRUE()</f>
        <v>1</v>
      </c>
      <c r="EB78" s="39"/>
      <c r="EC78" s="39"/>
      <c r="ED78" s="39"/>
      <c r="EE78" s="39"/>
      <c r="EF78" s="39"/>
      <c r="EG78" s="39"/>
      <c r="EH78" s="39"/>
      <c r="EI78" s="41" t="b">
        <f aca="false">TRUE()</f>
        <v>1</v>
      </c>
      <c r="EJ78" s="39"/>
      <c r="EK78" s="39"/>
      <c r="EL78" s="39"/>
      <c r="EM78" s="39"/>
      <c r="EN78" s="39"/>
      <c r="EO78" s="39"/>
      <c r="EP78" s="39"/>
      <c r="EQ78" s="39"/>
      <c r="ER78" s="39"/>
      <c r="ES78" s="39"/>
      <c r="ET78" s="39"/>
      <c r="EU78" s="39"/>
      <c r="EV78" s="39"/>
      <c r="EW78" s="39"/>
      <c r="EX78" s="39"/>
      <c r="EY78" s="41" t="b">
        <f aca="false">TRUE()</f>
        <v>1</v>
      </c>
      <c r="EZ78" s="39"/>
      <c r="FA78" s="39"/>
      <c r="FB78" s="39"/>
      <c r="FC78" s="39"/>
      <c r="FD78" s="39"/>
      <c r="FE78" s="39"/>
      <c r="FF78" s="39"/>
      <c r="FG78" s="39"/>
      <c r="FH78" s="39"/>
      <c r="FI78" s="39"/>
      <c r="FJ78" s="39"/>
      <c r="FK78" s="39"/>
      <c r="FL78" s="39"/>
      <c r="FM78" s="39"/>
      <c r="FN78" s="39"/>
      <c r="FO78" s="39"/>
      <c r="FP78" s="39"/>
      <c r="FQ78" s="39"/>
      <c r="FR78" s="39"/>
      <c r="FS78" s="39"/>
      <c r="FT78" s="39"/>
      <c r="FU78" s="39"/>
      <c r="FV78" s="39"/>
      <c r="FW78" s="39"/>
      <c r="FX78" s="39"/>
      <c r="FY78" s="39"/>
      <c r="FZ78" s="39"/>
      <c r="GA78" s="39"/>
      <c r="GB78" s="39"/>
      <c r="GC78" s="39"/>
      <c r="GD78" s="39"/>
      <c r="GE78" s="39"/>
      <c r="GF78" s="39"/>
      <c r="GG78" s="39"/>
      <c r="GH78" s="39"/>
      <c r="GI78" s="39"/>
      <c r="GJ78" s="39"/>
      <c r="GK78" s="39"/>
      <c r="GL78" s="39"/>
      <c r="GM78" s="39"/>
      <c r="GN78" s="39"/>
      <c r="GO78" s="39"/>
      <c r="GP78" s="39"/>
      <c r="GQ78" s="39"/>
      <c r="GR78" s="39"/>
      <c r="GS78" s="39"/>
      <c r="GT78" s="39"/>
      <c r="GU78" s="39"/>
      <c r="GV78" s="39"/>
      <c r="GW78" s="39"/>
      <c r="GX78" s="39"/>
      <c r="GY78" s="39"/>
      <c r="GZ78" s="39"/>
      <c r="HA78" s="39"/>
      <c r="HB78" s="39"/>
      <c r="HC78" s="39"/>
      <c r="HD78" s="39"/>
      <c r="HE78" s="39"/>
      <c r="HF78" s="39"/>
      <c r="HG78" s="39"/>
      <c r="HH78" s="39"/>
      <c r="HI78" s="39"/>
      <c r="HJ78" s="39"/>
      <c r="HK78" s="41" t="b">
        <f aca="false">TRUE()</f>
        <v>1</v>
      </c>
      <c r="HL78" s="39"/>
      <c r="HM78" s="39"/>
      <c r="HN78" s="39"/>
      <c r="HO78" s="39"/>
      <c r="HP78" s="39"/>
      <c r="HQ78" s="39"/>
      <c r="HR78" s="39"/>
      <c r="HS78" s="39"/>
      <c r="HT78" s="39"/>
      <c r="HU78" s="39"/>
      <c r="HV78" s="39"/>
      <c r="HW78" s="39"/>
      <c r="HX78" s="39"/>
      <c r="HY78" s="39"/>
      <c r="HZ78" s="39"/>
      <c r="IA78" s="39"/>
      <c r="IB78" s="39"/>
      <c r="IC78" s="39"/>
      <c r="ID78" s="41" t="b">
        <f aca="false">TRUE()</f>
        <v>1</v>
      </c>
      <c r="IE78" s="39"/>
      <c r="IF78" s="39"/>
      <c r="IG78" s="39"/>
      <c r="IH78" s="39"/>
      <c r="II78" s="39"/>
      <c r="IJ78" s="39"/>
      <c r="IK78" s="39"/>
      <c r="IL78" s="39"/>
      <c r="IM78" s="39"/>
      <c r="IN78" s="39"/>
      <c r="IO78" s="39"/>
      <c r="IP78" s="39"/>
      <c r="IQ78" s="39"/>
      <c r="IR78" s="39"/>
      <c r="IS78" s="39"/>
      <c r="IT78" s="39"/>
      <c r="IU78" s="39"/>
      <c r="IV78" s="39"/>
      <c r="IW78" s="39"/>
      <c r="IX78" s="39"/>
      <c r="IY78" s="39"/>
      <c r="IZ78" s="39"/>
      <c r="JA78" s="39"/>
      <c r="JB78" s="39"/>
      <c r="JC78" s="39"/>
      <c r="JD78" s="39"/>
      <c r="JE78" s="39"/>
      <c r="JF78" s="39"/>
      <c r="JG78" s="39"/>
      <c r="JH78" s="41" t="b">
        <f aca="false">TRUE()</f>
        <v>1</v>
      </c>
      <c r="JI78" s="39"/>
      <c r="JJ78" s="39"/>
      <c r="JK78" s="39"/>
      <c r="JL78" s="39"/>
      <c r="JM78" s="39"/>
      <c r="JN78" s="39"/>
      <c r="JO78" s="39"/>
      <c r="JP78" s="39"/>
      <c r="JQ78" s="39"/>
      <c r="JR78" s="39"/>
      <c r="JS78" s="39"/>
      <c r="JT78" s="41" t="b">
        <f aca="false">TRUE()</f>
        <v>1</v>
      </c>
      <c r="JU78" s="39"/>
      <c r="JV78" s="39"/>
      <c r="JW78" s="39"/>
      <c r="JX78" s="39"/>
      <c r="JY78" s="39"/>
      <c r="JZ78" s="39"/>
      <c r="KA78" s="39"/>
      <c r="KB78" s="39"/>
      <c r="KC78" s="39"/>
      <c r="KD78" s="39"/>
      <c r="KE78" s="39"/>
      <c r="KF78" s="39"/>
      <c r="KG78" s="39"/>
      <c r="KH78" s="39"/>
      <c r="KI78" s="39"/>
      <c r="KJ78" s="39"/>
      <c r="KK78" s="39"/>
      <c r="KL78" s="39"/>
      <c r="KM78" s="39"/>
      <c r="KN78" s="39"/>
      <c r="KO78" s="41" t="b">
        <f aca="false">TRUE()</f>
        <v>1</v>
      </c>
      <c r="KP78" s="41" t="b">
        <f aca="false">TRUE()</f>
        <v>1</v>
      </c>
      <c r="KQ78" s="39"/>
      <c r="KR78" s="39"/>
      <c r="KS78" s="39"/>
      <c r="KT78" s="39"/>
      <c r="KU78" s="41" t="b">
        <f aca="false">TRUE()</f>
        <v>1</v>
      </c>
    </row>
    <row r="79" customFormat="false" ht="14.4" hidden="false" customHeight="false" outlineLevel="0" collapsed="false">
      <c r="A79" s="45" t="s">
        <v>505</v>
      </c>
      <c r="B79" s="45" t="s">
        <v>1970</v>
      </c>
      <c r="C79" s="45"/>
      <c r="D79" s="45"/>
      <c r="E79" s="45" t="s">
        <v>507</v>
      </c>
      <c r="F79" s="45" t="s">
        <v>1971</v>
      </c>
      <c r="G79" s="45" t="s">
        <v>1972</v>
      </c>
      <c r="H79" s="45" t="s">
        <v>510</v>
      </c>
      <c r="I79" s="45" t="s">
        <v>310</v>
      </c>
      <c r="J79" s="45" t="s">
        <v>511</v>
      </c>
      <c r="K79" s="45" t="s">
        <v>512</v>
      </c>
      <c r="L79" s="45" t="s">
        <v>513</v>
      </c>
      <c r="M79" s="45" t="s">
        <v>514</v>
      </c>
      <c r="N79" s="45" t="s">
        <v>515</v>
      </c>
      <c r="O79" s="45" t="s">
        <v>1973</v>
      </c>
      <c r="P79" s="45" t="s">
        <v>1974</v>
      </c>
      <c r="Q79" s="45" t="s">
        <v>1975</v>
      </c>
      <c r="R79" s="45" t="s">
        <v>1976</v>
      </c>
      <c r="S79" s="45" t="s">
        <v>1977</v>
      </c>
      <c r="T79" s="45" t="s">
        <v>1978</v>
      </c>
      <c r="U79" s="45" t="s">
        <v>1979</v>
      </c>
      <c r="V79" s="45" t="s">
        <v>1980</v>
      </c>
      <c r="W79" s="45" t="s">
        <v>1981</v>
      </c>
      <c r="X79" s="45" t="s">
        <v>1982</v>
      </c>
      <c r="Y79" s="45" t="s">
        <v>1983</v>
      </c>
      <c r="Z79" s="45" t="s">
        <v>1984</v>
      </c>
      <c r="AA79" s="45" t="n">
        <v>36</v>
      </c>
      <c r="AB79" s="45" t="n">
        <v>2</v>
      </c>
      <c r="AC79" s="45" t="n">
        <v>2</v>
      </c>
      <c r="AD79" s="45" t="n">
        <v>1</v>
      </c>
      <c r="AE79" s="45" t="n">
        <v>2</v>
      </c>
      <c r="AF79" s="45" t="s">
        <v>524</v>
      </c>
      <c r="AG79" s="45" t="s">
        <v>525</v>
      </c>
      <c r="AH79" s="45" t="s">
        <v>526</v>
      </c>
      <c r="AI79" s="45"/>
      <c r="AJ79" s="45"/>
      <c r="AK79" s="45" t="s">
        <v>527</v>
      </c>
      <c r="AL79" s="45"/>
      <c r="AM79" s="45"/>
      <c r="AN79" s="45"/>
      <c r="AO79" s="45" t="n">
        <v>2023</v>
      </c>
      <c r="AP79" s="45"/>
      <c r="AQ79" s="45"/>
      <c r="AR79" s="45"/>
      <c r="AS79" s="45" t="n">
        <v>441</v>
      </c>
      <c r="AT79" s="45" t="n">
        <v>448</v>
      </c>
      <c r="AU79" s="45"/>
      <c r="AV79" s="45" t="s">
        <v>1985</v>
      </c>
      <c r="AW79" s="45" t="str">
        <f aca="false">HYPERLINK("http://dx.doi.org/10.1145/3555776.3578634","http://dx.doi.org/10.1145/3555776.3578634")</f>
        <v>http://dx.doi.org/10.1145/3555776.3578634</v>
      </c>
      <c r="AX79" s="45"/>
      <c r="AY79" s="45" t="n">
        <v>8</v>
      </c>
      <c r="AZ79" s="45" t="s">
        <v>529</v>
      </c>
      <c r="BA79" s="45" t="s">
        <v>530</v>
      </c>
      <c r="BB79" s="45" t="s">
        <v>462</v>
      </c>
      <c r="BC79" s="45" t="s">
        <v>531</v>
      </c>
      <c r="BD79" s="45"/>
      <c r="BE79" s="45" t="s">
        <v>1986</v>
      </c>
      <c r="BF79" s="45" t="s">
        <v>334</v>
      </c>
      <c r="BG79" s="45" t="s">
        <v>1987</v>
      </c>
      <c r="BH79" s="45" t="str">
        <f aca="false">HYPERLINK("https%3A%2F%2Fwww.webofscience.com%2Fwos%2Fwoscc%2Ffull-record%2FWOS:001124308100065","View Full Record in Web of Science")</f>
        <v>View Full Record in Web of Science</v>
      </c>
      <c r="BI79" s="52" t="b">
        <f aca="false">TRUE()</f>
        <v>1</v>
      </c>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52" t="b">
        <f aca="false">TRUE()</f>
        <v>1</v>
      </c>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52" t="b">
        <f aca="false">TRUE()</f>
        <v>1</v>
      </c>
      <c r="EC79" s="47"/>
      <c r="ED79" s="47"/>
      <c r="EE79" s="47"/>
      <c r="EF79" s="47"/>
      <c r="EG79" s="47"/>
      <c r="EH79" s="47"/>
      <c r="EI79" s="52" t="b">
        <f aca="false">TRUE()</f>
        <v>1</v>
      </c>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E79" s="47"/>
      <c r="HF79" s="47"/>
      <c r="HG79" s="47"/>
      <c r="HH79" s="47"/>
      <c r="HI79" s="47"/>
      <c r="HJ79" s="47"/>
      <c r="HK79" s="47"/>
      <c r="HL79" s="47"/>
      <c r="HM79" s="47"/>
      <c r="HN79" s="47"/>
      <c r="HO79" s="47"/>
      <c r="HP79" s="47"/>
      <c r="HQ79" s="47"/>
      <c r="HR79" s="47"/>
      <c r="HS79" s="47"/>
      <c r="HT79" s="47"/>
      <c r="HU79" s="47"/>
      <c r="HV79" s="47"/>
      <c r="HW79" s="47"/>
      <c r="HX79" s="47"/>
      <c r="HY79" s="47"/>
      <c r="HZ79" s="47"/>
      <c r="IA79" s="47"/>
      <c r="IB79" s="47"/>
      <c r="IC79" s="47"/>
      <c r="ID79" s="47"/>
      <c r="IE79" s="47"/>
      <c r="IF79" s="47"/>
      <c r="IG79" s="47"/>
      <c r="IH79" s="47"/>
      <c r="II79" s="47"/>
      <c r="IJ79" s="47"/>
      <c r="IK79" s="47"/>
      <c r="IL79" s="47"/>
      <c r="IM79" s="47"/>
      <c r="IN79" s="47"/>
      <c r="IO79" s="47"/>
      <c r="IP79" s="47"/>
      <c r="IQ79" s="47"/>
      <c r="IR79" s="47"/>
      <c r="IS79" s="47"/>
      <c r="IT79" s="47"/>
      <c r="IU79" s="47"/>
      <c r="IV79" s="47"/>
      <c r="IW79" s="47"/>
      <c r="IX79" s="47"/>
      <c r="IY79" s="47"/>
      <c r="IZ79" s="47"/>
      <c r="JA79" s="47"/>
      <c r="JB79" s="47"/>
      <c r="JC79" s="47"/>
      <c r="JD79" s="47"/>
      <c r="JE79" s="47"/>
      <c r="JF79" s="52" t="b">
        <f aca="false">TRUE()</f>
        <v>1</v>
      </c>
      <c r="JG79" s="47"/>
      <c r="JH79" s="47"/>
      <c r="JI79" s="47"/>
      <c r="JJ79" s="47"/>
      <c r="JK79" s="47"/>
      <c r="JL79" s="47"/>
      <c r="JM79" s="47"/>
      <c r="JN79" s="47"/>
      <c r="JO79" s="47"/>
      <c r="JP79" s="47"/>
      <c r="JQ79" s="47"/>
      <c r="JR79" s="47"/>
      <c r="JS79" s="47"/>
      <c r="JT79" s="47"/>
      <c r="JU79" s="47"/>
      <c r="JV79" s="47"/>
      <c r="JW79" s="47"/>
      <c r="JX79" s="47"/>
      <c r="JY79" s="47"/>
      <c r="JZ79" s="47"/>
      <c r="KA79" s="47"/>
      <c r="KB79" s="47"/>
      <c r="KC79" s="47"/>
      <c r="KD79" s="47"/>
      <c r="KE79" s="47"/>
      <c r="KF79" s="47"/>
      <c r="KG79" s="47"/>
      <c r="KH79" s="47"/>
      <c r="KI79" s="47"/>
      <c r="KJ79" s="47"/>
      <c r="KK79" s="47"/>
      <c r="KL79" s="47"/>
      <c r="KM79" s="47"/>
      <c r="KN79" s="47"/>
      <c r="KO79" s="47"/>
      <c r="KP79" s="52" t="b">
        <f aca="false">TRUE()</f>
        <v>1</v>
      </c>
      <c r="KQ79" s="47"/>
      <c r="KR79" s="47"/>
      <c r="KS79" s="47"/>
      <c r="KT79" s="52" t="b">
        <f aca="false">TRUE()</f>
        <v>1</v>
      </c>
      <c r="KU79" s="47"/>
    </row>
    <row r="80" customFormat="false" ht="14.4" hidden="false" customHeight="false" outlineLevel="0" collapsed="false">
      <c r="A80" s="37" t="s">
        <v>305</v>
      </c>
      <c r="B80" s="37" t="s">
        <v>1988</v>
      </c>
      <c r="C80" s="37"/>
      <c r="D80" s="37"/>
      <c r="E80" s="37"/>
      <c r="F80" s="37" t="s">
        <v>1989</v>
      </c>
      <c r="G80" s="37" t="s">
        <v>1990</v>
      </c>
      <c r="H80" s="37" t="s">
        <v>1991</v>
      </c>
      <c r="I80" s="37" t="s">
        <v>310</v>
      </c>
      <c r="J80" s="37" t="s">
        <v>311</v>
      </c>
      <c r="K80" s="37"/>
      <c r="L80" s="37"/>
      <c r="M80" s="37"/>
      <c r="N80" s="37"/>
      <c r="O80" s="37" t="s">
        <v>1992</v>
      </c>
      <c r="P80" s="37" t="s">
        <v>1993</v>
      </c>
      <c r="Q80" s="37" t="s">
        <v>1994</v>
      </c>
      <c r="R80" s="37" t="s">
        <v>1995</v>
      </c>
      <c r="S80" s="37" t="s">
        <v>1996</v>
      </c>
      <c r="T80" s="37" t="s">
        <v>1997</v>
      </c>
      <c r="U80" s="37" t="s">
        <v>1998</v>
      </c>
      <c r="V80" s="37" t="s">
        <v>1999</v>
      </c>
      <c r="W80" s="37" t="s">
        <v>2000</v>
      </c>
      <c r="X80" s="37" t="s">
        <v>2001</v>
      </c>
      <c r="Y80" s="37" t="s">
        <v>2001</v>
      </c>
      <c r="Z80" s="37" t="s">
        <v>2002</v>
      </c>
      <c r="AA80" s="37" t="n">
        <v>68</v>
      </c>
      <c r="AB80" s="37" t="n">
        <v>129</v>
      </c>
      <c r="AC80" s="37" t="n">
        <v>134</v>
      </c>
      <c r="AD80" s="37" t="n">
        <v>3</v>
      </c>
      <c r="AE80" s="37" t="n">
        <v>116</v>
      </c>
      <c r="AF80" s="37" t="s">
        <v>1859</v>
      </c>
      <c r="AG80" s="37" t="s">
        <v>1040</v>
      </c>
      <c r="AH80" s="37" t="s">
        <v>1860</v>
      </c>
      <c r="AI80" s="37" t="s">
        <v>2003</v>
      </c>
      <c r="AJ80" s="37" t="s">
        <v>2004</v>
      </c>
      <c r="AK80" s="37"/>
      <c r="AL80" s="37" t="s">
        <v>2005</v>
      </c>
      <c r="AM80" s="37" t="s">
        <v>2006</v>
      </c>
      <c r="AN80" s="37" t="s">
        <v>775</v>
      </c>
      <c r="AO80" s="37" t="n">
        <v>2020</v>
      </c>
      <c r="AP80" s="37" t="n">
        <v>22</v>
      </c>
      <c r="AQ80" s="37" t="n">
        <v>3</v>
      </c>
      <c r="AR80" s="37"/>
      <c r="AS80" s="37" t="n">
        <v>541</v>
      </c>
      <c r="AT80" s="37" t="n">
        <v>561</v>
      </c>
      <c r="AU80" s="37"/>
      <c r="AV80" s="37" t="s">
        <v>2007</v>
      </c>
      <c r="AW80" s="37" t="str">
        <f aca="false">HYPERLINK("http://dx.doi.org/10.2166/hydro.2020.095","http://dx.doi.org/10.2166/hydro.2020.095")</f>
        <v>http://dx.doi.org/10.2166/hydro.2020.095</v>
      </c>
      <c r="AX80" s="37"/>
      <c r="AY80" s="37" t="n">
        <v>21</v>
      </c>
      <c r="AZ80" s="37" t="s">
        <v>2008</v>
      </c>
      <c r="BA80" s="37" t="s">
        <v>331</v>
      </c>
      <c r="BB80" s="37" t="s">
        <v>2009</v>
      </c>
      <c r="BC80" s="37" t="s">
        <v>2010</v>
      </c>
      <c r="BD80" s="37"/>
      <c r="BE80" s="37" t="s">
        <v>365</v>
      </c>
      <c r="BF80" s="37" t="s">
        <v>334</v>
      </c>
      <c r="BG80" s="37" t="s">
        <v>2011</v>
      </c>
      <c r="BH80" s="37" t="str">
        <f aca="false">HYPERLINK("https%3A%2F%2Fwww.webofscience.com%2Fwos%2Fwoscc%2Ffull-record%2FWOS:000537106700006","View Full Record in Web of Science")</f>
        <v>View Full Record in Web of Science</v>
      </c>
      <c r="BI80" s="39"/>
      <c r="BJ80" s="39"/>
      <c r="BK80" s="39"/>
      <c r="BL80" s="39"/>
      <c r="BM80" s="39"/>
      <c r="BN80" s="39"/>
      <c r="BO80" s="39"/>
      <c r="BP80" s="39"/>
      <c r="BQ80" s="39"/>
      <c r="BR80" s="41" t="b">
        <f aca="false">TRUE()</f>
        <v>1</v>
      </c>
      <c r="BS80" s="39"/>
      <c r="BT80" s="39"/>
      <c r="BU80" s="39"/>
      <c r="BV80" s="39"/>
      <c r="BW80" s="39"/>
      <c r="BX80" s="39"/>
      <c r="BY80" s="41" t="b">
        <f aca="false">TRUE()</f>
        <v>1</v>
      </c>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41" t="b">
        <f aca="false">TRUE()</f>
        <v>1</v>
      </c>
      <c r="EB80" s="39"/>
      <c r="EC80" s="39"/>
      <c r="ED80" s="39"/>
      <c r="EE80" s="39"/>
      <c r="EF80" s="39"/>
      <c r="EG80" s="39"/>
      <c r="EH80" s="39"/>
      <c r="EI80" s="41" t="b">
        <f aca="false">TRUE()</f>
        <v>1</v>
      </c>
      <c r="EJ80" s="39"/>
      <c r="EK80" s="39"/>
      <c r="EL80" s="39"/>
      <c r="EM80" s="39"/>
      <c r="EN80" s="41" t="b">
        <f aca="false">TRUE()</f>
        <v>1</v>
      </c>
      <c r="EO80" s="39"/>
      <c r="EP80" s="39"/>
      <c r="EQ80" s="39"/>
      <c r="ER80" s="39"/>
      <c r="ES80" s="39"/>
      <c r="ET80" s="39"/>
      <c r="EU80" s="39"/>
      <c r="EV80" s="39"/>
      <c r="EW80" s="39"/>
      <c r="EX80" s="39"/>
      <c r="EY80" s="41" t="b">
        <f aca="false">TRUE()</f>
        <v>1</v>
      </c>
      <c r="EZ80" s="39"/>
      <c r="FA80" s="39"/>
      <c r="FB80" s="39"/>
      <c r="FC80" s="39"/>
      <c r="FD80" s="39"/>
      <c r="FE80" s="39"/>
      <c r="FF80" s="39"/>
      <c r="FG80" s="39"/>
      <c r="FH80" s="39"/>
      <c r="FI80" s="39"/>
      <c r="FJ80" s="39"/>
      <c r="FK80" s="39"/>
      <c r="FL80" s="39"/>
      <c r="FM80" s="39"/>
      <c r="FN80" s="39"/>
      <c r="FO80" s="39"/>
      <c r="FP80" s="39"/>
      <c r="FQ80" s="39"/>
      <c r="FR80" s="39"/>
      <c r="FS80" s="39"/>
      <c r="FT80" s="39"/>
      <c r="FU80" s="39"/>
      <c r="FV80" s="39"/>
      <c r="FW80" s="39"/>
      <c r="FX80" s="39"/>
      <c r="FY80" s="39"/>
      <c r="FZ80" s="39"/>
      <c r="GA80" s="39"/>
      <c r="GB80" s="39"/>
      <c r="GC80" s="39"/>
      <c r="GD80" s="39"/>
      <c r="GE80" s="39"/>
      <c r="GF80" s="39"/>
      <c r="GG80" s="39"/>
      <c r="GH80" s="39"/>
      <c r="GI80" s="39"/>
      <c r="GJ80" s="39"/>
      <c r="GK80" s="39"/>
      <c r="GL80" s="39"/>
      <c r="GM80" s="39"/>
      <c r="GN80" s="39"/>
      <c r="GO80" s="39"/>
      <c r="GP80" s="39"/>
      <c r="GQ80" s="39"/>
      <c r="GR80" s="39"/>
      <c r="GS80" s="39"/>
      <c r="GT80" s="39"/>
      <c r="GU80" s="39"/>
      <c r="GV80" s="39"/>
      <c r="GW80" s="39"/>
      <c r="GX80" s="39"/>
      <c r="GY80" s="39"/>
      <c r="GZ80" s="39"/>
      <c r="HA80" s="39"/>
      <c r="HB80" s="39"/>
      <c r="HC80" s="39"/>
      <c r="HD80" s="39"/>
      <c r="HE80" s="39"/>
      <c r="HF80" s="39"/>
      <c r="HG80" s="39"/>
      <c r="HH80" s="39"/>
      <c r="HI80" s="39"/>
      <c r="HJ80" s="39"/>
      <c r="HK80" s="41" t="b">
        <f aca="false">TRUE()</f>
        <v>1</v>
      </c>
      <c r="HL80" s="39"/>
      <c r="HM80" s="39"/>
      <c r="HN80" s="39"/>
      <c r="HO80" s="39"/>
      <c r="HP80" s="39"/>
      <c r="HQ80" s="39"/>
      <c r="HR80" s="39"/>
      <c r="HS80" s="39"/>
      <c r="HT80" s="39"/>
      <c r="HU80" s="39"/>
      <c r="HV80" s="39"/>
      <c r="HW80" s="39"/>
      <c r="HX80" s="39"/>
      <c r="HY80" s="39"/>
      <c r="HZ80" s="39"/>
      <c r="IA80" s="39"/>
      <c r="IB80" s="39"/>
      <c r="IC80" s="39"/>
      <c r="ID80" s="39"/>
      <c r="IE80" s="39"/>
      <c r="IF80" s="39"/>
      <c r="IG80" s="39"/>
      <c r="IH80" s="39"/>
      <c r="II80" s="39"/>
      <c r="IJ80" s="39"/>
      <c r="IK80" s="41" t="b">
        <f aca="false">TRUE()</f>
        <v>1</v>
      </c>
      <c r="IL80" s="39"/>
      <c r="IM80" s="39"/>
      <c r="IN80" s="39"/>
      <c r="IO80" s="39"/>
      <c r="IP80" s="39"/>
      <c r="IQ80" s="39"/>
      <c r="IR80" s="39"/>
      <c r="IS80" s="39"/>
      <c r="IT80" s="39"/>
      <c r="IU80" s="39"/>
      <c r="IV80" s="39"/>
      <c r="IW80" s="39"/>
      <c r="IX80" s="39"/>
      <c r="IY80" s="39"/>
      <c r="IZ80" s="39"/>
      <c r="JA80" s="39"/>
      <c r="JB80" s="39"/>
      <c r="JC80" s="39"/>
      <c r="JD80" s="39"/>
      <c r="JE80" s="39"/>
      <c r="JF80" s="39"/>
      <c r="JG80" s="39"/>
      <c r="JH80" s="39"/>
      <c r="JI80" s="39"/>
      <c r="JJ80" s="39"/>
      <c r="JK80" s="39"/>
      <c r="JL80" s="39"/>
      <c r="JM80" s="39"/>
      <c r="JN80" s="39"/>
      <c r="JO80" s="39"/>
      <c r="JP80" s="39"/>
      <c r="JQ80" s="39"/>
      <c r="JR80" s="39"/>
      <c r="JS80" s="39"/>
      <c r="JT80" s="41" t="b">
        <f aca="false">TRUE()</f>
        <v>1</v>
      </c>
      <c r="JU80" s="39"/>
      <c r="JV80" s="39"/>
      <c r="JW80" s="39"/>
      <c r="JX80" s="39"/>
      <c r="JY80" s="39"/>
      <c r="JZ80" s="39"/>
      <c r="KA80" s="39"/>
      <c r="KB80" s="39"/>
      <c r="KC80" s="39"/>
      <c r="KD80" s="39"/>
      <c r="KE80" s="39"/>
      <c r="KF80" s="39"/>
      <c r="KG80" s="39"/>
      <c r="KH80" s="39"/>
      <c r="KI80" s="39"/>
      <c r="KJ80" s="39"/>
      <c r="KK80" s="39"/>
      <c r="KL80" s="39"/>
      <c r="KM80" s="39"/>
      <c r="KN80" s="39"/>
      <c r="KO80" s="39"/>
      <c r="KP80" s="41" t="b">
        <f aca="false">TRUE()</f>
        <v>1</v>
      </c>
      <c r="KQ80" s="39"/>
      <c r="KR80" s="39"/>
      <c r="KS80" s="39"/>
      <c r="KT80" s="41" t="b">
        <f aca="false">TRUE()</f>
        <v>1</v>
      </c>
      <c r="KU80" s="39"/>
    </row>
    <row r="81" customFormat="false" ht="14.4" hidden="false" customHeight="false" outlineLevel="0" collapsed="false">
      <c r="A81" s="37" t="s">
        <v>305</v>
      </c>
      <c r="B81" s="37" t="s">
        <v>2012</v>
      </c>
      <c r="C81" s="37"/>
      <c r="D81" s="37"/>
      <c r="E81" s="37"/>
      <c r="F81" s="37" t="s">
        <v>2013</v>
      </c>
      <c r="G81" s="37" t="s">
        <v>2014</v>
      </c>
      <c r="H81" s="37" t="s">
        <v>2015</v>
      </c>
      <c r="I81" s="37" t="s">
        <v>310</v>
      </c>
      <c r="J81" s="37" t="s">
        <v>311</v>
      </c>
      <c r="K81" s="37"/>
      <c r="L81" s="37"/>
      <c r="M81" s="37"/>
      <c r="N81" s="37"/>
      <c r="O81" s="37" t="s">
        <v>2016</v>
      </c>
      <c r="P81" s="37" t="s">
        <v>2017</v>
      </c>
      <c r="Q81" s="37" t="s">
        <v>2018</v>
      </c>
      <c r="R81" s="37" t="s">
        <v>2019</v>
      </c>
      <c r="S81" s="37" t="s">
        <v>2020</v>
      </c>
      <c r="T81" s="37" t="s">
        <v>2021</v>
      </c>
      <c r="U81" s="37" t="s">
        <v>2022</v>
      </c>
      <c r="V81" s="37"/>
      <c r="W81" s="37" t="s">
        <v>2023</v>
      </c>
      <c r="X81" s="37"/>
      <c r="Y81" s="37"/>
      <c r="Z81" s="37"/>
      <c r="AA81" s="37" t="n">
        <v>46</v>
      </c>
      <c r="AB81" s="37" t="n">
        <v>2</v>
      </c>
      <c r="AC81" s="37" t="n">
        <v>2</v>
      </c>
      <c r="AD81" s="37" t="n">
        <v>2</v>
      </c>
      <c r="AE81" s="37" t="n">
        <v>21</v>
      </c>
      <c r="AF81" s="37" t="s">
        <v>2024</v>
      </c>
      <c r="AG81" s="37" t="s">
        <v>1710</v>
      </c>
      <c r="AH81" s="37" t="s">
        <v>2025</v>
      </c>
      <c r="AI81" s="37" t="s">
        <v>2026</v>
      </c>
      <c r="AJ81" s="37" t="s">
        <v>2027</v>
      </c>
      <c r="AK81" s="37"/>
      <c r="AL81" s="37" t="s">
        <v>2028</v>
      </c>
      <c r="AM81" s="37" t="s">
        <v>2029</v>
      </c>
      <c r="AN81" s="37" t="s">
        <v>380</v>
      </c>
      <c r="AO81" s="37" t="n">
        <v>2022</v>
      </c>
      <c r="AP81" s="37" t="n">
        <v>26</v>
      </c>
      <c r="AQ81" s="37" t="n">
        <v>4</v>
      </c>
      <c r="AR81" s="37"/>
      <c r="AS81" s="37" t="n">
        <v>2002</v>
      </c>
      <c r="AT81" s="37" t="n">
        <v>2012</v>
      </c>
      <c r="AU81" s="37"/>
      <c r="AV81" s="37" t="s">
        <v>2030</v>
      </c>
      <c r="AW81" s="37" t="str">
        <f aca="false">HYPERLINK("http://dx.doi.org/10.1007/s12205-022-1270-3","http://dx.doi.org/10.1007/s12205-022-1270-3")</f>
        <v>http://dx.doi.org/10.1007/s12205-022-1270-3</v>
      </c>
      <c r="AX81" s="37" t="s">
        <v>382</v>
      </c>
      <c r="AY81" s="37" t="n">
        <v>11</v>
      </c>
      <c r="AZ81" s="37" t="s">
        <v>2031</v>
      </c>
      <c r="BA81" s="37" t="s">
        <v>331</v>
      </c>
      <c r="BB81" s="37" t="s">
        <v>1355</v>
      </c>
      <c r="BC81" s="37" t="s">
        <v>2032</v>
      </c>
      <c r="BD81" s="37"/>
      <c r="BE81" s="37" t="s">
        <v>684</v>
      </c>
      <c r="BF81" s="37" t="s">
        <v>334</v>
      </c>
      <c r="BG81" s="37" t="s">
        <v>2033</v>
      </c>
      <c r="BH81" s="37" t="str">
        <f aca="false">HYPERLINK("https%3A%2F%2Fwww.webofscience.com%2Fwos%2Fwoscc%2Ffull-record%2FWOS:000752755700001","View Full Record in Web of Science")</f>
        <v>View Full Record in Web of Science</v>
      </c>
      <c r="BI81" s="39"/>
      <c r="BJ81" s="39"/>
      <c r="BK81" s="39"/>
      <c r="BL81" s="39"/>
      <c r="BM81" s="39"/>
      <c r="BN81" s="41" t="b">
        <f aca="false">TRUE()</f>
        <v>1</v>
      </c>
      <c r="BO81" s="41" t="b">
        <f aca="false">TRUE()</f>
        <v>1</v>
      </c>
      <c r="BP81" s="39"/>
      <c r="BQ81" s="39"/>
      <c r="BR81" s="39"/>
      <c r="BS81" s="39"/>
      <c r="BT81" s="39"/>
      <c r="BU81" s="39"/>
      <c r="BV81" s="39"/>
      <c r="BW81" s="39"/>
      <c r="BX81" s="39"/>
      <c r="BY81" s="39"/>
      <c r="BZ81" s="39"/>
      <c r="CA81" s="39"/>
      <c r="CB81" s="39"/>
      <c r="CC81" s="39"/>
      <c r="CD81" s="39"/>
      <c r="CE81" s="39"/>
      <c r="CF81" s="39"/>
      <c r="CG81" s="39"/>
      <c r="CH81" s="39"/>
      <c r="CI81" s="39"/>
      <c r="CJ81" s="39"/>
      <c r="CK81" s="39"/>
      <c r="CL81" s="39"/>
      <c r="CM81" s="39"/>
      <c r="CN81" s="39"/>
      <c r="CO81" s="39"/>
      <c r="CP81" s="39"/>
      <c r="CQ81" s="39"/>
      <c r="CR81" s="39"/>
      <c r="CS81" s="39"/>
      <c r="CT81" s="39"/>
      <c r="CU81" s="39"/>
      <c r="CV81" s="39"/>
      <c r="CW81" s="39"/>
      <c r="CX81" s="39"/>
      <c r="CY81" s="39"/>
      <c r="CZ81" s="39"/>
      <c r="DA81" s="39"/>
      <c r="DB81" s="39"/>
      <c r="DC81" s="39"/>
      <c r="DD81" s="39"/>
      <c r="DE81" s="39"/>
      <c r="DF81" s="39"/>
      <c r="DG81" s="39"/>
      <c r="DH81" s="39"/>
      <c r="DI81" s="39"/>
      <c r="DJ81" s="39"/>
      <c r="DK81" s="39"/>
      <c r="DL81" s="39"/>
      <c r="DM81" s="39"/>
      <c r="DN81" s="39"/>
      <c r="DO81" s="39"/>
      <c r="DP81" s="39"/>
      <c r="DQ81" s="39"/>
      <c r="DR81" s="39"/>
      <c r="DS81" s="39"/>
      <c r="DT81" s="39"/>
      <c r="DU81" s="39"/>
      <c r="DV81" s="39"/>
      <c r="DW81" s="39"/>
      <c r="DX81" s="39"/>
      <c r="DY81" s="39"/>
      <c r="DZ81" s="39"/>
      <c r="EA81" s="41" t="b">
        <f aca="false">TRUE()</f>
        <v>1</v>
      </c>
      <c r="EB81" s="39"/>
      <c r="EC81" s="39"/>
      <c r="ED81" s="39"/>
      <c r="EE81" s="39"/>
      <c r="EF81" s="39"/>
      <c r="EG81" s="39"/>
      <c r="EH81" s="39"/>
      <c r="EI81" s="39"/>
      <c r="EJ81" s="39"/>
      <c r="EK81" s="39"/>
      <c r="EL81" s="39"/>
      <c r="EM81" s="39"/>
      <c r="EN81" s="39"/>
      <c r="EO81" s="39"/>
      <c r="EP81" s="39"/>
      <c r="EQ81" s="39"/>
      <c r="ER81" s="39"/>
      <c r="ES81" s="39"/>
      <c r="ET81" s="39"/>
      <c r="EU81" s="39"/>
      <c r="EV81" s="39"/>
      <c r="EW81" s="39"/>
      <c r="EX81" s="39"/>
      <c r="EY81" s="41" t="b">
        <f aca="false">TRUE()</f>
        <v>1</v>
      </c>
      <c r="EZ81" s="39"/>
      <c r="FA81" s="39"/>
      <c r="FB81" s="39"/>
      <c r="FC81" s="41" t="b">
        <f aca="false">TRUE()</f>
        <v>1</v>
      </c>
      <c r="FD81" s="39"/>
      <c r="FE81" s="39"/>
      <c r="FF81" s="39"/>
      <c r="FG81" s="39"/>
      <c r="FH81" s="39"/>
      <c r="FI81" s="39"/>
      <c r="FJ81" s="39"/>
      <c r="FK81" s="39"/>
      <c r="FL81" s="39"/>
      <c r="FM81" s="39"/>
      <c r="FN81" s="39"/>
      <c r="FO81" s="39"/>
      <c r="FP81" s="39"/>
      <c r="FQ81" s="39"/>
      <c r="FR81" s="39"/>
      <c r="FS81" s="39"/>
      <c r="FT81" s="39"/>
      <c r="FU81" s="39"/>
      <c r="FV81" s="39"/>
      <c r="FW81" s="39"/>
      <c r="FX81" s="39"/>
      <c r="FY81" s="39"/>
      <c r="FZ81" s="39"/>
      <c r="GA81" s="39"/>
      <c r="GB81" s="39"/>
      <c r="GC81" s="39"/>
      <c r="GD81" s="39"/>
      <c r="GE81" s="39"/>
      <c r="GF81" s="39"/>
      <c r="GG81" s="39"/>
      <c r="GH81" s="39"/>
      <c r="GI81" s="39"/>
      <c r="GJ81" s="39"/>
      <c r="GK81" s="39"/>
      <c r="GL81" s="39"/>
      <c r="GM81" s="41" t="b">
        <f aca="false">TRUE()</f>
        <v>1</v>
      </c>
      <c r="GN81" s="39"/>
      <c r="GO81" s="39"/>
      <c r="GP81" s="39"/>
      <c r="GQ81" s="39"/>
      <c r="GR81" s="39"/>
      <c r="GS81" s="39"/>
      <c r="GT81" s="39"/>
      <c r="GU81" s="39"/>
      <c r="GV81" s="39"/>
      <c r="GW81" s="39"/>
      <c r="GX81" s="39"/>
      <c r="GY81" s="39"/>
      <c r="GZ81" s="39"/>
      <c r="HA81" s="39"/>
      <c r="HB81" s="39"/>
      <c r="HC81" s="39"/>
      <c r="HD81" s="39"/>
      <c r="HE81" s="39"/>
      <c r="HF81" s="39"/>
      <c r="HG81" s="39"/>
      <c r="HH81" s="39"/>
      <c r="HI81" s="39"/>
      <c r="HJ81" s="39"/>
      <c r="HK81" s="41" t="b">
        <f aca="false">TRUE()</f>
        <v>1</v>
      </c>
      <c r="HL81" s="39"/>
      <c r="HM81" s="39"/>
      <c r="HN81" s="39"/>
      <c r="HO81" s="39"/>
      <c r="HP81" s="39"/>
      <c r="HQ81" s="39"/>
      <c r="HR81" s="39"/>
      <c r="HS81" s="39"/>
      <c r="HT81" s="39"/>
      <c r="HU81" s="39"/>
      <c r="HV81" s="39"/>
      <c r="HW81" s="39"/>
      <c r="HX81" s="39"/>
      <c r="HY81" s="39"/>
      <c r="HZ81" s="39"/>
      <c r="IA81" s="39"/>
      <c r="IB81" s="39"/>
      <c r="IC81" s="39"/>
      <c r="ID81" s="39"/>
      <c r="IE81" s="39"/>
      <c r="IF81" s="39"/>
      <c r="IG81" s="41" t="b">
        <f aca="false">TRUE()</f>
        <v>1</v>
      </c>
      <c r="IH81" s="39"/>
      <c r="II81" s="39"/>
      <c r="IJ81" s="39"/>
      <c r="IK81" s="39"/>
      <c r="IL81" s="39"/>
      <c r="IM81" s="39"/>
      <c r="IN81" s="39"/>
      <c r="IO81" s="39"/>
      <c r="IP81" s="39"/>
      <c r="IQ81" s="39"/>
      <c r="IR81" s="39"/>
      <c r="IS81" s="39"/>
      <c r="IT81" s="39"/>
      <c r="IU81" s="39"/>
      <c r="IV81" s="39"/>
      <c r="IW81" s="39"/>
      <c r="IX81" s="39"/>
      <c r="IY81" s="39"/>
      <c r="IZ81" s="39"/>
      <c r="JA81" s="39"/>
      <c r="JB81" s="39"/>
      <c r="JC81" s="39"/>
      <c r="JD81" s="39"/>
      <c r="JE81" s="39"/>
      <c r="JF81" s="39"/>
      <c r="JG81" s="39"/>
      <c r="JH81" s="39"/>
      <c r="JI81" s="39"/>
      <c r="JJ81" s="39"/>
      <c r="JK81" s="39"/>
      <c r="JL81" s="39"/>
      <c r="JM81" s="39"/>
      <c r="JN81" s="39"/>
      <c r="JO81" s="39"/>
      <c r="JP81" s="39"/>
      <c r="JQ81" s="39"/>
      <c r="JR81" s="39"/>
      <c r="JS81" s="39"/>
      <c r="JT81" s="41" t="b">
        <f aca="false">TRUE()</f>
        <v>1</v>
      </c>
      <c r="JU81" s="39"/>
      <c r="JV81" s="39"/>
      <c r="JW81" s="39"/>
      <c r="JX81" s="39"/>
      <c r="JY81" s="39"/>
      <c r="JZ81" s="39"/>
      <c r="KA81" s="39"/>
      <c r="KB81" s="39"/>
      <c r="KC81" s="39"/>
      <c r="KD81" s="39"/>
      <c r="KE81" s="39"/>
      <c r="KF81" s="39"/>
      <c r="KG81" s="39"/>
      <c r="KH81" s="39"/>
      <c r="KI81" s="39"/>
      <c r="KJ81" s="39"/>
      <c r="KK81" s="39"/>
      <c r="KL81" s="39"/>
      <c r="KM81" s="39"/>
      <c r="KN81" s="39"/>
      <c r="KO81" s="39"/>
      <c r="KP81" s="41" t="b">
        <f aca="false">TRUE()</f>
        <v>1</v>
      </c>
      <c r="KQ81" s="39"/>
      <c r="KR81" s="39"/>
      <c r="KS81" s="39"/>
      <c r="KT81" s="41" t="b">
        <f aca="false">TRUE()</f>
        <v>1</v>
      </c>
      <c r="KU81" s="39"/>
    </row>
    <row r="82" customFormat="false" ht="14.4" hidden="false" customHeight="false" outlineLevel="0" collapsed="false">
      <c r="A82" s="37" t="s">
        <v>305</v>
      </c>
      <c r="B82" s="37" t="s">
        <v>2034</v>
      </c>
      <c r="C82" s="37"/>
      <c r="D82" s="37"/>
      <c r="E82" s="37"/>
      <c r="F82" s="37" t="s">
        <v>2035</v>
      </c>
      <c r="G82" s="37" t="s">
        <v>2036</v>
      </c>
      <c r="H82" s="37" t="s">
        <v>2037</v>
      </c>
      <c r="I82" s="37" t="s">
        <v>310</v>
      </c>
      <c r="J82" s="37" t="s">
        <v>311</v>
      </c>
      <c r="K82" s="37"/>
      <c r="L82" s="37"/>
      <c r="M82" s="37"/>
      <c r="N82" s="37"/>
      <c r="O82" s="37" t="s">
        <v>2038</v>
      </c>
      <c r="P82" s="37" t="s">
        <v>2039</v>
      </c>
      <c r="Q82" s="37" t="s">
        <v>2040</v>
      </c>
      <c r="R82" s="37" t="s">
        <v>2041</v>
      </c>
      <c r="S82" s="37" t="s">
        <v>2042</v>
      </c>
      <c r="T82" s="37" t="s">
        <v>2043</v>
      </c>
      <c r="U82" s="37" t="s">
        <v>2044</v>
      </c>
      <c r="V82" s="37" t="s">
        <v>2045</v>
      </c>
      <c r="W82" s="37" t="s">
        <v>2046</v>
      </c>
      <c r="X82" s="37" t="s">
        <v>2047</v>
      </c>
      <c r="Y82" s="37" t="s">
        <v>2048</v>
      </c>
      <c r="Z82" s="37" t="s">
        <v>2049</v>
      </c>
      <c r="AA82" s="37" t="n">
        <v>27</v>
      </c>
      <c r="AB82" s="37" t="n">
        <v>107</v>
      </c>
      <c r="AC82" s="37" t="n">
        <v>119</v>
      </c>
      <c r="AD82" s="37" t="n">
        <v>19</v>
      </c>
      <c r="AE82" s="37" t="n">
        <v>168</v>
      </c>
      <c r="AF82" s="37" t="s">
        <v>353</v>
      </c>
      <c r="AG82" s="37" t="s">
        <v>354</v>
      </c>
      <c r="AH82" s="37" t="s">
        <v>355</v>
      </c>
      <c r="AI82" s="37" t="s">
        <v>2050</v>
      </c>
      <c r="AJ82" s="37" t="s">
        <v>2051</v>
      </c>
      <c r="AK82" s="37"/>
      <c r="AL82" s="37" t="s">
        <v>2052</v>
      </c>
      <c r="AM82" s="37" t="s">
        <v>2053</v>
      </c>
      <c r="AN82" s="37" t="s">
        <v>2054</v>
      </c>
      <c r="AO82" s="37" t="n">
        <v>2019</v>
      </c>
      <c r="AP82" s="37" t="n">
        <v>79</v>
      </c>
      <c r="AQ82" s="37"/>
      <c r="AR82" s="37"/>
      <c r="AS82" s="37" t="n">
        <v>48</v>
      </c>
      <c r="AT82" s="37" t="n">
        <v>57</v>
      </c>
      <c r="AU82" s="37"/>
      <c r="AV82" s="37" t="s">
        <v>2055</v>
      </c>
      <c r="AW82" s="37" t="str">
        <f aca="false">HYPERLINK("http://dx.doi.org/10.1016/j.jag.2019.03.006","http://dx.doi.org/10.1016/j.jag.2019.03.006")</f>
        <v>http://dx.doi.org/10.1016/j.jag.2019.03.006</v>
      </c>
      <c r="AX82" s="37"/>
      <c r="AY82" s="37" t="n">
        <v>10</v>
      </c>
      <c r="AZ82" s="37" t="s">
        <v>1717</v>
      </c>
      <c r="BA82" s="37" t="s">
        <v>331</v>
      </c>
      <c r="BB82" s="37" t="s">
        <v>1717</v>
      </c>
      <c r="BC82" s="37" t="s">
        <v>2056</v>
      </c>
      <c r="BD82" s="37"/>
      <c r="BE82" s="37"/>
      <c r="BF82" s="37" t="s">
        <v>334</v>
      </c>
      <c r="BG82" s="37" t="s">
        <v>2057</v>
      </c>
      <c r="BH82" s="37" t="str">
        <f aca="false">HYPERLINK("https%3A%2F%2Fwww.webofscience.com%2Fwos%2Fwoscc%2Ffull-record%2FWOS:000466820700005","View Full Record in Web of Science")</f>
        <v>View Full Record in Web of Science</v>
      </c>
      <c r="BI82" s="41" t="b">
        <f aca="false">TRUE()</f>
        <v>1</v>
      </c>
      <c r="BJ82" s="39"/>
      <c r="BK82" s="39"/>
      <c r="BL82" s="39"/>
      <c r="BM82" s="39"/>
      <c r="BN82" s="39"/>
      <c r="BO82" s="41" t="b">
        <f aca="false">TRUE()</f>
        <v>1</v>
      </c>
      <c r="BP82" s="39"/>
      <c r="BQ82" s="39"/>
      <c r="BR82" s="39"/>
      <c r="BS82" s="39"/>
      <c r="BT82" s="39"/>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39"/>
      <c r="CV82" s="39"/>
      <c r="CW82" s="39"/>
      <c r="CX82" s="39"/>
      <c r="CY82" s="39"/>
      <c r="CZ82" s="39"/>
      <c r="DA82" s="39"/>
      <c r="DB82" s="39"/>
      <c r="DC82" s="39"/>
      <c r="DD82" s="39"/>
      <c r="DE82" s="39"/>
      <c r="DF82" s="39"/>
      <c r="DG82" s="39"/>
      <c r="DH82" s="39"/>
      <c r="DI82" s="39"/>
      <c r="DJ82" s="39"/>
      <c r="DK82" s="39"/>
      <c r="DL82" s="39"/>
      <c r="DM82" s="39"/>
      <c r="DN82" s="39"/>
      <c r="DO82" s="39"/>
      <c r="DP82" s="39"/>
      <c r="DQ82" s="39"/>
      <c r="DR82" s="39"/>
      <c r="DS82" s="39"/>
      <c r="DT82" s="39"/>
      <c r="DU82" s="39"/>
      <c r="DV82" s="39"/>
      <c r="DW82" s="39"/>
      <c r="DX82" s="39"/>
      <c r="DY82" s="39"/>
      <c r="DZ82" s="39"/>
      <c r="EA82" s="41" t="b">
        <f aca="false">TRUE()</f>
        <v>1</v>
      </c>
      <c r="EB82" s="39"/>
      <c r="EC82" s="39"/>
      <c r="ED82" s="39"/>
      <c r="EE82" s="39"/>
      <c r="EF82" s="39"/>
      <c r="EG82" s="39"/>
      <c r="EH82" s="39"/>
      <c r="EI82" s="39"/>
      <c r="EJ82" s="39"/>
      <c r="EK82" s="39"/>
      <c r="EL82" s="39"/>
      <c r="EM82" s="39"/>
      <c r="EN82" s="39"/>
      <c r="EO82" s="39"/>
      <c r="EP82" s="39"/>
      <c r="EQ82" s="39"/>
      <c r="ER82" s="39"/>
      <c r="ES82" s="39"/>
      <c r="ET82" s="39"/>
      <c r="EU82" s="39"/>
      <c r="EV82" s="39"/>
      <c r="EW82" s="39"/>
      <c r="EX82" s="41" t="b">
        <f aca="false">TRUE()</f>
        <v>1</v>
      </c>
      <c r="EY82" s="41" t="b">
        <f aca="false">TRUE()</f>
        <v>1</v>
      </c>
      <c r="EZ82" s="39"/>
      <c r="FA82" s="39"/>
      <c r="FB82" s="39"/>
      <c r="FC82" s="39"/>
      <c r="FD82" s="39"/>
      <c r="FE82" s="39"/>
      <c r="FF82" s="39"/>
      <c r="FG82" s="39"/>
      <c r="FH82" s="39"/>
      <c r="FI82" s="39"/>
      <c r="FJ82" s="39"/>
      <c r="FK82" s="39"/>
      <c r="FL82" s="39"/>
      <c r="FM82" s="39"/>
      <c r="FN82" s="39"/>
      <c r="FO82" s="39"/>
      <c r="FP82" s="39"/>
      <c r="FQ82" s="39"/>
      <c r="FR82" s="39"/>
      <c r="FS82" s="39"/>
      <c r="FT82" s="39"/>
      <c r="FU82" s="39"/>
      <c r="FV82" s="39"/>
      <c r="FW82" s="39"/>
      <c r="FX82" s="39"/>
      <c r="FY82" s="39"/>
      <c r="FZ82" s="39"/>
      <c r="GA82" s="39"/>
      <c r="GB82" s="39"/>
      <c r="GC82" s="39"/>
      <c r="GD82" s="39"/>
      <c r="GE82" s="39"/>
      <c r="GF82" s="39"/>
      <c r="GG82" s="39"/>
      <c r="GH82" s="39"/>
      <c r="GI82" s="39"/>
      <c r="GJ82" s="39"/>
      <c r="GK82" s="39"/>
      <c r="GL82" s="39"/>
      <c r="GM82" s="39"/>
      <c r="GN82" s="39"/>
      <c r="GO82" s="39"/>
      <c r="GP82" s="39"/>
      <c r="GQ82" s="39"/>
      <c r="GR82" s="39"/>
      <c r="GS82" s="39"/>
      <c r="GT82" s="39"/>
      <c r="GU82" s="39"/>
      <c r="GV82" s="39"/>
      <c r="GW82" s="39"/>
      <c r="GX82" s="39"/>
      <c r="GY82" s="39"/>
      <c r="GZ82" s="39"/>
      <c r="HA82" s="39"/>
      <c r="HB82" s="39"/>
      <c r="HC82" s="39"/>
      <c r="HD82" s="39"/>
      <c r="HE82" s="39"/>
      <c r="HF82" s="39"/>
      <c r="HG82" s="39"/>
      <c r="HH82" s="39"/>
      <c r="HI82" s="39"/>
      <c r="HJ82" s="39"/>
      <c r="HK82" s="41" t="b">
        <f aca="false">TRUE()</f>
        <v>1</v>
      </c>
      <c r="HL82" s="39"/>
      <c r="HM82" s="39"/>
      <c r="HN82" s="39"/>
      <c r="HO82" s="39"/>
      <c r="HP82" s="39"/>
      <c r="HQ82" s="39"/>
      <c r="HR82" s="39"/>
      <c r="HS82" s="39"/>
      <c r="HT82" s="39"/>
      <c r="HU82" s="39"/>
      <c r="HV82" s="39"/>
      <c r="HW82" s="39"/>
      <c r="HX82" s="39"/>
      <c r="HY82" s="39"/>
      <c r="HZ82" s="39"/>
      <c r="IA82" s="39"/>
      <c r="IB82" s="39"/>
      <c r="IC82" s="39"/>
      <c r="ID82" s="41" t="b">
        <f aca="false">TRUE()</f>
        <v>1</v>
      </c>
      <c r="IE82" s="39"/>
      <c r="IF82" s="39"/>
      <c r="IG82" s="39"/>
      <c r="IH82" s="39"/>
      <c r="II82" s="39"/>
      <c r="IJ82" s="39"/>
      <c r="IK82" s="39"/>
      <c r="IL82" s="39"/>
      <c r="IM82" s="39"/>
      <c r="IN82" s="39"/>
      <c r="IO82" s="39"/>
      <c r="IP82" s="39"/>
      <c r="IQ82" s="39"/>
      <c r="IR82" s="39"/>
      <c r="IS82" s="39"/>
      <c r="IT82" s="39"/>
      <c r="IU82" s="39"/>
      <c r="IV82" s="39"/>
      <c r="IW82" s="39"/>
      <c r="IX82" s="39"/>
      <c r="IY82" s="39"/>
      <c r="IZ82" s="39"/>
      <c r="JA82" s="39"/>
      <c r="JB82" s="39"/>
      <c r="JC82" s="39"/>
      <c r="JD82" s="39"/>
      <c r="JE82" s="39"/>
      <c r="JF82" s="39"/>
      <c r="JG82" s="39"/>
      <c r="JH82" s="39"/>
      <c r="JI82" s="39"/>
      <c r="JJ82" s="39"/>
      <c r="JK82" s="39"/>
      <c r="JL82" s="39"/>
      <c r="JM82" s="39"/>
      <c r="JN82" s="39"/>
      <c r="JO82" s="39"/>
      <c r="JP82" s="39"/>
      <c r="JQ82" s="39"/>
      <c r="JR82" s="39"/>
      <c r="JS82" s="39"/>
      <c r="JT82" s="39"/>
      <c r="JU82" s="39"/>
      <c r="JV82" s="39"/>
      <c r="JW82" s="39"/>
      <c r="JX82" s="39"/>
      <c r="JY82" s="39"/>
      <c r="JZ82" s="39"/>
      <c r="KA82" s="39"/>
      <c r="KB82" s="39"/>
      <c r="KC82" s="39"/>
      <c r="KD82" s="39"/>
      <c r="KE82" s="39"/>
      <c r="KF82" s="39"/>
      <c r="KG82" s="39"/>
      <c r="KH82" s="39"/>
      <c r="KI82" s="39"/>
      <c r="KJ82" s="39"/>
      <c r="KK82" s="39"/>
      <c r="KL82" s="39"/>
      <c r="KM82" s="39"/>
      <c r="KN82" s="39"/>
      <c r="KO82" s="39"/>
      <c r="KP82" s="39"/>
      <c r="KQ82" s="41" t="b">
        <f aca="false">TRUE()</f>
        <v>1</v>
      </c>
      <c r="KR82" s="39"/>
      <c r="KS82" s="39"/>
      <c r="KT82" s="41" t="b">
        <f aca="false">TRUE()</f>
        <v>1</v>
      </c>
      <c r="KU82" s="39"/>
    </row>
    <row r="83" customFormat="false" ht="14.4" hidden="false" customHeight="false" outlineLevel="0" collapsed="false">
      <c r="A83" s="37" t="s">
        <v>305</v>
      </c>
      <c r="B83" s="37" t="s">
        <v>2058</v>
      </c>
      <c r="C83" s="37"/>
      <c r="D83" s="37"/>
      <c r="E83" s="37"/>
      <c r="F83" s="37" t="s">
        <v>2059</v>
      </c>
      <c r="G83" s="37" t="s">
        <v>2060</v>
      </c>
      <c r="H83" s="37" t="s">
        <v>2061</v>
      </c>
      <c r="I83" s="37" t="s">
        <v>310</v>
      </c>
      <c r="J83" s="37" t="s">
        <v>311</v>
      </c>
      <c r="K83" s="37"/>
      <c r="L83" s="37"/>
      <c r="M83" s="37"/>
      <c r="N83" s="37"/>
      <c r="O83" s="37" t="s">
        <v>2062</v>
      </c>
      <c r="P83" s="37"/>
      <c r="Q83" s="37" t="s">
        <v>2063</v>
      </c>
      <c r="R83" s="37" t="s">
        <v>2064</v>
      </c>
      <c r="S83" s="37" t="s">
        <v>2065</v>
      </c>
      <c r="T83" s="37" t="s">
        <v>2066</v>
      </c>
      <c r="U83" s="37" t="s">
        <v>2067</v>
      </c>
      <c r="V83" s="37" t="s">
        <v>2068</v>
      </c>
      <c r="W83" s="37"/>
      <c r="X83" s="37"/>
      <c r="Y83" s="37"/>
      <c r="Z83" s="37"/>
      <c r="AA83" s="37" t="n">
        <v>29</v>
      </c>
      <c r="AB83" s="37" t="n">
        <v>2</v>
      </c>
      <c r="AC83" s="37" t="n">
        <v>2</v>
      </c>
      <c r="AD83" s="37" t="n">
        <v>16</v>
      </c>
      <c r="AE83" s="37" t="n">
        <v>55</v>
      </c>
      <c r="AF83" s="37" t="s">
        <v>2069</v>
      </c>
      <c r="AG83" s="37" t="s">
        <v>2070</v>
      </c>
      <c r="AH83" s="37" t="s">
        <v>2071</v>
      </c>
      <c r="AI83" s="37" t="s">
        <v>2072</v>
      </c>
      <c r="AJ83" s="37"/>
      <c r="AK83" s="37"/>
      <c r="AL83" s="37" t="s">
        <v>2073</v>
      </c>
      <c r="AM83" s="37" t="s">
        <v>2074</v>
      </c>
      <c r="AN83" s="37" t="s">
        <v>2075</v>
      </c>
      <c r="AO83" s="37" t="n">
        <v>2023</v>
      </c>
      <c r="AP83" s="37" t="n">
        <v>14</v>
      </c>
      <c r="AQ83" s="37"/>
      <c r="AR83" s="37"/>
      <c r="AS83" s="37"/>
      <c r="AT83" s="37"/>
      <c r="AU83" s="37" t="n">
        <v>1094142</v>
      </c>
      <c r="AV83" s="37" t="s">
        <v>2076</v>
      </c>
      <c r="AW83" s="37" t="str">
        <f aca="false">HYPERLINK("http://dx.doi.org/10.3389/fpls.2023.1094142","http://dx.doi.org/10.3389/fpls.2023.1094142")</f>
        <v>http://dx.doi.org/10.3389/fpls.2023.1094142</v>
      </c>
      <c r="AX83" s="37"/>
      <c r="AY83" s="37" t="n">
        <v>10</v>
      </c>
      <c r="AZ83" s="37" t="s">
        <v>895</v>
      </c>
      <c r="BA83" s="37" t="s">
        <v>331</v>
      </c>
      <c r="BB83" s="37" t="s">
        <v>895</v>
      </c>
      <c r="BC83" s="37" t="s">
        <v>2077</v>
      </c>
      <c r="BD83" s="37" t="n">
        <v>37324706</v>
      </c>
      <c r="BE83" s="37" t="s">
        <v>1547</v>
      </c>
      <c r="BF83" s="37" t="s">
        <v>334</v>
      </c>
      <c r="BG83" s="37" t="s">
        <v>2078</v>
      </c>
      <c r="BH83" s="37" t="str">
        <f aca="false">HYPERLINK("https%3A%2F%2Fwww.webofscience.com%2Fwos%2Fwoscc%2Ffull-record%2FWOS:001004245800001","View Full Record in Web of Science")</f>
        <v>View Full Record in Web of Science</v>
      </c>
      <c r="BI83" s="39"/>
      <c r="BJ83" s="39"/>
      <c r="BK83" s="39"/>
      <c r="BL83" s="39"/>
      <c r="BM83" s="39"/>
      <c r="BN83" s="39"/>
      <c r="BO83" s="39"/>
      <c r="BP83" s="39"/>
      <c r="BQ83" s="39"/>
      <c r="BR83" s="39"/>
      <c r="BS83" s="39"/>
      <c r="BT83" s="39"/>
      <c r="BU83" s="39"/>
      <c r="BV83" s="39"/>
      <c r="BW83" s="39"/>
      <c r="BX83" s="39"/>
      <c r="BY83" s="41" t="b">
        <f aca="false">TRUE()</f>
        <v>1</v>
      </c>
      <c r="BZ83" s="39"/>
      <c r="CA83" s="39"/>
      <c r="CB83" s="39"/>
      <c r="CC83" s="39"/>
      <c r="CD83" s="39"/>
      <c r="CE83" s="39"/>
      <c r="CF83" s="39"/>
      <c r="CG83" s="39"/>
      <c r="CH83" s="39"/>
      <c r="CI83" s="39"/>
      <c r="CJ83" s="39"/>
      <c r="CK83" s="39"/>
      <c r="CL83" s="39"/>
      <c r="CM83" s="39"/>
      <c r="CN83" s="39"/>
      <c r="CO83" s="39"/>
      <c r="CP83" s="39"/>
      <c r="CQ83" s="39"/>
      <c r="CR83" s="39"/>
      <c r="CS83" s="39"/>
      <c r="CT83" s="39"/>
      <c r="CU83" s="39"/>
      <c r="CV83" s="39"/>
      <c r="CW83" s="39"/>
      <c r="CX83" s="39"/>
      <c r="CY83" s="39"/>
      <c r="CZ83" s="39"/>
      <c r="DA83" s="39"/>
      <c r="DB83" s="39"/>
      <c r="DC83" s="39"/>
      <c r="DD83" s="39"/>
      <c r="DE83" s="39"/>
      <c r="DF83" s="39"/>
      <c r="DG83" s="39"/>
      <c r="DH83" s="39"/>
      <c r="DI83" s="39"/>
      <c r="DJ83" s="39"/>
      <c r="DK83" s="39"/>
      <c r="DL83" s="39"/>
      <c r="DM83" s="39"/>
      <c r="DN83" s="39"/>
      <c r="DO83" s="39"/>
      <c r="DP83" s="39"/>
      <c r="DQ83" s="39"/>
      <c r="DR83" s="39"/>
      <c r="DS83" s="39"/>
      <c r="DT83" s="39"/>
      <c r="DU83" s="39"/>
      <c r="DV83" s="39"/>
      <c r="DW83" s="39"/>
      <c r="DX83" s="39"/>
      <c r="DY83" s="39"/>
      <c r="DZ83" s="39"/>
      <c r="EA83" s="39"/>
      <c r="EB83" s="39"/>
      <c r="EC83" s="39"/>
      <c r="ED83" s="39"/>
      <c r="EE83" s="39"/>
      <c r="EF83" s="39"/>
      <c r="EG83" s="39"/>
      <c r="EH83" s="39"/>
      <c r="EI83" s="39"/>
      <c r="EJ83" s="39"/>
      <c r="EK83" s="39"/>
      <c r="EL83" s="39"/>
      <c r="EM83" s="39"/>
      <c r="EN83" s="39"/>
      <c r="EO83" s="39"/>
      <c r="EP83" s="39"/>
      <c r="EQ83" s="39"/>
      <c r="ER83" s="39"/>
      <c r="ES83" s="39"/>
      <c r="ET83" s="39"/>
      <c r="EU83" s="39"/>
      <c r="EV83" s="39"/>
      <c r="EW83" s="39"/>
      <c r="EX83" s="39"/>
      <c r="EY83" s="39"/>
      <c r="EZ83" s="39"/>
      <c r="FA83" s="39"/>
      <c r="FB83" s="39"/>
      <c r="FC83" s="39"/>
      <c r="FD83" s="39"/>
      <c r="FE83" s="39"/>
      <c r="FF83" s="41" t="b">
        <f aca="false">TRUE()</f>
        <v>1</v>
      </c>
      <c r="FG83" s="39"/>
      <c r="FH83" s="39"/>
      <c r="FI83" s="39"/>
      <c r="FJ83" s="39"/>
      <c r="FK83" s="39"/>
      <c r="FL83" s="39"/>
      <c r="FM83" s="39"/>
      <c r="FN83" s="39"/>
      <c r="FO83" s="39"/>
      <c r="FP83" s="39"/>
      <c r="FQ83" s="39"/>
      <c r="FR83" s="39"/>
      <c r="FS83" s="39"/>
      <c r="FT83" s="39"/>
      <c r="FU83" s="39"/>
      <c r="FV83" s="39"/>
      <c r="FW83" s="39"/>
      <c r="FX83" s="39"/>
      <c r="FY83" s="39"/>
      <c r="FZ83" s="39"/>
      <c r="GA83" s="39"/>
      <c r="GB83" s="39"/>
      <c r="GC83" s="39"/>
      <c r="GD83" s="39"/>
      <c r="GE83" s="39"/>
      <c r="GF83" s="39"/>
      <c r="GG83" s="39"/>
      <c r="GH83" s="39"/>
      <c r="GI83" s="39"/>
      <c r="GJ83" s="39"/>
      <c r="GK83" s="39"/>
      <c r="GL83" s="39"/>
      <c r="GM83" s="39"/>
      <c r="GN83" s="39"/>
      <c r="GO83" s="39"/>
      <c r="GP83" s="39"/>
      <c r="GQ83" s="39"/>
      <c r="GR83" s="39"/>
      <c r="GS83" s="39"/>
      <c r="GT83" s="39"/>
      <c r="GU83" s="39"/>
      <c r="GV83" s="39"/>
      <c r="GW83" s="39"/>
      <c r="GX83" s="39"/>
      <c r="GY83" s="39"/>
      <c r="GZ83" s="39"/>
      <c r="HA83" s="39"/>
      <c r="HB83" s="39"/>
      <c r="HC83" s="39"/>
      <c r="HD83" s="39"/>
      <c r="HE83" s="39"/>
      <c r="HF83" s="39"/>
      <c r="HG83" s="39"/>
      <c r="HH83" s="39"/>
      <c r="HI83" s="39"/>
      <c r="HJ83" s="39"/>
      <c r="HK83" s="39"/>
      <c r="HL83" s="39"/>
      <c r="HM83" s="39"/>
      <c r="HN83" s="39"/>
      <c r="HO83" s="39"/>
      <c r="HP83" s="39"/>
      <c r="HQ83" s="39"/>
      <c r="HR83" s="39"/>
      <c r="HS83" s="39"/>
      <c r="HT83" s="39"/>
      <c r="HU83" s="39"/>
      <c r="HV83" s="39"/>
      <c r="HW83" s="39"/>
      <c r="HX83" s="39"/>
      <c r="HY83" s="39"/>
      <c r="HZ83" s="39"/>
      <c r="IA83" s="39"/>
      <c r="IB83" s="39"/>
      <c r="IC83" s="39"/>
      <c r="ID83" s="39"/>
      <c r="IE83" s="39"/>
      <c r="IF83" s="39"/>
      <c r="IG83" s="39"/>
      <c r="IH83" s="39"/>
      <c r="II83" s="39"/>
      <c r="IJ83" s="39"/>
      <c r="IK83" s="39"/>
      <c r="IL83" s="39"/>
      <c r="IM83" s="39"/>
      <c r="IN83" s="39"/>
      <c r="IO83" s="39"/>
      <c r="IP83" s="39"/>
      <c r="IQ83" s="39"/>
      <c r="IR83" s="39"/>
      <c r="IS83" s="39"/>
      <c r="IT83" s="39"/>
      <c r="IU83" s="39"/>
      <c r="IV83" s="39"/>
      <c r="IW83" s="39"/>
      <c r="IX83" s="39"/>
      <c r="IY83" s="39"/>
      <c r="IZ83" s="39"/>
      <c r="JA83" s="39"/>
      <c r="JB83" s="39"/>
      <c r="JC83" s="39"/>
      <c r="JD83" s="39"/>
      <c r="JE83" s="39"/>
      <c r="JF83" s="39"/>
      <c r="JG83" s="39"/>
      <c r="JH83" s="39"/>
      <c r="JI83" s="39"/>
      <c r="JJ83" s="39"/>
      <c r="JK83" s="39"/>
      <c r="JL83" s="39"/>
      <c r="JM83" s="39"/>
      <c r="JN83" s="39"/>
      <c r="JO83" s="39"/>
      <c r="JP83" s="39"/>
      <c r="JQ83" s="39"/>
      <c r="JR83" s="39"/>
      <c r="JS83" s="39"/>
      <c r="JT83" s="41" t="b">
        <f aca="false">TRUE()</f>
        <v>1</v>
      </c>
      <c r="JU83" s="41" t="b">
        <f aca="false">TRUE()</f>
        <v>1</v>
      </c>
      <c r="JV83" s="39"/>
      <c r="JW83" s="39"/>
      <c r="JX83" s="39"/>
      <c r="JY83" s="39"/>
      <c r="JZ83" s="39"/>
      <c r="KA83" s="39"/>
      <c r="KB83" s="39"/>
      <c r="KC83" s="39"/>
      <c r="KD83" s="39"/>
      <c r="KE83" s="39"/>
      <c r="KF83" s="39"/>
      <c r="KG83" s="39"/>
      <c r="KH83" s="39"/>
      <c r="KI83" s="39"/>
      <c r="KJ83" s="39"/>
      <c r="KK83" s="39"/>
      <c r="KL83" s="39"/>
      <c r="KM83" s="39"/>
      <c r="KN83" s="39"/>
      <c r="KO83" s="39"/>
      <c r="KP83" s="41" t="b">
        <f aca="false">TRUE()</f>
        <v>1</v>
      </c>
      <c r="KQ83" s="39"/>
      <c r="KR83" s="39"/>
      <c r="KS83" s="41" t="b">
        <f aca="false">TRUE()</f>
        <v>1</v>
      </c>
      <c r="KT83" s="39"/>
      <c r="KU83" s="39"/>
    </row>
    <row r="84" customFormat="false" ht="14.4" hidden="false" customHeight="false" outlineLevel="0" collapsed="false">
      <c r="A84" s="37" t="s">
        <v>305</v>
      </c>
      <c r="B84" s="37" t="s">
        <v>2079</v>
      </c>
      <c r="C84" s="37"/>
      <c r="D84" s="37"/>
      <c r="E84" s="37"/>
      <c r="F84" s="37" t="s">
        <v>2080</v>
      </c>
      <c r="G84" s="37" t="s">
        <v>2081</v>
      </c>
      <c r="H84" s="37" t="s">
        <v>340</v>
      </c>
      <c r="I84" s="37" t="s">
        <v>310</v>
      </c>
      <c r="J84" s="37" t="s">
        <v>311</v>
      </c>
      <c r="K84" s="37"/>
      <c r="L84" s="37"/>
      <c r="M84" s="37"/>
      <c r="N84" s="37"/>
      <c r="O84" s="37" t="s">
        <v>2082</v>
      </c>
      <c r="P84" s="37" t="s">
        <v>2083</v>
      </c>
      <c r="Q84" s="37" t="s">
        <v>2084</v>
      </c>
      <c r="R84" s="37" t="s">
        <v>2085</v>
      </c>
      <c r="S84" s="37" t="s">
        <v>2086</v>
      </c>
      <c r="T84" s="37" t="s">
        <v>2087</v>
      </c>
      <c r="U84" s="37" t="s">
        <v>2088</v>
      </c>
      <c r="V84" s="37" t="s">
        <v>2089</v>
      </c>
      <c r="W84" s="37" t="s">
        <v>2090</v>
      </c>
      <c r="X84" s="37" t="s">
        <v>2091</v>
      </c>
      <c r="Y84" s="37" t="s">
        <v>2092</v>
      </c>
      <c r="Z84" s="37" t="s">
        <v>2093</v>
      </c>
      <c r="AA84" s="37" t="n">
        <v>116</v>
      </c>
      <c r="AB84" s="37" t="n">
        <v>37</v>
      </c>
      <c r="AC84" s="37" t="n">
        <v>40</v>
      </c>
      <c r="AD84" s="37" t="n">
        <v>4</v>
      </c>
      <c r="AE84" s="37" t="n">
        <v>29</v>
      </c>
      <c r="AF84" s="37" t="s">
        <v>353</v>
      </c>
      <c r="AG84" s="37" t="s">
        <v>354</v>
      </c>
      <c r="AH84" s="37" t="s">
        <v>355</v>
      </c>
      <c r="AI84" s="37" t="s">
        <v>356</v>
      </c>
      <c r="AJ84" s="37" t="s">
        <v>357</v>
      </c>
      <c r="AK84" s="37"/>
      <c r="AL84" s="37" t="s">
        <v>358</v>
      </c>
      <c r="AM84" s="37" t="s">
        <v>359</v>
      </c>
      <c r="AN84" s="37" t="s">
        <v>132</v>
      </c>
      <c r="AO84" s="37" t="n">
        <v>2021</v>
      </c>
      <c r="AP84" s="37" t="n">
        <v>600</v>
      </c>
      <c r="AQ84" s="37"/>
      <c r="AR84" s="37"/>
      <c r="AS84" s="37"/>
      <c r="AT84" s="37"/>
      <c r="AU84" s="37" t="n">
        <v>126579</v>
      </c>
      <c r="AV84" s="37" t="s">
        <v>2094</v>
      </c>
      <c r="AW84" s="37" t="str">
        <f aca="false">HYPERLINK("http://dx.doi.org/10.1016/j.jhydrol.2021.126579","http://dx.doi.org/10.1016/j.jhydrol.2021.126579")</f>
        <v>http://dx.doi.org/10.1016/j.jhydrol.2021.126579</v>
      </c>
      <c r="AX84" s="37" t="s">
        <v>984</v>
      </c>
      <c r="AY84" s="37" t="n">
        <v>21</v>
      </c>
      <c r="AZ84" s="37" t="s">
        <v>362</v>
      </c>
      <c r="BA84" s="37" t="s">
        <v>331</v>
      </c>
      <c r="BB84" s="37" t="s">
        <v>363</v>
      </c>
      <c r="BC84" s="37" t="s">
        <v>2095</v>
      </c>
      <c r="BD84" s="37"/>
      <c r="BE84" s="37" t="s">
        <v>365</v>
      </c>
      <c r="BF84" s="37" t="s">
        <v>334</v>
      </c>
      <c r="BG84" s="37" t="s">
        <v>2096</v>
      </c>
      <c r="BH84" s="37" t="str">
        <f aca="false">HYPERLINK("https%3A%2F%2Fwww.webofscience.com%2Fwos%2Fwoscc%2Ffull-record%2FWOS:000685246900066","View Full Record in Web of Science")</f>
        <v>View Full Record in Web of Science</v>
      </c>
      <c r="BI84" s="39"/>
      <c r="BJ84" s="39"/>
      <c r="BK84" s="39"/>
      <c r="BL84" s="39"/>
      <c r="BM84" s="39"/>
      <c r="BN84" s="39"/>
      <c r="BO84" s="39"/>
      <c r="BP84" s="39"/>
      <c r="BQ84" s="39"/>
      <c r="BR84" s="41" t="b">
        <f aca="false">TRUE()</f>
        <v>1</v>
      </c>
      <c r="BS84" s="39"/>
      <c r="BT84" s="3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V84" s="39"/>
      <c r="CW84" s="41" t="b">
        <f aca="false">TRUE()</f>
        <v>1</v>
      </c>
      <c r="CX84" s="39"/>
      <c r="CY84" s="39"/>
      <c r="CZ84" s="39"/>
      <c r="DA84" s="39"/>
      <c r="DB84" s="39"/>
      <c r="DC84" s="39"/>
      <c r="DD84" s="39"/>
      <c r="DE84" s="39"/>
      <c r="DF84" s="39"/>
      <c r="DG84" s="39"/>
      <c r="DH84" s="39"/>
      <c r="DI84" s="39"/>
      <c r="DJ84" s="39"/>
      <c r="DK84" s="39"/>
      <c r="DL84" s="39"/>
      <c r="DM84" s="39"/>
      <c r="DN84" s="39"/>
      <c r="DO84" s="39"/>
      <c r="DP84" s="39"/>
      <c r="DQ84" s="39"/>
      <c r="DR84" s="39"/>
      <c r="DS84" s="39"/>
      <c r="DT84" s="39"/>
      <c r="DU84" s="39"/>
      <c r="DV84" s="39"/>
      <c r="DW84" s="39"/>
      <c r="DX84" s="39"/>
      <c r="DY84" s="39"/>
      <c r="DZ84" s="39"/>
      <c r="EA84" s="39"/>
      <c r="EB84" s="39"/>
      <c r="EC84" s="39"/>
      <c r="ED84" s="39"/>
      <c r="EE84" s="39"/>
      <c r="EF84" s="39"/>
      <c r="EG84" s="39"/>
      <c r="EH84" s="39"/>
      <c r="EI84" s="39"/>
      <c r="EJ84" s="39"/>
      <c r="EK84" s="39"/>
      <c r="EL84" s="39"/>
      <c r="EM84" s="39"/>
      <c r="EN84" s="39"/>
      <c r="EO84" s="39"/>
      <c r="EP84" s="39"/>
      <c r="EQ84" s="39"/>
      <c r="ER84" s="39"/>
      <c r="ES84" s="39"/>
      <c r="ET84" s="39"/>
      <c r="EU84" s="39"/>
      <c r="EV84" s="39"/>
      <c r="EW84" s="39"/>
      <c r="EX84" s="41" t="b">
        <f aca="false">TRUE()</f>
        <v>1</v>
      </c>
      <c r="EY84" s="41" t="b">
        <f aca="false">TRUE()</f>
        <v>1</v>
      </c>
      <c r="EZ84" s="39"/>
      <c r="FA84" s="39"/>
      <c r="FB84" s="39"/>
      <c r="FC84" s="39"/>
      <c r="FD84" s="39"/>
      <c r="FE84" s="39"/>
      <c r="FF84" s="39"/>
      <c r="FG84" s="39"/>
      <c r="FH84" s="39"/>
      <c r="FI84" s="39"/>
      <c r="FJ84" s="39"/>
      <c r="FK84" s="39"/>
      <c r="FL84" s="39"/>
      <c r="FM84" s="39"/>
      <c r="FN84" s="39"/>
      <c r="FO84" s="39"/>
      <c r="FP84" s="39"/>
      <c r="FQ84" s="39"/>
      <c r="FR84" s="39"/>
      <c r="FS84" s="39"/>
      <c r="FT84" s="39"/>
      <c r="FU84" s="39"/>
      <c r="FV84" s="39"/>
      <c r="FW84" s="39"/>
      <c r="FX84" s="39"/>
      <c r="FY84" s="39"/>
      <c r="FZ84" s="39"/>
      <c r="GA84" s="39"/>
      <c r="GB84" s="39"/>
      <c r="GC84" s="39"/>
      <c r="GD84" s="39"/>
      <c r="GE84" s="41" t="b">
        <f aca="false">TRUE()</f>
        <v>1</v>
      </c>
      <c r="GF84" s="39"/>
      <c r="GG84" s="39"/>
      <c r="GH84" s="41" t="b">
        <f aca="false">TRUE()</f>
        <v>1</v>
      </c>
      <c r="GI84" s="39"/>
      <c r="GJ84" s="39"/>
      <c r="GK84" s="39"/>
      <c r="GL84" s="39"/>
      <c r="GM84" s="39"/>
      <c r="GN84" s="39"/>
      <c r="GO84" s="39"/>
      <c r="GP84" s="39"/>
      <c r="GQ84" s="39"/>
      <c r="GR84" s="39"/>
      <c r="GS84" s="39"/>
      <c r="GT84" s="39"/>
      <c r="GU84" s="39"/>
      <c r="GV84" s="39"/>
      <c r="GW84" s="39"/>
      <c r="GX84" s="39"/>
      <c r="GY84" s="39"/>
      <c r="GZ84" s="39"/>
      <c r="HA84" s="39"/>
      <c r="HB84" s="39"/>
      <c r="HC84" s="39"/>
      <c r="HD84" s="39"/>
      <c r="HE84" s="39"/>
      <c r="HF84" s="39"/>
      <c r="HG84" s="39"/>
      <c r="HH84" s="39"/>
      <c r="HI84" s="39"/>
      <c r="HJ84" s="39"/>
      <c r="HK84" s="39"/>
      <c r="HL84" s="39"/>
      <c r="HM84" s="41" t="b">
        <f aca="false">TRUE()</f>
        <v>1</v>
      </c>
      <c r="HN84" s="39"/>
      <c r="HO84" s="39"/>
      <c r="HP84" s="39"/>
      <c r="HQ84" s="39"/>
      <c r="HR84" s="39"/>
      <c r="HS84" s="39"/>
      <c r="HT84" s="39"/>
      <c r="HU84" s="39"/>
      <c r="HV84" s="39"/>
      <c r="HW84" s="39"/>
      <c r="HX84" s="39"/>
      <c r="HY84" s="39"/>
      <c r="HZ84" s="39"/>
      <c r="IA84" s="39"/>
      <c r="IB84" s="39"/>
      <c r="IC84" s="39"/>
      <c r="ID84" s="39"/>
      <c r="IE84" s="39"/>
      <c r="IF84" s="39"/>
      <c r="IG84" s="39"/>
      <c r="IH84" s="39"/>
      <c r="II84" s="39"/>
      <c r="IJ84" s="39"/>
      <c r="IK84" s="39"/>
      <c r="IL84" s="39"/>
      <c r="IM84" s="39"/>
      <c r="IN84" s="39"/>
      <c r="IO84" s="39"/>
      <c r="IP84" s="39"/>
      <c r="IQ84" s="39"/>
      <c r="IR84" s="39"/>
      <c r="IS84" s="39"/>
      <c r="IT84" s="39"/>
      <c r="IU84" s="39"/>
      <c r="IV84" s="39"/>
      <c r="IW84" s="39"/>
      <c r="IX84" s="39"/>
      <c r="IY84" s="39"/>
      <c r="IZ84" s="39"/>
      <c r="JA84" s="39"/>
      <c r="JB84" s="39"/>
      <c r="JC84" s="39"/>
      <c r="JD84" s="39"/>
      <c r="JE84" s="39"/>
      <c r="JF84" s="39"/>
      <c r="JG84" s="39"/>
      <c r="JH84" s="41" t="b">
        <f aca="false">TRUE()</f>
        <v>1</v>
      </c>
      <c r="JI84" s="39"/>
      <c r="JJ84" s="39"/>
      <c r="JK84" s="39"/>
      <c r="JL84" s="39"/>
      <c r="JM84" s="39"/>
      <c r="JN84" s="39"/>
      <c r="JO84" s="39"/>
      <c r="JP84" s="39"/>
      <c r="JQ84" s="39"/>
      <c r="JR84" s="39"/>
      <c r="JS84" s="39"/>
      <c r="JT84" s="41" t="b">
        <f aca="false">TRUE()</f>
        <v>1</v>
      </c>
      <c r="JU84" s="41" t="b">
        <f aca="false">TRUE()</f>
        <v>1</v>
      </c>
      <c r="JV84" s="39"/>
      <c r="JW84" s="39"/>
      <c r="JX84" s="39"/>
      <c r="JY84" s="39"/>
      <c r="JZ84" s="39"/>
      <c r="KA84" s="39"/>
      <c r="KB84" s="39"/>
      <c r="KC84" s="39"/>
      <c r="KD84" s="39"/>
      <c r="KE84" s="39"/>
      <c r="KF84" s="39"/>
      <c r="KG84" s="39"/>
      <c r="KH84" s="39"/>
      <c r="KI84" s="39"/>
      <c r="KJ84" s="39"/>
      <c r="KK84" s="39"/>
      <c r="KL84" s="39"/>
      <c r="KM84" s="39"/>
      <c r="KN84" s="39"/>
      <c r="KO84" s="41" t="b">
        <f aca="false">TRUE()</f>
        <v>1</v>
      </c>
      <c r="KP84" s="41" t="b">
        <f aca="false">TRUE()</f>
        <v>1</v>
      </c>
      <c r="KQ84" s="41" t="b">
        <f aca="false">TRUE()</f>
        <v>1</v>
      </c>
      <c r="KR84" s="39"/>
      <c r="KS84" s="41" t="b">
        <f aca="false">TRUE()</f>
        <v>1</v>
      </c>
      <c r="KT84" s="39"/>
      <c r="KU84" s="39"/>
    </row>
    <row r="85" customFormat="false" ht="14.4" hidden="false" customHeight="false" outlineLevel="0" collapsed="false">
      <c r="A85" s="37" t="s">
        <v>305</v>
      </c>
      <c r="B85" s="37" t="s">
        <v>2097</v>
      </c>
      <c r="C85" s="37"/>
      <c r="D85" s="37"/>
      <c r="E85" s="37"/>
      <c r="F85" s="37" t="s">
        <v>2098</v>
      </c>
      <c r="G85" s="37" t="s">
        <v>2099</v>
      </c>
      <c r="H85" s="37" t="s">
        <v>1226</v>
      </c>
      <c r="I85" s="37" t="s">
        <v>310</v>
      </c>
      <c r="J85" s="37" t="s">
        <v>311</v>
      </c>
      <c r="K85" s="37"/>
      <c r="L85" s="37"/>
      <c r="M85" s="37"/>
      <c r="N85" s="37"/>
      <c r="O85" s="37" t="s">
        <v>2100</v>
      </c>
      <c r="P85" s="37" t="s">
        <v>2101</v>
      </c>
      <c r="Q85" s="37" t="s">
        <v>2102</v>
      </c>
      <c r="R85" s="37" t="s">
        <v>2103</v>
      </c>
      <c r="S85" s="37" t="s">
        <v>2104</v>
      </c>
      <c r="T85" s="37" t="s">
        <v>2105</v>
      </c>
      <c r="U85" s="37" t="s">
        <v>2106</v>
      </c>
      <c r="V85" s="37" t="s">
        <v>2107</v>
      </c>
      <c r="W85" s="37"/>
      <c r="X85" s="37" t="s">
        <v>1463</v>
      </c>
      <c r="Y85" s="37" t="s">
        <v>378</v>
      </c>
      <c r="Z85" s="37" t="s">
        <v>2108</v>
      </c>
      <c r="AA85" s="37" t="n">
        <v>68</v>
      </c>
      <c r="AB85" s="37" t="n">
        <v>0</v>
      </c>
      <c r="AC85" s="37" t="n">
        <v>0</v>
      </c>
      <c r="AD85" s="37" t="n">
        <v>13</v>
      </c>
      <c r="AE85" s="37" t="n">
        <v>17</v>
      </c>
      <c r="AF85" s="37" t="s">
        <v>1238</v>
      </c>
      <c r="AG85" s="37" t="s">
        <v>1239</v>
      </c>
      <c r="AH85" s="37" t="s">
        <v>1240</v>
      </c>
      <c r="AI85" s="37" t="s">
        <v>1241</v>
      </c>
      <c r="AJ85" s="37"/>
      <c r="AK85" s="37"/>
      <c r="AL85" s="37" t="s">
        <v>1226</v>
      </c>
      <c r="AM85" s="37" t="s">
        <v>1242</v>
      </c>
      <c r="AN85" s="37"/>
      <c r="AO85" s="37" t="n">
        <v>2024</v>
      </c>
      <c r="AP85" s="37" t="n">
        <v>12</v>
      </c>
      <c r="AQ85" s="37"/>
      <c r="AR85" s="37"/>
      <c r="AS85" s="37" t="n">
        <v>81772</v>
      </c>
      <c r="AT85" s="37" t="n">
        <v>81782</v>
      </c>
      <c r="AU85" s="37"/>
      <c r="AV85" s="37" t="s">
        <v>2109</v>
      </c>
      <c r="AW85" s="37" t="str">
        <f aca="false">HYPERLINK("http://dx.doi.org/10.1109/ACCESS.2024.3411109","http://dx.doi.org/10.1109/ACCESS.2024.3411109")</f>
        <v>http://dx.doi.org/10.1109/ACCESS.2024.3411109</v>
      </c>
      <c r="AX85" s="37"/>
      <c r="AY85" s="37" t="n">
        <v>11</v>
      </c>
      <c r="AZ85" s="37" t="s">
        <v>1008</v>
      </c>
      <c r="BA85" s="37" t="s">
        <v>331</v>
      </c>
      <c r="BB85" s="37" t="s">
        <v>1009</v>
      </c>
      <c r="BC85" s="37" t="s">
        <v>2110</v>
      </c>
      <c r="BD85" s="37"/>
      <c r="BE85" s="37" t="s">
        <v>503</v>
      </c>
      <c r="BF85" s="37" t="s">
        <v>334</v>
      </c>
      <c r="BG85" s="37" t="s">
        <v>2111</v>
      </c>
      <c r="BH85" s="37" t="str">
        <f aca="false">HYPERLINK("https%3A%2F%2Fwww.webofscience.com%2Fwos%2Fwoscc%2Ffull-record%2FWOS:001248116800001","View Full Record in Web of Science")</f>
        <v>View Full Record in Web of Science</v>
      </c>
      <c r="BI85" s="39"/>
      <c r="BJ85" s="39"/>
      <c r="BK85" s="39"/>
      <c r="BL85" s="39"/>
      <c r="BM85" s="39"/>
      <c r="BN85" s="39"/>
      <c r="BO85" s="41" t="b">
        <f aca="false">TRUE()</f>
        <v>1</v>
      </c>
      <c r="BP85" s="41" t="b">
        <f aca="false">TRUE()</f>
        <v>1</v>
      </c>
      <c r="BQ85" s="39"/>
      <c r="BR85" s="41" t="b">
        <f aca="false">TRUE()</f>
        <v>1</v>
      </c>
      <c r="BS85" s="41" t="b">
        <f aca="false">TRUE()</f>
        <v>1</v>
      </c>
      <c r="BT85" s="41" t="b">
        <f aca="false">TRUE()</f>
        <v>1</v>
      </c>
      <c r="BU85" s="39"/>
      <c r="BV85" s="39"/>
      <c r="BW85" s="39"/>
      <c r="BX85" s="39"/>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41" t="b">
        <f aca="false">TRUE()</f>
        <v>1</v>
      </c>
      <c r="EB85" s="39"/>
      <c r="EC85" s="39"/>
      <c r="ED85" s="39"/>
      <c r="EE85" s="39"/>
      <c r="EF85" s="39"/>
      <c r="EG85" s="39"/>
      <c r="EH85" s="39"/>
      <c r="EI85" s="41" t="b">
        <f aca="false">TRUE()</f>
        <v>1</v>
      </c>
      <c r="EJ85" s="39"/>
      <c r="EK85" s="39"/>
      <c r="EL85" s="39"/>
      <c r="EM85" s="39"/>
      <c r="EN85" s="39"/>
      <c r="EO85" s="39"/>
      <c r="EP85" s="39"/>
      <c r="EQ85" s="39"/>
      <c r="ER85" s="39"/>
      <c r="ES85" s="39"/>
      <c r="ET85" s="39"/>
      <c r="EU85" s="39"/>
      <c r="EV85" s="39"/>
      <c r="EW85" s="39"/>
      <c r="EX85" s="41" t="b">
        <f aca="false">TRUE()</f>
        <v>1</v>
      </c>
      <c r="EY85" s="39"/>
      <c r="EZ85" s="39"/>
      <c r="FA85" s="39"/>
      <c r="FB85" s="39"/>
      <c r="FC85" s="39"/>
      <c r="FD85" s="39"/>
      <c r="FE85" s="39"/>
      <c r="FF85" s="39"/>
      <c r="FG85" s="39"/>
      <c r="FH85" s="39"/>
      <c r="FI85" s="39"/>
      <c r="FJ85" s="39"/>
      <c r="FK85" s="39"/>
      <c r="FL85" s="39"/>
      <c r="FM85" s="39"/>
      <c r="FN85" s="39"/>
      <c r="FO85" s="39"/>
      <c r="FP85" s="39"/>
      <c r="FQ85" s="39"/>
      <c r="FR85" s="39"/>
      <c r="FS85" s="39"/>
      <c r="FT85" s="39"/>
      <c r="FU85" s="39"/>
      <c r="FV85" s="39"/>
      <c r="FW85" s="39"/>
      <c r="FX85" s="39"/>
      <c r="FY85" s="39"/>
      <c r="FZ85" s="39"/>
      <c r="GA85" s="39"/>
      <c r="GB85" s="39"/>
      <c r="GC85" s="41" t="b">
        <f aca="false">TRUE()</f>
        <v>1</v>
      </c>
      <c r="GD85" s="39"/>
      <c r="GE85" s="39"/>
      <c r="GF85" s="39"/>
      <c r="GG85" s="39"/>
      <c r="GH85" s="39"/>
      <c r="GI85" s="39"/>
      <c r="GJ85" s="39"/>
      <c r="GK85" s="39"/>
      <c r="GL85" s="39"/>
      <c r="GM85" s="39"/>
      <c r="GN85" s="39"/>
      <c r="GO85" s="39"/>
      <c r="GP85" s="39"/>
      <c r="GQ85" s="39"/>
      <c r="GR85" s="39"/>
      <c r="GS85" s="39"/>
      <c r="GT85" s="39"/>
      <c r="GU85" s="39"/>
      <c r="GV85" s="39"/>
      <c r="GW85" s="39"/>
      <c r="GX85" s="39"/>
      <c r="GY85" s="39"/>
      <c r="GZ85" s="39"/>
      <c r="HA85" s="39"/>
      <c r="HB85" s="39"/>
      <c r="HC85" s="39"/>
      <c r="HD85" s="39"/>
      <c r="HE85" s="39"/>
      <c r="HF85" s="39"/>
      <c r="HG85" s="39"/>
      <c r="HH85" s="39"/>
      <c r="HI85" s="39"/>
      <c r="HJ85" s="39"/>
      <c r="HK85" s="39"/>
      <c r="HL85" s="39"/>
      <c r="HM85" s="39"/>
      <c r="HN85" s="39"/>
      <c r="HO85" s="39"/>
      <c r="HP85" s="39"/>
      <c r="HQ85" s="39"/>
      <c r="HR85" s="39"/>
      <c r="HS85" s="39"/>
      <c r="HT85" s="39"/>
      <c r="HU85" s="39"/>
      <c r="HV85" s="39"/>
      <c r="HW85" s="39"/>
      <c r="HX85" s="39"/>
      <c r="HY85" s="39"/>
      <c r="HZ85" s="39"/>
      <c r="IA85" s="39"/>
      <c r="IB85" s="39"/>
      <c r="IC85" s="39"/>
      <c r="ID85" s="41" t="b">
        <f aca="false">TRUE()</f>
        <v>1</v>
      </c>
      <c r="IE85" s="39"/>
      <c r="IF85" s="39"/>
      <c r="IG85" s="39"/>
      <c r="IH85" s="39"/>
      <c r="II85" s="39"/>
      <c r="IJ85" s="39"/>
      <c r="IK85" s="39"/>
      <c r="IL85" s="39"/>
      <c r="IM85" s="39"/>
      <c r="IN85" s="39"/>
      <c r="IO85" s="39"/>
      <c r="IP85" s="39"/>
      <c r="IQ85" s="39"/>
      <c r="IR85" s="39"/>
      <c r="IS85" s="39"/>
      <c r="IT85" s="39"/>
      <c r="IU85" s="39"/>
      <c r="IV85" s="39"/>
      <c r="IW85" s="39"/>
      <c r="IX85" s="39"/>
      <c r="IY85" s="39"/>
      <c r="IZ85" s="39"/>
      <c r="JA85" s="39"/>
      <c r="JB85" s="39"/>
      <c r="JC85" s="39"/>
      <c r="JD85" s="39"/>
      <c r="JE85" s="39"/>
      <c r="JF85" s="39"/>
      <c r="JG85" s="39"/>
      <c r="JH85" s="39"/>
      <c r="JI85" s="39"/>
      <c r="JJ85" s="39"/>
      <c r="JK85" s="39"/>
      <c r="JL85" s="39"/>
      <c r="JM85" s="39"/>
      <c r="JN85" s="39"/>
      <c r="JO85" s="39"/>
      <c r="JP85" s="39"/>
      <c r="JQ85" s="39"/>
      <c r="JR85" s="39"/>
      <c r="JS85" s="39"/>
      <c r="JT85" s="41" t="b">
        <f aca="false">TRUE()</f>
        <v>1</v>
      </c>
      <c r="JU85" s="39"/>
      <c r="JV85" s="39"/>
      <c r="JW85" s="39"/>
      <c r="JX85" s="39"/>
      <c r="JY85" s="39"/>
      <c r="JZ85" s="39"/>
      <c r="KA85" s="39"/>
      <c r="KB85" s="39"/>
      <c r="KC85" s="39"/>
      <c r="KD85" s="39"/>
      <c r="KE85" s="39"/>
      <c r="KF85" s="39"/>
      <c r="KG85" s="39"/>
      <c r="KH85" s="39"/>
      <c r="KI85" s="39"/>
      <c r="KJ85" s="41" t="b">
        <f aca="false">TRUE()</f>
        <v>1</v>
      </c>
      <c r="KK85" s="39"/>
      <c r="KL85" s="39"/>
      <c r="KM85" s="39"/>
      <c r="KN85" s="39"/>
      <c r="KO85" s="41" t="b">
        <f aca="false">TRUE()</f>
        <v>1</v>
      </c>
      <c r="KP85" s="41" t="b">
        <f aca="false">TRUE()</f>
        <v>1</v>
      </c>
      <c r="KQ85" s="39"/>
      <c r="KR85" s="41" t="b">
        <f aca="false">TRUE()</f>
        <v>1</v>
      </c>
      <c r="KS85" s="39"/>
      <c r="KT85" s="41" t="b">
        <f aca="false">TRUE()</f>
        <v>1</v>
      </c>
      <c r="KU85" s="39"/>
    </row>
    <row r="86" customFormat="false" ht="14.4" hidden="false" customHeight="false" outlineLevel="0" collapsed="false">
      <c r="A86" s="37" t="s">
        <v>305</v>
      </c>
      <c r="B86" s="37" t="s">
        <v>2112</v>
      </c>
      <c r="C86" s="37"/>
      <c r="D86" s="37"/>
      <c r="E86" s="37"/>
      <c r="F86" s="37" t="s">
        <v>2113</v>
      </c>
      <c r="G86" s="37" t="s">
        <v>2114</v>
      </c>
      <c r="H86" s="37" t="s">
        <v>926</v>
      </c>
      <c r="I86" s="37" t="s">
        <v>310</v>
      </c>
      <c r="J86" s="37" t="s">
        <v>311</v>
      </c>
      <c r="K86" s="37"/>
      <c r="L86" s="37"/>
      <c r="M86" s="37"/>
      <c r="N86" s="37"/>
      <c r="O86" s="37" t="s">
        <v>2115</v>
      </c>
      <c r="P86" s="37" t="s">
        <v>2116</v>
      </c>
      <c r="Q86" s="37" t="s">
        <v>2117</v>
      </c>
      <c r="R86" s="37" t="s">
        <v>2118</v>
      </c>
      <c r="S86" s="37" t="s">
        <v>2119</v>
      </c>
      <c r="T86" s="37" t="s">
        <v>2120</v>
      </c>
      <c r="U86" s="37" t="s">
        <v>2121</v>
      </c>
      <c r="V86" s="37"/>
      <c r="W86" s="37" t="s">
        <v>2122</v>
      </c>
      <c r="X86" s="37" t="s">
        <v>2123</v>
      </c>
      <c r="Y86" s="37" t="s">
        <v>2124</v>
      </c>
      <c r="Z86" s="37" t="s">
        <v>2125</v>
      </c>
      <c r="AA86" s="37" t="n">
        <v>48</v>
      </c>
      <c r="AB86" s="37" t="n">
        <v>6</v>
      </c>
      <c r="AC86" s="37" t="n">
        <v>6</v>
      </c>
      <c r="AD86" s="37" t="n">
        <v>17</v>
      </c>
      <c r="AE86" s="37" t="n">
        <v>76</v>
      </c>
      <c r="AF86" s="37" t="s">
        <v>546</v>
      </c>
      <c r="AG86" s="37" t="s">
        <v>547</v>
      </c>
      <c r="AH86" s="37" t="s">
        <v>548</v>
      </c>
      <c r="AI86" s="37"/>
      <c r="AJ86" s="37" t="s">
        <v>939</v>
      </c>
      <c r="AK86" s="37"/>
      <c r="AL86" s="37" t="s">
        <v>940</v>
      </c>
      <c r="AM86" s="37" t="s">
        <v>941</v>
      </c>
      <c r="AN86" s="37" t="s">
        <v>408</v>
      </c>
      <c r="AO86" s="37" t="n">
        <v>2022</v>
      </c>
      <c r="AP86" s="37" t="n">
        <v>12</v>
      </c>
      <c r="AQ86" s="37" t="n">
        <v>24</v>
      </c>
      <c r="AR86" s="37"/>
      <c r="AS86" s="37"/>
      <c r="AT86" s="37"/>
      <c r="AU86" s="37" t="n">
        <v>12529</v>
      </c>
      <c r="AV86" s="37" t="s">
        <v>2126</v>
      </c>
      <c r="AW86" s="37" t="str">
        <f aca="false">HYPERLINK("http://dx.doi.org/10.3390/app122412529","http://dx.doi.org/10.3390/app122412529")</f>
        <v>http://dx.doi.org/10.3390/app122412529</v>
      </c>
      <c r="AX86" s="37"/>
      <c r="AY86" s="37" t="n">
        <v>32</v>
      </c>
      <c r="AZ86" s="37" t="s">
        <v>944</v>
      </c>
      <c r="BA86" s="37" t="s">
        <v>331</v>
      </c>
      <c r="BB86" s="37" t="s">
        <v>945</v>
      </c>
      <c r="BC86" s="37" t="s">
        <v>2127</v>
      </c>
      <c r="BD86" s="37"/>
      <c r="BE86" s="37" t="s">
        <v>503</v>
      </c>
      <c r="BF86" s="37" t="s">
        <v>334</v>
      </c>
      <c r="BG86" s="37" t="s">
        <v>2128</v>
      </c>
      <c r="BH86" s="37" t="str">
        <f aca="false">HYPERLINK("https%3A%2F%2Fwww.webofscience.com%2Fwos%2Fwoscc%2Ffull-record%2FWOS:000900460300001","View Full Record in Web of Science")</f>
        <v>View Full Record in Web of Science</v>
      </c>
      <c r="BI86" s="41" t="b">
        <f aca="false">TRUE()</f>
        <v>1</v>
      </c>
      <c r="BJ86" s="39"/>
      <c r="BK86" s="39"/>
      <c r="BL86" s="39"/>
      <c r="BM86" s="39"/>
      <c r="BN86" s="39"/>
      <c r="BO86" s="39"/>
      <c r="BP86" s="39"/>
      <c r="BQ86" s="39"/>
      <c r="BR86" s="41" t="b">
        <f aca="false">TRUE()</f>
        <v>1</v>
      </c>
      <c r="BS86" s="39"/>
      <c r="BT86" s="39"/>
      <c r="BU86" s="39"/>
      <c r="BV86" s="39"/>
      <c r="BW86" s="39"/>
      <c r="BX86" s="39"/>
      <c r="BY86" s="41" t="b">
        <f aca="false">TRUE()</f>
        <v>1</v>
      </c>
      <c r="BZ86" s="39"/>
      <c r="CA86" s="39"/>
      <c r="CB86" s="39"/>
      <c r="CC86" s="39"/>
      <c r="CD86" s="39"/>
      <c r="CE86" s="39"/>
      <c r="CF86" s="39"/>
      <c r="CG86" s="39"/>
      <c r="CH86" s="39"/>
      <c r="CI86" s="39"/>
      <c r="CJ86" s="39"/>
      <c r="CK86" s="39"/>
      <c r="CL86" s="39"/>
      <c r="CM86" s="39"/>
      <c r="CN86" s="39"/>
      <c r="CO86" s="39"/>
      <c r="CP86" s="39"/>
      <c r="CQ86" s="39"/>
      <c r="CR86" s="39"/>
      <c r="CS86" s="39"/>
      <c r="CT86" s="39"/>
      <c r="CU86" s="39"/>
      <c r="CV86" s="39"/>
      <c r="CW86" s="39"/>
      <c r="CX86" s="39"/>
      <c r="CY86" s="39"/>
      <c r="CZ86" s="39"/>
      <c r="DA86" s="39"/>
      <c r="DB86" s="39"/>
      <c r="DC86" s="39"/>
      <c r="DD86" s="39"/>
      <c r="DE86" s="39"/>
      <c r="DF86" s="39"/>
      <c r="DG86" s="39"/>
      <c r="DH86" s="39"/>
      <c r="DI86" s="39"/>
      <c r="DJ86" s="39"/>
      <c r="DK86" s="39"/>
      <c r="DL86" s="39"/>
      <c r="DM86" s="39"/>
      <c r="DN86" s="39"/>
      <c r="DO86" s="39"/>
      <c r="DP86" s="39"/>
      <c r="DQ86" s="39"/>
      <c r="DR86" s="39"/>
      <c r="DS86" s="39"/>
      <c r="DT86" s="39"/>
      <c r="DU86" s="39"/>
      <c r="DV86" s="39"/>
      <c r="DW86" s="39"/>
      <c r="DX86" s="39"/>
      <c r="DY86" s="39"/>
      <c r="DZ86" s="39"/>
      <c r="EA86" s="41" t="b">
        <f aca="false">TRUE()</f>
        <v>1</v>
      </c>
      <c r="EB86" s="39"/>
      <c r="EC86" s="39"/>
      <c r="ED86" s="39"/>
      <c r="EE86" s="39"/>
      <c r="EF86" s="39"/>
      <c r="EG86" s="39"/>
      <c r="EH86" s="39"/>
      <c r="EI86" s="41" t="b">
        <f aca="false">TRUE()</f>
        <v>1</v>
      </c>
      <c r="EJ86" s="39"/>
      <c r="EK86" s="39"/>
      <c r="EL86" s="39"/>
      <c r="EM86" s="39"/>
      <c r="EN86" s="39"/>
      <c r="EO86" s="39"/>
      <c r="EP86" s="39"/>
      <c r="EQ86" s="39"/>
      <c r="ER86" s="39"/>
      <c r="ES86" s="39"/>
      <c r="ET86" s="39"/>
      <c r="EU86" s="39"/>
      <c r="EV86" s="39"/>
      <c r="EW86" s="39"/>
      <c r="EX86" s="39"/>
      <c r="EY86" s="39"/>
      <c r="EZ86" s="39"/>
      <c r="FA86" s="39"/>
      <c r="FB86" s="39"/>
      <c r="FC86" s="39"/>
      <c r="FD86" s="39"/>
      <c r="FE86" s="39"/>
      <c r="FF86" s="39"/>
      <c r="FG86" s="39"/>
      <c r="FH86" s="39"/>
      <c r="FI86" s="39"/>
      <c r="FJ86" s="39"/>
      <c r="FK86" s="39"/>
      <c r="FL86" s="39"/>
      <c r="FM86" s="39"/>
      <c r="FN86" s="39"/>
      <c r="FO86" s="39"/>
      <c r="FP86" s="39"/>
      <c r="FQ86" s="39"/>
      <c r="FR86" s="39"/>
      <c r="FS86" s="39"/>
      <c r="FT86" s="39"/>
      <c r="FU86" s="39"/>
      <c r="FV86" s="39"/>
      <c r="FW86" s="39"/>
      <c r="FX86" s="39"/>
      <c r="FY86" s="39"/>
      <c r="FZ86" s="39"/>
      <c r="GA86" s="39"/>
      <c r="GB86" s="39"/>
      <c r="GC86" s="39"/>
      <c r="GD86" s="39"/>
      <c r="GE86" s="39"/>
      <c r="GF86" s="39"/>
      <c r="GG86" s="39"/>
      <c r="GH86" s="39"/>
      <c r="GI86" s="39"/>
      <c r="GJ86" s="39"/>
      <c r="GK86" s="39"/>
      <c r="GL86" s="39"/>
      <c r="GM86" s="39"/>
      <c r="GN86" s="39"/>
      <c r="GO86" s="39"/>
      <c r="GP86" s="39"/>
      <c r="GQ86" s="39"/>
      <c r="GR86" s="39"/>
      <c r="GS86" s="39"/>
      <c r="GT86" s="39"/>
      <c r="GU86" s="39"/>
      <c r="GV86" s="39"/>
      <c r="GW86" s="39"/>
      <c r="GX86" s="39"/>
      <c r="GY86" s="39"/>
      <c r="GZ86" s="39"/>
      <c r="HA86" s="39"/>
      <c r="HB86" s="39"/>
      <c r="HC86" s="39"/>
      <c r="HD86" s="39"/>
      <c r="HE86" s="39"/>
      <c r="HF86" s="39"/>
      <c r="HG86" s="39"/>
      <c r="HH86" s="39"/>
      <c r="HI86" s="39"/>
      <c r="HJ86" s="39"/>
      <c r="HK86" s="39"/>
      <c r="HL86" s="39"/>
      <c r="HM86" s="39"/>
      <c r="HN86" s="39"/>
      <c r="HO86" s="39"/>
      <c r="HP86" s="39"/>
      <c r="HQ86" s="39"/>
      <c r="HR86" s="39"/>
      <c r="HS86" s="39"/>
      <c r="HT86" s="39"/>
      <c r="HU86" s="39"/>
      <c r="HV86" s="39"/>
      <c r="HW86" s="39"/>
      <c r="HX86" s="39"/>
      <c r="HY86" s="39"/>
      <c r="HZ86" s="39"/>
      <c r="IA86" s="39"/>
      <c r="IB86" s="39"/>
      <c r="IC86" s="39"/>
      <c r="ID86" s="41" t="b">
        <f aca="false">TRUE()</f>
        <v>1</v>
      </c>
      <c r="IE86" s="39"/>
      <c r="IF86" s="39"/>
      <c r="IG86" s="39"/>
      <c r="IH86" s="39"/>
      <c r="II86" s="39"/>
      <c r="IJ86" s="39"/>
      <c r="IK86" s="39"/>
      <c r="IL86" s="39"/>
      <c r="IM86" s="39"/>
      <c r="IN86" s="39"/>
      <c r="IO86" s="39"/>
      <c r="IP86" s="39"/>
      <c r="IQ86" s="39"/>
      <c r="IR86" s="39"/>
      <c r="IS86" s="39"/>
      <c r="IT86" s="39"/>
      <c r="IU86" s="39"/>
      <c r="IV86" s="39"/>
      <c r="IW86" s="39"/>
      <c r="IX86" s="39"/>
      <c r="IY86" s="39"/>
      <c r="IZ86" s="39"/>
      <c r="JA86" s="39"/>
      <c r="JB86" s="39"/>
      <c r="JC86" s="39"/>
      <c r="JD86" s="39"/>
      <c r="JE86" s="39"/>
      <c r="JF86" s="39"/>
      <c r="JG86" s="39"/>
      <c r="JH86" s="39"/>
      <c r="JI86" s="39"/>
      <c r="JJ86" s="39"/>
      <c r="JK86" s="39"/>
      <c r="JL86" s="39"/>
      <c r="JM86" s="39"/>
      <c r="JN86" s="39"/>
      <c r="JO86" s="39"/>
      <c r="JP86" s="39"/>
      <c r="JQ86" s="39"/>
      <c r="JR86" s="39"/>
      <c r="JS86" s="39"/>
      <c r="JT86" s="41" t="b">
        <f aca="false">TRUE()</f>
        <v>1</v>
      </c>
      <c r="JU86" s="41" t="b">
        <f aca="false">TRUE()</f>
        <v>1</v>
      </c>
      <c r="JV86" s="39"/>
      <c r="JW86" s="39"/>
      <c r="JX86" s="39"/>
      <c r="JY86" s="39"/>
      <c r="JZ86" s="39"/>
      <c r="KA86" s="39"/>
      <c r="KB86" s="39"/>
      <c r="KC86" s="39"/>
      <c r="KD86" s="39"/>
      <c r="KE86" s="39"/>
      <c r="KF86" s="39"/>
      <c r="KG86" s="39"/>
      <c r="KH86" s="39"/>
      <c r="KI86" s="39"/>
      <c r="KJ86" s="39"/>
      <c r="KK86" s="39"/>
      <c r="KL86" s="39"/>
      <c r="KM86" s="39"/>
      <c r="KN86" s="39"/>
      <c r="KO86" s="39"/>
      <c r="KP86" s="41" t="b">
        <f aca="false">TRUE()</f>
        <v>1</v>
      </c>
      <c r="KQ86" s="39"/>
      <c r="KR86" s="39"/>
      <c r="KS86" s="41" t="b">
        <f aca="false">TRUE()</f>
        <v>1</v>
      </c>
      <c r="KT86" s="39"/>
      <c r="KU86" s="39"/>
    </row>
    <row r="87" customFormat="false" ht="14.4" hidden="false" customHeight="false" outlineLevel="0" collapsed="false">
      <c r="A87" s="37" t="s">
        <v>305</v>
      </c>
      <c r="B87" s="37" t="s">
        <v>2129</v>
      </c>
      <c r="C87" s="37"/>
      <c r="D87" s="37"/>
      <c r="E87" s="37"/>
      <c r="F87" s="37" t="s">
        <v>2130</v>
      </c>
      <c r="G87" s="37" t="s">
        <v>2131</v>
      </c>
      <c r="H87" s="37" t="s">
        <v>340</v>
      </c>
      <c r="I87" s="37" t="s">
        <v>310</v>
      </c>
      <c r="J87" s="37" t="s">
        <v>311</v>
      </c>
      <c r="K87" s="37"/>
      <c r="L87" s="37"/>
      <c r="M87" s="37"/>
      <c r="N87" s="37"/>
      <c r="O87" s="37" t="s">
        <v>2132</v>
      </c>
      <c r="P87" s="37" t="s">
        <v>2133</v>
      </c>
      <c r="Q87" s="37" t="s">
        <v>2134</v>
      </c>
      <c r="R87" s="37" t="s">
        <v>2135</v>
      </c>
      <c r="S87" s="37" t="s">
        <v>2136</v>
      </c>
      <c r="T87" s="37" t="s">
        <v>2137</v>
      </c>
      <c r="U87" s="37" t="s">
        <v>2138</v>
      </c>
      <c r="V87" s="37" t="s">
        <v>2139</v>
      </c>
      <c r="W87" s="37" t="s">
        <v>2140</v>
      </c>
      <c r="X87" s="37" t="s">
        <v>2141</v>
      </c>
      <c r="Y87" s="37" t="s">
        <v>2142</v>
      </c>
      <c r="Z87" s="37" t="s">
        <v>2143</v>
      </c>
      <c r="AA87" s="37" t="n">
        <v>107</v>
      </c>
      <c r="AB87" s="37" t="n">
        <v>19</v>
      </c>
      <c r="AC87" s="37" t="n">
        <v>19</v>
      </c>
      <c r="AD87" s="37" t="n">
        <v>10</v>
      </c>
      <c r="AE87" s="37" t="n">
        <v>76</v>
      </c>
      <c r="AF87" s="37" t="s">
        <v>353</v>
      </c>
      <c r="AG87" s="37" t="s">
        <v>354</v>
      </c>
      <c r="AH87" s="37" t="s">
        <v>355</v>
      </c>
      <c r="AI87" s="37" t="s">
        <v>356</v>
      </c>
      <c r="AJ87" s="37" t="s">
        <v>357</v>
      </c>
      <c r="AK87" s="37"/>
      <c r="AL87" s="37" t="s">
        <v>358</v>
      </c>
      <c r="AM87" s="37" t="s">
        <v>359</v>
      </c>
      <c r="AN87" s="37" t="s">
        <v>2054</v>
      </c>
      <c r="AO87" s="37" t="n">
        <v>2022</v>
      </c>
      <c r="AP87" s="37" t="n">
        <v>610</v>
      </c>
      <c r="AQ87" s="37"/>
      <c r="AR87" s="37"/>
      <c r="AS87" s="37"/>
      <c r="AT87" s="37"/>
      <c r="AU87" s="37" t="n">
        <v>127990</v>
      </c>
      <c r="AV87" s="37" t="s">
        <v>2144</v>
      </c>
      <c r="AW87" s="37" t="str">
        <f aca="false">HYPERLINK("http://dx.doi.org/10.1016/j.jhydrol.2022.127990","http://dx.doi.org/10.1016/j.jhydrol.2022.127990")</f>
        <v>http://dx.doi.org/10.1016/j.jhydrol.2022.127990</v>
      </c>
      <c r="AX87" s="37" t="s">
        <v>2145</v>
      </c>
      <c r="AY87" s="37" t="n">
        <v>18</v>
      </c>
      <c r="AZ87" s="37" t="s">
        <v>362</v>
      </c>
      <c r="BA87" s="37" t="s">
        <v>331</v>
      </c>
      <c r="BB87" s="37" t="s">
        <v>363</v>
      </c>
      <c r="BC87" s="37" t="s">
        <v>2146</v>
      </c>
      <c r="BD87" s="37"/>
      <c r="BE87" s="37" t="s">
        <v>2147</v>
      </c>
      <c r="BF87" s="37" t="s">
        <v>334</v>
      </c>
      <c r="BG87" s="37" t="s">
        <v>2148</v>
      </c>
      <c r="BH87" s="37" t="str">
        <f aca="false">HYPERLINK("https%3A%2F%2Fwww.webofscience.com%2Fwos%2Fwoscc%2Ffull-record%2FWOS:000811871200001","View Full Record in Web of Science")</f>
        <v>View Full Record in Web of Science</v>
      </c>
      <c r="BI87" s="41" t="b">
        <f aca="false">TRUE()</f>
        <v>1</v>
      </c>
      <c r="BJ87" s="39"/>
      <c r="BK87" s="39"/>
      <c r="BL87" s="39"/>
      <c r="BM87" s="39"/>
      <c r="BN87" s="39"/>
      <c r="BO87" s="39"/>
      <c r="BP87" s="39"/>
      <c r="BQ87" s="39"/>
      <c r="BR87" s="39"/>
      <c r="BS87" s="39"/>
      <c r="BT87" s="39"/>
      <c r="BU87" s="39"/>
      <c r="BV87" s="39"/>
      <c r="BW87" s="39"/>
      <c r="BX87" s="39"/>
      <c r="BY87" s="39"/>
      <c r="BZ87" s="39"/>
      <c r="CA87" s="39"/>
      <c r="CB87" s="39"/>
      <c r="CC87" s="39"/>
      <c r="CD87" s="39"/>
      <c r="CE87" s="39"/>
      <c r="CF87" s="39"/>
      <c r="CG87" s="39"/>
      <c r="CH87" s="39"/>
      <c r="CI87" s="39"/>
      <c r="CJ87" s="39"/>
      <c r="CK87" s="39"/>
      <c r="CL87" s="39"/>
      <c r="CM87" s="39"/>
      <c r="CN87" s="39"/>
      <c r="CO87" s="39"/>
      <c r="CP87" s="39"/>
      <c r="CQ87" s="39"/>
      <c r="CR87" s="39"/>
      <c r="CS87" s="39"/>
      <c r="CT87" s="39"/>
      <c r="CU87" s="39"/>
      <c r="CV87" s="39"/>
      <c r="CW87" s="41" t="b">
        <f aca="false">TRUE()</f>
        <v>1</v>
      </c>
      <c r="CX87" s="39"/>
      <c r="CY87" s="39"/>
      <c r="CZ87" s="41" t="b">
        <f aca="false">TRUE()</f>
        <v>1</v>
      </c>
      <c r="DA87" s="39"/>
      <c r="DB87" s="39"/>
      <c r="DC87" s="39"/>
      <c r="DD87" s="39"/>
      <c r="DE87" s="39"/>
      <c r="DF87" s="39"/>
      <c r="DG87" s="39"/>
      <c r="DH87" s="39"/>
      <c r="DI87" s="39"/>
      <c r="DJ87" s="39"/>
      <c r="DK87" s="39"/>
      <c r="DL87" s="39"/>
      <c r="DM87" s="39"/>
      <c r="DN87" s="39"/>
      <c r="DO87" s="39"/>
      <c r="DP87" s="41" t="b">
        <f aca="false">TRUE()</f>
        <v>1</v>
      </c>
      <c r="DQ87" s="39"/>
      <c r="DR87" s="39"/>
      <c r="DS87" s="39"/>
      <c r="DT87" s="39"/>
      <c r="DU87" s="39"/>
      <c r="DV87" s="39"/>
      <c r="DW87" s="39"/>
      <c r="DX87" s="39"/>
      <c r="DY87" s="39"/>
      <c r="DZ87" s="39"/>
      <c r="EA87" s="41" t="b">
        <f aca="false">TRUE()</f>
        <v>1</v>
      </c>
      <c r="EB87" s="39"/>
      <c r="EC87" s="39"/>
      <c r="ED87" s="39"/>
      <c r="EE87" s="39"/>
      <c r="EF87" s="39"/>
      <c r="EG87" s="39"/>
      <c r="EH87" s="39"/>
      <c r="EI87" s="39"/>
      <c r="EJ87" s="39"/>
      <c r="EK87" s="39"/>
      <c r="EL87" s="39"/>
      <c r="EM87" s="39"/>
      <c r="EN87" s="39"/>
      <c r="EO87" s="39"/>
      <c r="EP87" s="39"/>
      <c r="EQ87" s="39"/>
      <c r="ER87" s="39"/>
      <c r="ES87" s="39"/>
      <c r="ET87" s="39"/>
      <c r="EU87" s="39"/>
      <c r="EV87" s="39"/>
      <c r="EW87" s="39"/>
      <c r="EX87" s="39"/>
      <c r="EY87" s="39"/>
      <c r="EZ87" s="39"/>
      <c r="FA87" s="39"/>
      <c r="FB87" s="41" t="b">
        <f aca="false">TRUE()</f>
        <v>1</v>
      </c>
      <c r="FC87" s="39"/>
      <c r="FD87" s="39"/>
      <c r="FE87" s="39"/>
      <c r="FF87" s="39"/>
      <c r="FG87" s="39"/>
      <c r="FH87" s="39"/>
      <c r="FI87" s="39"/>
      <c r="FJ87" s="39"/>
      <c r="FK87" s="39"/>
      <c r="FL87" s="39"/>
      <c r="FM87" s="39"/>
      <c r="FN87" s="39"/>
      <c r="FO87" s="39"/>
      <c r="FP87" s="39"/>
      <c r="FQ87" s="39"/>
      <c r="FR87" s="39"/>
      <c r="FS87" s="39"/>
      <c r="FT87" s="39"/>
      <c r="FU87" s="39"/>
      <c r="FV87" s="39"/>
      <c r="FW87" s="39"/>
      <c r="FX87" s="39"/>
      <c r="FY87" s="41" t="b">
        <f aca="false">TRUE()</f>
        <v>1</v>
      </c>
      <c r="FZ87" s="39"/>
      <c r="GA87" s="39"/>
      <c r="GB87" s="39"/>
      <c r="GC87" s="39"/>
      <c r="GD87" s="41" t="b">
        <f aca="false">TRUE()</f>
        <v>1</v>
      </c>
      <c r="GE87" s="39"/>
      <c r="GF87" s="39"/>
      <c r="GG87" s="39"/>
      <c r="GH87" s="39"/>
      <c r="GI87" s="39"/>
      <c r="GJ87" s="39"/>
      <c r="GK87" s="39"/>
      <c r="GL87" s="39"/>
      <c r="GM87" s="39"/>
      <c r="GN87" s="39"/>
      <c r="GO87" s="39"/>
      <c r="GP87" s="39"/>
      <c r="GQ87" s="39"/>
      <c r="GR87" s="39"/>
      <c r="GS87" s="39"/>
      <c r="GT87" s="39"/>
      <c r="GU87" s="39"/>
      <c r="GV87" s="39"/>
      <c r="GW87" s="39"/>
      <c r="GX87" s="39"/>
      <c r="GY87" s="39"/>
      <c r="GZ87" s="39"/>
      <c r="HA87" s="39"/>
      <c r="HB87" s="39"/>
      <c r="HC87" s="39"/>
      <c r="HD87" s="39"/>
      <c r="HE87" s="39"/>
      <c r="HF87" s="39"/>
      <c r="HG87" s="39"/>
      <c r="HH87" s="39"/>
      <c r="HI87" s="39"/>
      <c r="HJ87" s="39"/>
      <c r="HK87" s="39"/>
      <c r="HL87" s="39"/>
      <c r="HM87" s="39"/>
      <c r="HN87" s="39"/>
      <c r="HO87" s="39"/>
      <c r="HP87" s="39"/>
      <c r="HQ87" s="39"/>
      <c r="HR87" s="39"/>
      <c r="HS87" s="39"/>
      <c r="HT87" s="39"/>
      <c r="HU87" s="39"/>
      <c r="HV87" s="39"/>
      <c r="HW87" s="39"/>
      <c r="HX87" s="39"/>
      <c r="HY87" s="39"/>
      <c r="HZ87" s="39"/>
      <c r="IA87" s="39"/>
      <c r="IB87" s="39"/>
      <c r="IC87" s="39"/>
      <c r="ID87" s="39"/>
      <c r="IE87" s="39"/>
      <c r="IF87" s="39"/>
      <c r="IG87" s="39"/>
      <c r="IH87" s="39"/>
      <c r="II87" s="39"/>
      <c r="IJ87" s="39"/>
      <c r="IK87" s="39"/>
      <c r="IL87" s="39"/>
      <c r="IM87" s="39"/>
      <c r="IN87" s="39"/>
      <c r="IO87" s="39"/>
      <c r="IP87" s="39"/>
      <c r="IQ87" s="39"/>
      <c r="IR87" s="39"/>
      <c r="IS87" s="39"/>
      <c r="IT87" s="39"/>
      <c r="IU87" s="39"/>
      <c r="IV87" s="39"/>
      <c r="IW87" s="39"/>
      <c r="IX87" s="39"/>
      <c r="IY87" s="39"/>
      <c r="IZ87" s="39"/>
      <c r="JA87" s="39"/>
      <c r="JB87" s="39"/>
      <c r="JC87" s="39"/>
      <c r="JD87" s="39"/>
      <c r="JE87" s="39"/>
      <c r="JF87" s="39"/>
      <c r="JG87" s="39"/>
      <c r="JH87" s="41" t="b">
        <f aca="false">TRUE()</f>
        <v>1</v>
      </c>
      <c r="JI87" s="39"/>
      <c r="JJ87" s="39"/>
      <c r="JK87" s="39"/>
      <c r="JL87" s="39"/>
      <c r="JM87" s="39"/>
      <c r="JN87" s="39"/>
      <c r="JO87" s="39"/>
      <c r="JP87" s="39"/>
      <c r="JQ87" s="39"/>
      <c r="JR87" s="39"/>
      <c r="JS87" s="39"/>
      <c r="JT87" s="41" t="b">
        <f aca="false">TRUE()</f>
        <v>1</v>
      </c>
      <c r="JU87" s="39"/>
      <c r="JV87" s="39"/>
      <c r="JW87" s="39"/>
      <c r="JX87" s="39"/>
      <c r="JY87" s="39"/>
      <c r="JZ87" s="39"/>
      <c r="KA87" s="39"/>
      <c r="KB87" s="39"/>
      <c r="KC87" s="39"/>
      <c r="KD87" s="39"/>
      <c r="KE87" s="39"/>
      <c r="KF87" s="39"/>
      <c r="KG87" s="39"/>
      <c r="KH87" s="39"/>
      <c r="KI87" s="39"/>
      <c r="KJ87" s="39"/>
      <c r="KK87" s="39"/>
      <c r="KL87" s="39"/>
      <c r="KM87" s="39"/>
      <c r="KN87" s="39"/>
      <c r="KO87" s="41" t="b">
        <f aca="false">TRUE()</f>
        <v>1</v>
      </c>
      <c r="KP87" s="39"/>
      <c r="KQ87" s="41" t="b">
        <f aca="false">TRUE()</f>
        <v>1</v>
      </c>
      <c r="KR87" s="41" t="b">
        <f aca="false">TRUE()</f>
        <v>1</v>
      </c>
      <c r="KS87" s="39"/>
      <c r="KT87" s="39"/>
      <c r="KU87" s="41" t="b">
        <f aca="false">TRUE()</f>
        <v>1</v>
      </c>
    </row>
    <row r="88" customFormat="false" ht="14.4" hidden="false" customHeight="false" outlineLevel="0" collapsed="false">
      <c r="A88" s="37" t="s">
        <v>305</v>
      </c>
      <c r="B88" s="37" t="s">
        <v>2149</v>
      </c>
      <c r="C88" s="37"/>
      <c r="D88" s="37"/>
      <c r="E88" s="37"/>
      <c r="F88" s="37" t="s">
        <v>2150</v>
      </c>
      <c r="G88" s="37" t="s">
        <v>2151</v>
      </c>
      <c r="H88" s="37" t="s">
        <v>2152</v>
      </c>
      <c r="I88" s="37" t="s">
        <v>310</v>
      </c>
      <c r="J88" s="37" t="s">
        <v>311</v>
      </c>
      <c r="K88" s="37"/>
      <c r="L88" s="37"/>
      <c r="M88" s="37"/>
      <c r="N88" s="37"/>
      <c r="O88" s="37" t="s">
        <v>2153</v>
      </c>
      <c r="P88" s="37" t="s">
        <v>2154</v>
      </c>
      <c r="Q88" s="37" t="s">
        <v>2155</v>
      </c>
      <c r="R88" s="37" t="s">
        <v>2156</v>
      </c>
      <c r="S88" s="37" t="s">
        <v>2157</v>
      </c>
      <c r="T88" s="37" t="s">
        <v>2158</v>
      </c>
      <c r="U88" s="37" t="s">
        <v>2159</v>
      </c>
      <c r="V88" s="37" t="s">
        <v>2160</v>
      </c>
      <c r="W88" s="37" t="s">
        <v>2161</v>
      </c>
      <c r="X88" s="37"/>
      <c r="Y88" s="37"/>
      <c r="Z88" s="37"/>
      <c r="AA88" s="37" t="n">
        <v>84</v>
      </c>
      <c r="AB88" s="37" t="n">
        <v>39</v>
      </c>
      <c r="AC88" s="37" t="n">
        <v>39</v>
      </c>
      <c r="AD88" s="37" t="n">
        <v>3</v>
      </c>
      <c r="AE88" s="37" t="n">
        <v>37</v>
      </c>
      <c r="AF88" s="37" t="s">
        <v>717</v>
      </c>
      <c r="AG88" s="37" t="s">
        <v>718</v>
      </c>
      <c r="AH88" s="37" t="s">
        <v>719</v>
      </c>
      <c r="AI88" s="37" t="s">
        <v>2162</v>
      </c>
      <c r="AJ88" s="37" t="s">
        <v>2163</v>
      </c>
      <c r="AK88" s="37"/>
      <c r="AL88" s="37" t="s">
        <v>2164</v>
      </c>
      <c r="AM88" s="37" t="s">
        <v>2165</v>
      </c>
      <c r="AN88" s="37" t="s">
        <v>2166</v>
      </c>
      <c r="AO88" s="37" t="n">
        <v>2022</v>
      </c>
      <c r="AP88" s="37" t="n">
        <v>16</v>
      </c>
      <c r="AQ88" s="37" t="n">
        <v>1</v>
      </c>
      <c r="AR88" s="37"/>
      <c r="AS88" s="37" t="n">
        <v>570</v>
      </c>
      <c r="AT88" s="37" t="n">
        <v>587</v>
      </c>
      <c r="AU88" s="37"/>
      <c r="AV88" s="37" t="s">
        <v>2167</v>
      </c>
      <c r="AW88" s="37" t="str">
        <f aca="false">HYPERLINK("http://dx.doi.org/10.1080/19942060.2022.2027273","http://dx.doi.org/10.1080/19942060.2022.2027273")</f>
        <v>http://dx.doi.org/10.1080/19942060.2022.2027273</v>
      </c>
      <c r="AX88" s="37"/>
      <c r="AY88" s="37" t="n">
        <v>18</v>
      </c>
      <c r="AZ88" s="37" t="s">
        <v>2168</v>
      </c>
      <c r="BA88" s="37" t="s">
        <v>331</v>
      </c>
      <c r="BB88" s="37" t="s">
        <v>2169</v>
      </c>
      <c r="BC88" s="37" t="s">
        <v>2170</v>
      </c>
      <c r="BD88" s="37"/>
      <c r="BE88" s="37" t="s">
        <v>503</v>
      </c>
      <c r="BF88" s="37" t="s">
        <v>334</v>
      </c>
      <c r="BG88" s="37" t="s">
        <v>2171</v>
      </c>
      <c r="BH88" s="37" t="str">
        <f aca="false">HYPERLINK("https%3A%2F%2Fwww.webofscience.com%2Fwos%2Fwoscc%2Ffull-record%2FWOS:000752079100001","View Full Record in Web of Science")</f>
        <v>View Full Record in Web of Science</v>
      </c>
      <c r="BI88" s="39"/>
      <c r="BJ88" s="41" t="b">
        <f aca="false">TRUE()</f>
        <v>1</v>
      </c>
      <c r="BK88" s="39"/>
      <c r="BL88" s="39"/>
      <c r="BM88" s="41" t="b">
        <f aca="false">TRUE()</f>
        <v>1</v>
      </c>
      <c r="BN88" s="39"/>
      <c r="BO88" s="41" t="b">
        <f aca="false">TRUE()</f>
        <v>1</v>
      </c>
      <c r="BP88" s="39"/>
      <c r="BQ88" s="39"/>
      <c r="BR88" s="39"/>
      <c r="BS88" s="39"/>
      <c r="BT88" s="39"/>
      <c r="BU88" s="39"/>
      <c r="BV88" s="39"/>
      <c r="BW88" s="39"/>
      <c r="BX88" s="39"/>
      <c r="BY88" s="39"/>
      <c r="BZ88" s="39"/>
      <c r="CA88" s="39"/>
      <c r="CB88" s="39"/>
      <c r="CC88" s="39"/>
      <c r="CD88" s="39"/>
      <c r="CE88" s="39"/>
      <c r="CF88" s="39"/>
      <c r="CG88" s="39"/>
      <c r="CH88" s="41" t="b">
        <f aca="false">TRUE()</f>
        <v>1</v>
      </c>
      <c r="CI88" s="39"/>
      <c r="CJ88" s="41" t="b">
        <f aca="false">TRUE()</f>
        <v>1</v>
      </c>
      <c r="CK88" s="39"/>
      <c r="CL88" s="39"/>
      <c r="CM88" s="39"/>
      <c r="CN88" s="39"/>
      <c r="CO88" s="39"/>
      <c r="CP88" s="39"/>
      <c r="CQ88" s="39"/>
      <c r="CR88" s="39"/>
      <c r="CS88" s="39"/>
      <c r="CT88" s="39"/>
      <c r="CU88" s="41" t="b">
        <f aca="false">TRUE()</f>
        <v>1</v>
      </c>
      <c r="CV88" s="41" t="b">
        <f aca="false">TRUE()</f>
        <v>1</v>
      </c>
      <c r="CW88" s="41" t="b">
        <f aca="false">TRUE()</f>
        <v>1</v>
      </c>
      <c r="CX88" s="39"/>
      <c r="CY88" s="39"/>
      <c r="CZ88" s="41" t="b">
        <f aca="false">TRUE()</f>
        <v>1</v>
      </c>
      <c r="DA88" s="39"/>
      <c r="DB88" s="39"/>
      <c r="DC88" s="39"/>
      <c r="DD88" s="41" t="b">
        <f aca="false">TRUE()</f>
        <v>1</v>
      </c>
      <c r="DE88" s="39"/>
      <c r="DF88" s="39"/>
      <c r="DG88" s="39"/>
      <c r="DH88" s="39"/>
      <c r="DI88" s="39"/>
      <c r="DJ88" s="39"/>
      <c r="DK88" s="39"/>
      <c r="DL88" s="39"/>
      <c r="DM88" s="39"/>
      <c r="DN88" s="39"/>
      <c r="DO88" s="39"/>
      <c r="DP88" s="39"/>
      <c r="DQ88" s="39"/>
      <c r="DR88" s="39"/>
      <c r="DS88" s="39"/>
      <c r="DT88" s="41" t="b">
        <f aca="false">TRUE()</f>
        <v>1</v>
      </c>
      <c r="DU88" s="41" t="b">
        <f aca="false">TRUE()</f>
        <v>1</v>
      </c>
      <c r="DV88" s="39"/>
      <c r="DW88" s="39"/>
      <c r="DX88" s="39"/>
      <c r="DY88" s="39"/>
      <c r="DZ88" s="39"/>
      <c r="EA88" s="41" t="b">
        <f aca="false">TRUE()</f>
        <v>1</v>
      </c>
      <c r="EB88" s="39"/>
      <c r="EC88" s="39"/>
      <c r="ED88" s="39"/>
      <c r="EE88" s="39"/>
      <c r="EF88" s="39"/>
      <c r="EG88" s="39"/>
      <c r="EH88" s="39"/>
      <c r="EI88" s="41" t="b">
        <f aca="false">TRUE()</f>
        <v>1</v>
      </c>
      <c r="EJ88" s="39"/>
      <c r="EK88" s="39"/>
      <c r="EL88" s="39"/>
      <c r="EM88" s="39"/>
      <c r="EN88" s="39"/>
      <c r="EO88" s="39"/>
      <c r="EP88" s="39"/>
      <c r="EQ88" s="39"/>
      <c r="ER88" s="39"/>
      <c r="ES88" s="39"/>
      <c r="ET88" s="39"/>
      <c r="EU88" s="39"/>
      <c r="EV88" s="39"/>
      <c r="EW88" s="39"/>
      <c r="EX88" s="39"/>
      <c r="EY88" s="41" t="b">
        <f aca="false">TRUE()</f>
        <v>1</v>
      </c>
      <c r="EZ88" s="39"/>
      <c r="FA88" s="39"/>
      <c r="FB88" s="39"/>
      <c r="FC88" s="39"/>
      <c r="FD88" s="39"/>
      <c r="FE88" s="39"/>
      <c r="FF88" s="39"/>
      <c r="FG88" s="39"/>
      <c r="FH88" s="39"/>
      <c r="FI88" s="39"/>
      <c r="FJ88" s="39"/>
      <c r="FK88" s="39"/>
      <c r="FL88" s="39"/>
      <c r="FM88" s="39"/>
      <c r="FN88" s="39"/>
      <c r="FO88" s="39"/>
      <c r="FP88" s="39"/>
      <c r="FQ88" s="39"/>
      <c r="FR88" s="39"/>
      <c r="FS88" s="39"/>
      <c r="FT88" s="39"/>
      <c r="FU88" s="39"/>
      <c r="FV88" s="39"/>
      <c r="FW88" s="39"/>
      <c r="FX88" s="39"/>
      <c r="FY88" s="39"/>
      <c r="FZ88" s="39"/>
      <c r="GA88" s="39"/>
      <c r="GB88" s="39"/>
      <c r="GC88" s="39"/>
      <c r="GD88" s="39"/>
      <c r="GE88" s="39"/>
      <c r="GF88" s="39"/>
      <c r="GG88" s="39"/>
      <c r="GH88" s="39"/>
      <c r="GI88" s="39"/>
      <c r="GJ88" s="39"/>
      <c r="GK88" s="39"/>
      <c r="GL88" s="39"/>
      <c r="GM88" s="39"/>
      <c r="GN88" s="39"/>
      <c r="GO88" s="39"/>
      <c r="GP88" s="39"/>
      <c r="GQ88" s="39"/>
      <c r="GR88" s="39"/>
      <c r="GS88" s="39"/>
      <c r="GT88" s="39"/>
      <c r="GU88" s="39"/>
      <c r="GV88" s="39"/>
      <c r="GW88" s="39"/>
      <c r="GX88" s="39"/>
      <c r="GY88" s="39"/>
      <c r="GZ88" s="39"/>
      <c r="HA88" s="39"/>
      <c r="HB88" s="39"/>
      <c r="HC88" s="39"/>
      <c r="HD88" s="39"/>
      <c r="HE88" s="39"/>
      <c r="HF88" s="39"/>
      <c r="HG88" s="39"/>
      <c r="HH88" s="39"/>
      <c r="HI88" s="39"/>
      <c r="HJ88" s="39"/>
      <c r="HK88" s="41" t="b">
        <f aca="false">TRUE()</f>
        <v>1</v>
      </c>
      <c r="HL88" s="39"/>
      <c r="HM88" s="41" t="b">
        <f aca="false">TRUE()</f>
        <v>1</v>
      </c>
      <c r="HN88" s="39"/>
      <c r="HO88" s="39"/>
      <c r="HP88" s="39"/>
      <c r="HQ88" s="41" t="b">
        <f aca="false">TRUE()</f>
        <v>1</v>
      </c>
      <c r="HR88" s="39"/>
      <c r="HS88" s="39"/>
      <c r="HT88" s="39"/>
      <c r="HU88" s="39"/>
      <c r="HV88" s="39"/>
      <c r="HW88" s="39"/>
      <c r="HX88" s="41" t="b">
        <f aca="false">TRUE()</f>
        <v>1</v>
      </c>
      <c r="HY88" s="39"/>
      <c r="HZ88" s="39"/>
      <c r="IA88" s="39"/>
      <c r="IB88" s="39"/>
      <c r="IC88" s="39"/>
      <c r="ID88" s="39"/>
      <c r="IE88" s="39"/>
      <c r="IF88" s="41" t="b">
        <f aca="false">TRUE()</f>
        <v>1</v>
      </c>
      <c r="IG88" s="39"/>
      <c r="IH88" s="39"/>
      <c r="II88" s="39"/>
      <c r="IJ88" s="39"/>
      <c r="IK88" s="39"/>
      <c r="IL88" s="39"/>
      <c r="IM88" s="39"/>
      <c r="IN88" s="39"/>
      <c r="IO88" s="39"/>
      <c r="IP88" s="39"/>
      <c r="IQ88" s="39"/>
      <c r="IR88" s="39"/>
      <c r="IS88" s="39"/>
      <c r="IT88" s="39"/>
      <c r="IU88" s="39"/>
      <c r="IV88" s="39"/>
      <c r="IW88" s="39"/>
      <c r="IX88" s="39"/>
      <c r="IY88" s="39"/>
      <c r="IZ88" s="39"/>
      <c r="JA88" s="39"/>
      <c r="JB88" s="39"/>
      <c r="JC88" s="39"/>
      <c r="JD88" s="39"/>
      <c r="JE88" s="39"/>
      <c r="JF88" s="39"/>
      <c r="JG88" s="39"/>
      <c r="JH88" s="39"/>
      <c r="JI88" s="39"/>
      <c r="JJ88" s="39"/>
      <c r="JK88" s="39"/>
      <c r="JL88" s="39"/>
      <c r="JM88" s="39"/>
      <c r="JN88" s="39"/>
      <c r="JO88" s="39"/>
      <c r="JP88" s="39"/>
      <c r="JQ88" s="39"/>
      <c r="JR88" s="39"/>
      <c r="JS88" s="39"/>
      <c r="JT88" s="41" t="b">
        <f aca="false">TRUE()</f>
        <v>1</v>
      </c>
      <c r="JU88" s="39"/>
      <c r="JV88" s="39"/>
      <c r="JW88" s="39"/>
      <c r="JX88" s="39"/>
      <c r="JY88" s="39"/>
      <c r="JZ88" s="39"/>
      <c r="KA88" s="39"/>
      <c r="KB88" s="41" t="b">
        <f aca="false">TRUE()</f>
        <v>1</v>
      </c>
      <c r="KC88" s="41" t="b">
        <f aca="false">TRUE()</f>
        <v>1</v>
      </c>
      <c r="KD88" s="39"/>
      <c r="KE88" s="39"/>
      <c r="KF88" s="39"/>
      <c r="KG88" s="39"/>
      <c r="KH88" s="39"/>
      <c r="KI88" s="39"/>
      <c r="KJ88" s="39"/>
      <c r="KK88" s="39"/>
      <c r="KL88" s="39"/>
      <c r="KM88" s="39"/>
      <c r="KN88" s="39"/>
      <c r="KO88" s="39"/>
      <c r="KP88" s="39"/>
      <c r="KQ88" s="41" t="b">
        <f aca="false">TRUE()</f>
        <v>1</v>
      </c>
      <c r="KR88" s="39"/>
      <c r="KS88" s="39"/>
      <c r="KT88" s="41" t="b">
        <f aca="false">TRUE()</f>
        <v>1</v>
      </c>
      <c r="KU88" s="39"/>
    </row>
    <row r="89" customFormat="false" ht="14.4" hidden="false" customHeight="false" outlineLevel="0" collapsed="false">
      <c r="A89" s="53" t="s">
        <v>305</v>
      </c>
      <c r="B89" s="53" t="s">
        <v>2172</v>
      </c>
      <c r="C89" s="53"/>
      <c r="D89" s="53"/>
      <c r="E89" s="53"/>
      <c r="F89" s="53" t="s">
        <v>2173</v>
      </c>
      <c r="G89" s="53" t="s">
        <v>2174</v>
      </c>
      <c r="H89" s="53" t="s">
        <v>2175</v>
      </c>
      <c r="I89" s="53" t="s">
        <v>310</v>
      </c>
      <c r="J89" s="53" t="s">
        <v>1527</v>
      </c>
      <c r="K89" s="53"/>
      <c r="L89" s="53"/>
      <c r="M89" s="53"/>
      <c r="N89" s="53"/>
      <c r="O89" s="53" t="s">
        <v>2176</v>
      </c>
      <c r="P89" s="53" t="s">
        <v>2177</v>
      </c>
      <c r="Q89" s="53" t="s">
        <v>2178</v>
      </c>
      <c r="R89" s="53" t="s">
        <v>2179</v>
      </c>
      <c r="S89" s="53" t="s">
        <v>2180</v>
      </c>
      <c r="T89" s="53" t="s">
        <v>2181</v>
      </c>
      <c r="U89" s="53" t="s">
        <v>2182</v>
      </c>
      <c r="V89" s="53" t="s">
        <v>2183</v>
      </c>
      <c r="W89" s="53" t="s">
        <v>2184</v>
      </c>
      <c r="X89" s="53"/>
      <c r="Y89" s="53"/>
      <c r="Z89" s="53"/>
      <c r="AA89" s="53" t="n">
        <v>272</v>
      </c>
      <c r="AB89" s="53" t="n">
        <v>25</v>
      </c>
      <c r="AC89" s="53" t="n">
        <v>26</v>
      </c>
      <c r="AD89" s="53" t="n">
        <v>10</v>
      </c>
      <c r="AE89" s="53" t="n">
        <v>70</v>
      </c>
      <c r="AF89" s="53" t="s">
        <v>2185</v>
      </c>
      <c r="AG89" s="53" t="s">
        <v>1040</v>
      </c>
      <c r="AH89" s="53" t="s">
        <v>2186</v>
      </c>
      <c r="AI89" s="53" t="s">
        <v>2187</v>
      </c>
      <c r="AJ89" s="53" t="s">
        <v>2188</v>
      </c>
      <c r="AK89" s="53"/>
      <c r="AL89" s="53" t="s">
        <v>2189</v>
      </c>
      <c r="AM89" s="53" t="s">
        <v>2190</v>
      </c>
      <c r="AN89" s="53" t="s">
        <v>408</v>
      </c>
      <c r="AO89" s="53" t="n">
        <v>2022</v>
      </c>
      <c r="AP89" s="53" t="n">
        <v>34</v>
      </c>
      <c r="AQ89" s="53" t="n">
        <v>23</v>
      </c>
      <c r="AR89" s="53"/>
      <c r="AS89" s="53" t="n">
        <v>20539</v>
      </c>
      <c r="AT89" s="53" t="n">
        <v>20573</v>
      </c>
      <c r="AU89" s="53"/>
      <c r="AV89" s="53" t="s">
        <v>2191</v>
      </c>
      <c r="AW89" s="53" t="str">
        <f aca="false">HYPERLINK("http://dx.doi.org/10.1007/s00521-022-07744-x","http://dx.doi.org/10.1007/s00521-022-07744-x")</f>
        <v>http://dx.doi.org/10.1007/s00521-022-07744-x</v>
      </c>
      <c r="AX89" s="53" t="s">
        <v>1137</v>
      </c>
      <c r="AY89" s="53" t="n">
        <v>35</v>
      </c>
      <c r="AZ89" s="53" t="s">
        <v>595</v>
      </c>
      <c r="BA89" s="53" t="s">
        <v>331</v>
      </c>
      <c r="BB89" s="53" t="s">
        <v>462</v>
      </c>
      <c r="BC89" s="53" t="s">
        <v>2192</v>
      </c>
      <c r="BD89" s="53"/>
      <c r="BE89" s="53"/>
      <c r="BF89" s="53" t="s">
        <v>334</v>
      </c>
      <c r="BG89" s="53" t="s">
        <v>2193</v>
      </c>
      <c r="BH89" s="53" t="str">
        <f aca="false">HYPERLINK("https%3A%2F%2Fwww.webofscience.com%2Fwos%2Fwoscc%2Ffull-record%2FWOS:000854734900003","View Full Record in Web of Science")</f>
        <v>View Full Record in Web of Science</v>
      </c>
      <c r="BI89" s="54" t="b">
        <f aca="false">TRUE()</f>
        <v>1</v>
      </c>
      <c r="BJ89" s="55"/>
      <c r="BK89" s="55"/>
      <c r="BL89" s="55"/>
      <c r="BM89" s="55"/>
      <c r="BN89" s="55"/>
      <c r="BO89" s="55"/>
      <c r="BP89" s="54" t="b">
        <f aca="false">TRUE()</f>
        <v>1</v>
      </c>
      <c r="BQ89" s="55"/>
      <c r="BR89" s="54" t="b">
        <f aca="false">TRUE()</f>
        <v>1</v>
      </c>
      <c r="BS89" s="54" t="b">
        <f aca="false">TRUE()</f>
        <v>1</v>
      </c>
      <c r="BT89" s="55"/>
      <c r="BU89" s="55"/>
      <c r="BV89" s="54" t="b">
        <f aca="false">TRUE()</f>
        <v>1</v>
      </c>
      <c r="BW89" s="55"/>
      <c r="BX89" s="55"/>
      <c r="BY89" s="54" t="b">
        <f aca="false">TRUE()</f>
        <v>1</v>
      </c>
      <c r="BZ89" s="55"/>
      <c r="CA89" s="55"/>
      <c r="CB89" s="55"/>
      <c r="CC89" s="55"/>
      <c r="CD89" s="55"/>
      <c r="CE89" s="54" t="b">
        <f aca="false">TRUE()</f>
        <v>1</v>
      </c>
      <c r="CF89" s="55"/>
      <c r="CG89" s="55"/>
      <c r="CH89" s="55"/>
      <c r="CI89" s="54" t="b">
        <f aca="false">TRUE()</f>
        <v>1</v>
      </c>
      <c r="CJ89" s="55"/>
      <c r="CK89" s="55"/>
      <c r="CL89" s="55"/>
      <c r="CM89" s="55"/>
      <c r="CN89" s="55"/>
      <c r="CO89" s="55"/>
      <c r="CP89" s="55"/>
      <c r="CQ89" s="55"/>
      <c r="CR89" s="55"/>
      <c r="CS89" s="55"/>
      <c r="CT89" s="55"/>
      <c r="CU89" s="55"/>
      <c r="CV89" s="55"/>
      <c r="CW89" s="54" t="b">
        <f aca="false">TRUE()</f>
        <v>1</v>
      </c>
      <c r="CX89" s="55"/>
      <c r="CY89" s="55"/>
      <c r="CZ89" s="54" t="b">
        <f aca="false">TRUE()</f>
        <v>1</v>
      </c>
      <c r="DA89" s="55"/>
      <c r="DB89" s="55"/>
      <c r="DC89" s="55"/>
      <c r="DD89" s="55"/>
      <c r="DE89" s="55"/>
      <c r="DF89" s="55"/>
      <c r="DG89" s="55"/>
      <c r="DH89" s="54" t="b">
        <f aca="false">TRUE()</f>
        <v>1</v>
      </c>
      <c r="DI89" s="55"/>
      <c r="DJ89" s="55"/>
      <c r="DK89" s="55"/>
      <c r="DL89" s="55"/>
      <c r="DM89" s="55"/>
      <c r="DN89" s="55"/>
      <c r="DO89" s="55"/>
      <c r="DP89" s="55"/>
      <c r="DQ89" s="55"/>
      <c r="DR89" s="55"/>
      <c r="DS89" s="55"/>
      <c r="DT89" s="55"/>
      <c r="DU89" s="55"/>
      <c r="DV89" s="55"/>
      <c r="DW89" s="55"/>
      <c r="DX89" s="55"/>
      <c r="DY89" s="55"/>
      <c r="DZ89" s="55"/>
      <c r="EA89" s="54" t="b">
        <f aca="false">TRUE()</f>
        <v>1</v>
      </c>
      <c r="EB89" s="54" t="b">
        <f aca="false">TRUE()</f>
        <v>1</v>
      </c>
      <c r="EC89" s="55"/>
      <c r="ED89" s="55"/>
      <c r="EE89" s="55"/>
      <c r="EF89" s="55"/>
      <c r="EG89" s="55"/>
      <c r="EH89" s="55"/>
      <c r="EI89" s="54" t="b">
        <f aca="false">TRUE()</f>
        <v>1</v>
      </c>
      <c r="EJ89" s="55"/>
      <c r="EK89" s="55"/>
      <c r="EL89" s="55"/>
      <c r="EM89" s="55"/>
      <c r="EN89" s="55"/>
      <c r="EO89" s="55"/>
      <c r="EP89" s="55"/>
      <c r="EQ89" s="55"/>
      <c r="ER89" s="55"/>
      <c r="ES89" s="55"/>
      <c r="ET89" s="54" t="b">
        <f aca="false">TRUE()</f>
        <v>1</v>
      </c>
      <c r="EU89" s="55"/>
      <c r="EV89" s="55"/>
      <c r="EW89" s="55"/>
      <c r="EX89" s="55"/>
      <c r="EY89" s="54" t="b">
        <f aca="false">TRUE()</f>
        <v>1</v>
      </c>
      <c r="EZ89" s="55"/>
      <c r="FA89" s="55"/>
      <c r="FB89" s="55"/>
      <c r="FC89" s="54" t="b">
        <f aca="false">TRUE()</f>
        <v>1</v>
      </c>
      <c r="FD89" s="55"/>
      <c r="FE89" s="55"/>
      <c r="FF89" s="55"/>
      <c r="FG89" s="55"/>
      <c r="FH89" s="55"/>
      <c r="FI89" s="55"/>
      <c r="FJ89" s="55"/>
      <c r="FK89" s="55"/>
      <c r="FL89" s="55"/>
      <c r="FM89" s="55"/>
      <c r="FN89" s="55"/>
      <c r="FO89" s="55"/>
      <c r="FP89" s="55"/>
      <c r="FQ89" s="55"/>
      <c r="FR89" s="55"/>
      <c r="FS89" s="55"/>
      <c r="FT89" s="55"/>
      <c r="FU89" s="55"/>
      <c r="FV89" s="55"/>
      <c r="FW89" s="55"/>
      <c r="FX89" s="55"/>
      <c r="FY89" s="55"/>
      <c r="FZ89" s="55"/>
      <c r="GA89" s="55"/>
      <c r="GB89" s="55"/>
      <c r="GC89" s="55"/>
      <c r="GD89" s="55"/>
      <c r="GE89" s="55"/>
      <c r="GF89" s="55"/>
      <c r="GG89" s="55"/>
      <c r="GH89" s="55"/>
      <c r="GI89" s="55"/>
      <c r="GJ89" s="55"/>
      <c r="GK89" s="55"/>
      <c r="GL89" s="55"/>
      <c r="GM89" s="55"/>
      <c r="GN89" s="55"/>
      <c r="GO89" s="55"/>
      <c r="GP89" s="55"/>
      <c r="GQ89" s="55"/>
      <c r="GR89" s="55"/>
      <c r="GS89" s="55"/>
      <c r="GT89" s="55"/>
      <c r="GU89" s="55"/>
      <c r="GV89" s="55"/>
      <c r="GW89" s="55"/>
      <c r="GX89" s="55"/>
      <c r="GY89" s="55"/>
      <c r="GZ89" s="55"/>
      <c r="HA89" s="55"/>
      <c r="HB89" s="55"/>
      <c r="HC89" s="55"/>
      <c r="HD89" s="55"/>
      <c r="HE89" s="55"/>
      <c r="HF89" s="55"/>
      <c r="HG89" s="55"/>
      <c r="HH89" s="55"/>
      <c r="HI89" s="55"/>
      <c r="HJ89" s="55"/>
      <c r="HK89" s="55"/>
      <c r="HL89" s="55"/>
      <c r="HM89" s="55"/>
      <c r="HN89" s="55"/>
      <c r="HO89" s="55"/>
      <c r="HP89" s="55"/>
      <c r="HQ89" s="55"/>
      <c r="HR89" s="55"/>
      <c r="HS89" s="55"/>
      <c r="HT89" s="55"/>
      <c r="HU89" s="55"/>
      <c r="HV89" s="55"/>
      <c r="HW89" s="55"/>
      <c r="HX89" s="55"/>
      <c r="HY89" s="55"/>
      <c r="HZ89" s="55"/>
      <c r="IA89" s="55"/>
      <c r="IB89" s="55"/>
      <c r="IC89" s="55"/>
      <c r="ID89" s="55"/>
      <c r="IE89" s="55"/>
      <c r="IF89" s="55"/>
      <c r="IG89" s="55"/>
      <c r="IH89" s="55"/>
      <c r="II89" s="55"/>
      <c r="IJ89" s="55"/>
      <c r="IK89" s="55"/>
      <c r="IL89" s="55"/>
      <c r="IM89" s="55"/>
      <c r="IN89" s="55"/>
      <c r="IO89" s="55"/>
      <c r="IP89" s="55"/>
      <c r="IQ89" s="55"/>
      <c r="IR89" s="55"/>
      <c r="IS89" s="55"/>
      <c r="IT89" s="55"/>
      <c r="IU89" s="55"/>
      <c r="IV89" s="55"/>
      <c r="IW89" s="55"/>
      <c r="IX89" s="55"/>
      <c r="IY89" s="55"/>
      <c r="IZ89" s="55"/>
      <c r="JA89" s="55"/>
      <c r="JB89" s="55"/>
      <c r="JC89" s="55"/>
      <c r="JD89" s="55"/>
      <c r="JE89" s="55"/>
      <c r="JF89" s="55"/>
      <c r="JG89" s="55"/>
      <c r="JH89" s="54" t="b">
        <f aca="false">TRUE()</f>
        <v>1</v>
      </c>
      <c r="JI89" s="55"/>
      <c r="JJ89" s="55"/>
      <c r="JK89" s="55"/>
      <c r="JL89" s="55"/>
      <c r="JM89" s="55"/>
      <c r="JN89" s="55"/>
      <c r="JO89" s="55"/>
      <c r="JP89" s="55"/>
      <c r="JQ89" s="55"/>
      <c r="JR89" s="55"/>
      <c r="JS89" s="55"/>
      <c r="JT89" s="54" t="b">
        <f aca="false">TRUE()</f>
        <v>1</v>
      </c>
      <c r="JU89" s="54" t="b">
        <f aca="false">TRUE()</f>
        <v>1</v>
      </c>
      <c r="JV89" s="55"/>
      <c r="JW89" s="55"/>
      <c r="JX89" s="55"/>
      <c r="JY89" s="55"/>
      <c r="JZ89" s="55"/>
      <c r="KA89" s="55"/>
      <c r="KB89" s="55"/>
      <c r="KC89" s="55"/>
      <c r="KD89" s="55"/>
      <c r="KE89" s="55"/>
      <c r="KF89" s="55"/>
      <c r="KG89" s="55"/>
      <c r="KH89" s="55"/>
      <c r="KI89" s="55"/>
      <c r="KJ89" s="55"/>
      <c r="KK89" s="55"/>
      <c r="KL89" s="55"/>
      <c r="KM89" s="55"/>
      <c r="KN89" s="55"/>
      <c r="KO89" s="55"/>
      <c r="KP89" s="55"/>
      <c r="KQ89" s="54" t="b">
        <f aca="false">TRUE()</f>
        <v>1</v>
      </c>
      <c r="KR89" s="54" t="b">
        <f aca="false">TRUE()</f>
        <v>1</v>
      </c>
      <c r="KS89" s="55"/>
      <c r="KT89" s="55"/>
      <c r="KU89" s="54" t="b">
        <f aca="false">TRUE()</f>
        <v>1</v>
      </c>
    </row>
    <row r="90" customFormat="false" ht="14.4" hidden="false" customHeight="false" outlineLevel="0" collapsed="false">
      <c r="A90" s="37" t="s">
        <v>305</v>
      </c>
      <c r="B90" s="37" t="s">
        <v>2194</v>
      </c>
      <c r="C90" s="37"/>
      <c r="D90" s="37"/>
      <c r="E90" s="37"/>
      <c r="F90" s="37" t="s">
        <v>2195</v>
      </c>
      <c r="G90" s="37" t="s">
        <v>2196</v>
      </c>
      <c r="H90" s="37" t="s">
        <v>659</v>
      </c>
      <c r="I90" s="37" t="s">
        <v>310</v>
      </c>
      <c r="J90" s="37" t="s">
        <v>311</v>
      </c>
      <c r="K90" s="37"/>
      <c r="L90" s="37"/>
      <c r="M90" s="37"/>
      <c r="N90" s="37"/>
      <c r="O90" s="37" t="s">
        <v>2197</v>
      </c>
      <c r="P90" s="37" t="s">
        <v>2198</v>
      </c>
      <c r="Q90" s="37" t="s">
        <v>2199</v>
      </c>
      <c r="R90" s="37" t="s">
        <v>2200</v>
      </c>
      <c r="S90" s="37" t="s">
        <v>2201</v>
      </c>
      <c r="T90" s="37" t="s">
        <v>2202</v>
      </c>
      <c r="U90" s="37" t="s">
        <v>2203</v>
      </c>
      <c r="V90" s="37" t="s">
        <v>2204</v>
      </c>
      <c r="W90" s="37" t="s">
        <v>2205</v>
      </c>
      <c r="X90" s="37" t="s">
        <v>2206</v>
      </c>
      <c r="Y90" s="37" t="s">
        <v>2207</v>
      </c>
      <c r="Z90" s="37" t="s">
        <v>2208</v>
      </c>
      <c r="AA90" s="37" t="n">
        <v>90</v>
      </c>
      <c r="AB90" s="37" t="n">
        <v>15</v>
      </c>
      <c r="AC90" s="37" t="n">
        <v>15</v>
      </c>
      <c r="AD90" s="37" t="n">
        <v>56</v>
      </c>
      <c r="AE90" s="37" t="n">
        <v>96</v>
      </c>
      <c r="AF90" s="37" t="s">
        <v>672</v>
      </c>
      <c r="AG90" s="37" t="s">
        <v>673</v>
      </c>
      <c r="AH90" s="37" t="s">
        <v>674</v>
      </c>
      <c r="AI90" s="37" t="s">
        <v>675</v>
      </c>
      <c r="AJ90" s="37" t="s">
        <v>676</v>
      </c>
      <c r="AK90" s="37"/>
      <c r="AL90" s="37" t="s">
        <v>677</v>
      </c>
      <c r="AM90" s="37" t="s">
        <v>678</v>
      </c>
      <c r="AN90" s="37" t="s">
        <v>380</v>
      </c>
      <c r="AO90" s="37" t="n">
        <v>2024</v>
      </c>
      <c r="AP90" s="37" t="n">
        <v>60</v>
      </c>
      <c r="AQ90" s="37" t="n">
        <v>4</v>
      </c>
      <c r="AR90" s="37"/>
      <c r="AS90" s="37"/>
      <c r="AT90" s="37"/>
      <c r="AU90" s="37" t="s">
        <v>2209</v>
      </c>
      <c r="AV90" s="37" t="s">
        <v>2210</v>
      </c>
      <c r="AW90" s="37" t="str">
        <f aca="false">HYPERLINK("http://dx.doi.org/10.1029/2023WR036170","http://dx.doi.org/10.1029/2023WR036170")</f>
        <v>http://dx.doi.org/10.1029/2023WR036170</v>
      </c>
      <c r="AX90" s="37"/>
      <c r="AY90" s="37" t="n">
        <v>22</v>
      </c>
      <c r="AZ90" s="37" t="s">
        <v>681</v>
      </c>
      <c r="BA90" s="37" t="s">
        <v>331</v>
      </c>
      <c r="BB90" s="37" t="s">
        <v>682</v>
      </c>
      <c r="BC90" s="37" t="s">
        <v>2211</v>
      </c>
      <c r="BD90" s="37"/>
      <c r="BE90" s="37" t="s">
        <v>684</v>
      </c>
      <c r="BF90" s="37" t="s">
        <v>334</v>
      </c>
      <c r="BG90" s="37" t="s">
        <v>2212</v>
      </c>
      <c r="BH90" s="37" t="str">
        <f aca="false">HYPERLINK("https%3A%2F%2Fwww.webofscience.com%2Fwos%2Fwoscc%2Ffull-record%2FWOS:001200464900001","View Full Record in Web of Science")</f>
        <v>View Full Record in Web of Science</v>
      </c>
      <c r="BI90" s="41" t="b">
        <f aca="false">TRUE()</f>
        <v>1</v>
      </c>
      <c r="BJ90" s="39"/>
      <c r="BK90" s="39"/>
      <c r="BL90" s="39"/>
      <c r="BM90" s="39"/>
      <c r="BN90" s="39"/>
      <c r="BO90" s="41" t="b">
        <f aca="false">TRUE()</f>
        <v>1</v>
      </c>
      <c r="BP90" s="39"/>
      <c r="BQ90" s="39"/>
      <c r="BR90" s="39"/>
      <c r="BS90" s="39"/>
      <c r="BT90" s="3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41" t="b">
        <f aca="false">TRUE()</f>
        <v>1</v>
      </c>
      <c r="EB90" s="39"/>
      <c r="EC90" s="39"/>
      <c r="ED90" s="39"/>
      <c r="EE90" s="39"/>
      <c r="EF90" s="39"/>
      <c r="EG90" s="39"/>
      <c r="EH90" s="39"/>
      <c r="EI90" s="41" t="b">
        <f aca="false">TRUE()</f>
        <v>1</v>
      </c>
      <c r="EJ90" s="39"/>
      <c r="EK90" s="39"/>
      <c r="EL90" s="39"/>
      <c r="EM90" s="39"/>
      <c r="EN90" s="39"/>
      <c r="EO90" s="39"/>
      <c r="EP90" s="39"/>
      <c r="EQ90" s="41" t="b">
        <f aca="false">TRUE()</f>
        <v>1</v>
      </c>
      <c r="ER90" s="39"/>
      <c r="ES90" s="39"/>
      <c r="ET90" s="39"/>
      <c r="EU90" s="39"/>
      <c r="EV90" s="39"/>
      <c r="EW90" s="39"/>
      <c r="EX90" s="41" t="b">
        <f aca="false">TRUE()</f>
        <v>1</v>
      </c>
      <c r="EY90" s="39"/>
      <c r="EZ90" s="39"/>
      <c r="FA90" s="39"/>
      <c r="FB90" s="39"/>
      <c r="FC90" s="41" t="b">
        <f aca="false">TRUE()</f>
        <v>1</v>
      </c>
      <c r="FD90" s="39"/>
      <c r="FE90" s="39"/>
      <c r="FF90" s="39"/>
      <c r="FG90" s="39"/>
      <c r="FH90" s="39"/>
      <c r="FI90" s="39"/>
      <c r="FJ90" s="39"/>
      <c r="FK90" s="39"/>
      <c r="FL90" s="39"/>
      <c r="FM90" s="39"/>
      <c r="FN90" s="39"/>
      <c r="FO90" s="39"/>
      <c r="FP90" s="39"/>
      <c r="FQ90" s="39"/>
      <c r="FR90" s="39"/>
      <c r="FS90" s="39"/>
      <c r="FT90" s="41" t="b">
        <f aca="false">TRUE()</f>
        <v>1</v>
      </c>
      <c r="FU90" s="39"/>
      <c r="FV90" s="39"/>
      <c r="FW90" s="39"/>
      <c r="FX90" s="39"/>
      <c r="FY90" s="39"/>
      <c r="FZ90" s="39"/>
      <c r="GA90" s="39"/>
      <c r="GB90" s="39"/>
      <c r="GC90" s="39"/>
      <c r="GD90" s="39"/>
      <c r="GE90" s="39"/>
      <c r="GF90" s="39"/>
      <c r="GG90" s="39"/>
      <c r="GH90" s="39"/>
      <c r="GI90" s="41" t="b">
        <f aca="false">TRUE()</f>
        <v>1</v>
      </c>
      <c r="GJ90" s="39"/>
      <c r="GK90" s="39"/>
      <c r="GL90" s="39"/>
      <c r="GM90" s="39"/>
      <c r="GN90" s="39"/>
      <c r="GO90" s="39"/>
      <c r="GP90" s="39"/>
      <c r="GQ90" s="39"/>
      <c r="GR90" s="39"/>
      <c r="GS90" s="39"/>
      <c r="GT90" s="39"/>
      <c r="GU90" s="39"/>
      <c r="GV90" s="39"/>
      <c r="GW90" s="39"/>
      <c r="GX90" s="39"/>
      <c r="GY90" s="39"/>
      <c r="GZ90" s="39"/>
      <c r="HA90" s="39"/>
      <c r="HB90" s="39"/>
      <c r="HC90" s="41" t="b">
        <f aca="false">TRUE()</f>
        <v>1</v>
      </c>
      <c r="HD90" s="39"/>
      <c r="HE90" s="39"/>
      <c r="HF90" s="39"/>
      <c r="HG90" s="39"/>
      <c r="HH90" s="39"/>
      <c r="HI90" s="39"/>
      <c r="HJ90" s="39"/>
      <c r="HK90" s="39"/>
      <c r="HL90" s="39"/>
      <c r="HM90" s="39"/>
      <c r="HN90" s="39"/>
      <c r="HO90" s="39"/>
      <c r="HP90" s="39"/>
      <c r="HQ90" s="39"/>
      <c r="HR90" s="39"/>
      <c r="HS90" s="39"/>
      <c r="HT90" s="39"/>
      <c r="HU90" s="39"/>
      <c r="HV90" s="39"/>
      <c r="HW90" s="39"/>
      <c r="HX90" s="39"/>
      <c r="HY90" s="39"/>
      <c r="HZ90" s="39"/>
      <c r="IA90" s="39"/>
      <c r="IB90" s="39"/>
      <c r="IC90" s="39"/>
      <c r="ID90" s="39"/>
      <c r="IE90" s="39"/>
      <c r="IF90" s="39"/>
      <c r="IG90" s="39"/>
      <c r="IH90" s="39"/>
      <c r="II90" s="39"/>
      <c r="IJ90" s="39"/>
      <c r="IK90" s="39"/>
      <c r="IL90" s="39"/>
      <c r="IM90" s="39"/>
      <c r="IN90" s="39"/>
      <c r="IO90" s="39"/>
      <c r="IP90" s="39"/>
      <c r="IQ90" s="39"/>
      <c r="IR90" s="39"/>
      <c r="IS90" s="39"/>
      <c r="IT90" s="39"/>
      <c r="IU90" s="39"/>
      <c r="IV90" s="39"/>
      <c r="IW90" s="39"/>
      <c r="IX90" s="39"/>
      <c r="IY90" s="39"/>
      <c r="IZ90" s="39"/>
      <c r="JA90" s="39"/>
      <c r="JB90" s="39"/>
      <c r="JC90" s="39"/>
      <c r="JD90" s="39"/>
      <c r="JE90" s="39"/>
      <c r="JF90" s="39"/>
      <c r="JG90" s="39"/>
      <c r="JH90" s="39"/>
      <c r="JI90" s="39"/>
      <c r="JJ90" s="39"/>
      <c r="JK90" s="39"/>
      <c r="JL90" s="41" t="b">
        <f aca="false">TRUE()</f>
        <v>1</v>
      </c>
      <c r="JM90" s="39"/>
      <c r="JN90" s="39"/>
      <c r="JO90" s="39"/>
      <c r="JP90" s="39"/>
      <c r="JQ90" s="39"/>
      <c r="JR90" s="39"/>
      <c r="JS90" s="39"/>
      <c r="JT90" s="41" t="b">
        <f aca="false">TRUE()</f>
        <v>1</v>
      </c>
      <c r="JU90" s="41" t="b">
        <f aca="false">TRUE()</f>
        <v>1</v>
      </c>
      <c r="JV90" s="39"/>
      <c r="JW90" s="39"/>
      <c r="JX90" s="39"/>
      <c r="JY90" s="39"/>
      <c r="JZ90" s="39"/>
      <c r="KA90" s="39"/>
      <c r="KB90" s="39"/>
      <c r="KC90" s="39"/>
      <c r="KD90" s="39"/>
      <c r="KE90" s="39"/>
      <c r="KF90" s="39"/>
      <c r="KG90" s="39"/>
      <c r="KH90" s="39"/>
      <c r="KI90" s="39"/>
      <c r="KJ90" s="39"/>
      <c r="KK90" s="39"/>
      <c r="KL90" s="39"/>
      <c r="KM90" s="39"/>
      <c r="KN90" s="39"/>
      <c r="KO90" s="41" t="b">
        <f aca="false">TRUE()</f>
        <v>1</v>
      </c>
      <c r="KP90" s="39"/>
      <c r="KQ90" s="41" t="b">
        <f aca="false">TRUE()</f>
        <v>1</v>
      </c>
      <c r="KR90" s="41" t="b">
        <f aca="false">TRUE()</f>
        <v>1</v>
      </c>
      <c r="KS90" s="39"/>
      <c r="KT90" s="41" t="b">
        <f aca="false">TRUE()</f>
        <v>1</v>
      </c>
      <c r="KU90" s="39"/>
    </row>
    <row r="91" customFormat="false" ht="14.4" hidden="false" customHeight="false" outlineLevel="0" collapsed="false">
      <c r="A91" s="37" t="s">
        <v>305</v>
      </c>
      <c r="B91" s="37" t="s">
        <v>2213</v>
      </c>
      <c r="C91" s="37"/>
      <c r="D91" s="37"/>
      <c r="E91" s="37"/>
      <c r="F91" s="37" t="s">
        <v>2214</v>
      </c>
      <c r="G91" s="37" t="s">
        <v>2215</v>
      </c>
      <c r="H91" s="37" t="s">
        <v>2216</v>
      </c>
      <c r="I91" s="37" t="s">
        <v>310</v>
      </c>
      <c r="J91" s="37" t="s">
        <v>311</v>
      </c>
      <c r="K91" s="37"/>
      <c r="L91" s="37"/>
      <c r="M91" s="37"/>
      <c r="N91" s="37"/>
      <c r="O91" s="37" t="s">
        <v>2217</v>
      </c>
      <c r="P91" s="37" t="s">
        <v>2218</v>
      </c>
      <c r="Q91" s="37" t="s">
        <v>2219</v>
      </c>
      <c r="R91" s="37" t="s">
        <v>2220</v>
      </c>
      <c r="S91" s="37" t="s">
        <v>2221</v>
      </c>
      <c r="T91" s="37" t="s">
        <v>2222</v>
      </c>
      <c r="U91" s="37" t="s">
        <v>2223</v>
      </c>
      <c r="V91" s="37" t="s">
        <v>2224</v>
      </c>
      <c r="W91" s="37" t="s">
        <v>2225</v>
      </c>
      <c r="X91" s="37" t="s">
        <v>2226</v>
      </c>
      <c r="Y91" s="37" t="s">
        <v>2227</v>
      </c>
      <c r="Z91" s="37" t="s">
        <v>2228</v>
      </c>
      <c r="AA91" s="37" t="n">
        <v>62</v>
      </c>
      <c r="AB91" s="37" t="n">
        <v>26</v>
      </c>
      <c r="AC91" s="37" t="n">
        <v>26</v>
      </c>
      <c r="AD91" s="37" t="n">
        <v>6</v>
      </c>
      <c r="AE91" s="37" t="n">
        <v>57</v>
      </c>
      <c r="AF91" s="37" t="s">
        <v>321</v>
      </c>
      <c r="AG91" s="37" t="s">
        <v>322</v>
      </c>
      <c r="AH91" s="37" t="s">
        <v>323</v>
      </c>
      <c r="AI91" s="37" t="s">
        <v>2229</v>
      </c>
      <c r="AJ91" s="37" t="s">
        <v>2230</v>
      </c>
      <c r="AK91" s="37"/>
      <c r="AL91" s="37" t="s">
        <v>2231</v>
      </c>
      <c r="AM91" s="37" t="s">
        <v>2232</v>
      </c>
      <c r="AN91" s="37" t="s">
        <v>408</v>
      </c>
      <c r="AO91" s="37" t="n">
        <v>2020</v>
      </c>
      <c r="AP91" s="37" t="n">
        <v>13</v>
      </c>
      <c r="AQ91" s="37" t="n">
        <v>24</v>
      </c>
      <c r="AR91" s="37"/>
      <c r="AS91" s="37"/>
      <c r="AT91" s="37"/>
      <c r="AU91" s="37" t="n">
        <v>1287</v>
      </c>
      <c r="AV91" s="37" t="s">
        <v>2233</v>
      </c>
      <c r="AW91" s="37" t="str">
        <f aca="false">HYPERLINK("http://dx.doi.org/10.1007/s12517-020-06293-8","http://dx.doi.org/10.1007/s12517-020-06293-8")</f>
        <v>http://dx.doi.org/10.1007/s12517-020-06293-8</v>
      </c>
      <c r="AX91" s="37"/>
      <c r="AY91" s="37" t="n">
        <v>20</v>
      </c>
      <c r="AZ91" s="37" t="s">
        <v>2234</v>
      </c>
      <c r="BA91" s="37" t="s">
        <v>331</v>
      </c>
      <c r="BB91" s="37" t="s">
        <v>2235</v>
      </c>
      <c r="BC91" s="37" t="s">
        <v>2236</v>
      </c>
      <c r="BD91" s="37"/>
      <c r="BE91" s="37"/>
      <c r="BF91" s="37" t="s">
        <v>334</v>
      </c>
      <c r="BG91" s="37" t="s">
        <v>2237</v>
      </c>
      <c r="BH91" s="37" t="str">
        <f aca="false">HYPERLINK("https%3A%2F%2Fwww.webofscience.com%2Fwos%2Fwoscc%2Ffull-record%2FWOS:000606496500009","View Full Record in Web of Science")</f>
        <v>View Full Record in Web of Science</v>
      </c>
      <c r="BI91" s="39"/>
      <c r="BJ91" s="39"/>
      <c r="BK91" s="41" t="b">
        <f aca="false">TRUE()</f>
        <v>1</v>
      </c>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41" t="b">
        <f aca="false">TRUE()</f>
        <v>1</v>
      </c>
      <c r="CX91" s="39"/>
      <c r="CY91" s="39"/>
      <c r="CZ91" s="41" t="b">
        <f aca="false">TRUE()</f>
        <v>1</v>
      </c>
      <c r="DA91" s="41" t="b">
        <f aca="false">TRUE()</f>
        <v>1</v>
      </c>
      <c r="DB91" s="39"/>
      <c r="DC91" s="41" t="b">
        <f aca="false">TRUE()</f>
        <v>1</v>
      </c>
      <c r="DD91" s="39"/>
      <c r="DE91" s="39"/>
      <c r="DF91" s="39"/>
      <c r="DG91" s="39"/>
      <c r="DH91" s="39"/>
      <c r="DI91" s="39"/>
      <c r="DJ91" s="39"/>
      <c r="DK91" s="39"/>
      <c r="DL91" s="39"/>
      <c r="DM91" s="39"/>
      <c r="DN91" s="39"/>
      <c r="DO91" s="39"/>
      <c r="DP91" s="39"/>
      <c r="DQ91" s="39"/>
      <c r="DR91" s="39"/>
      <c r="DS91" s="39"/>
      <c r="DT91" s="41" t="b">
        <f aca="false">TRUE()</f>
        <v>1</v>
      </c>
      <c r="DU91" s="39"/>
      <c r="DV91" s="39"/>
      <c r="DW91" s="39"/>
      <c r="DX91" s="39"/>
      <c r="DY91" s="39"/>
      <c r="DZ91" s="39"/>
      <c r="EA91" s="41" t="b">
        <f aca="false">TRUE()</f>
        <v>1</v>
      </c>
      <c r="EB91" s="39"/>
      <c r="EC91" s="39"/>
      <c r="ED91" s="39"/>
      <c r="EE91" s="39"/>
      <c r="EF91" s="39"/>
      <c r="EG91" s="39"/>
      <c r="EH91" s="39"/>
      <c r="EI91" s="41" t="b">
        <f aca="false">TRUE()</f>
        <v>1</v>
      </c>
      <c r="EJ91" s="39"/>
      <c r="EK91" s="39"/>
      <c r="EL91" s="39"/>
      <c r="EM91" s="39"/>
      <c r="EN91" s="39"/>
      <c r="EO91" s="39"/>
      <c r="EP91" s="39"/>
      <c r="EQ91" s="39"/>
      <c r="ER91" s="39"/>
      <c r="ES91" s="39"/>
      <c r="ET91" s="39"/>
      <c r="EU91" s="39"/>
      <c r="EV91" s="39"/>
      <c r="EW91" s="39"/>
      <c r="EX91" s="39"/>
      <c r="EY91" s="41" t="b">
        <f aca="false">TRUE()</f>
        <v>1</v>
      </c>
      <c r="EZ91" s="39"/>
      <c r="FA91" s="39"/>
      <c r="FB91" s="39"/>
      <c r="FC91" s="39"/>
      <c r="FD91" s="39"/>
      <c r="FE91" s="39"/>
      <c r="FF91" s="39"/>
      <c r="FG91" s="39"/>
      <c r="FH91" s="39"/>
      <c r="FI91" s="39"/>
      <c r="FJ91" s="39"/>
      <c r="FK91" s="39"/>
      <c r="FL91" s="39"/>
      <c r="FM91" s="39"/>
      <c r="FN91" s="39"/>
      <c r="FO91" s="39"/>
      <c r="FP91" s="39"/>
      <c r="FQ91" s="39"/>
      <c r="FR91" s="39"/>
      <c r="FS91" s="39"/>
      <c r="FT91" s="39"/>
      <c r="FU91" s="39"/>
      <c r="FV91" s="39"/>
      <c r="FW91" s="39"/>
      <c r="FX91" s="39"/>
      <c r="FY91" s="39"/>
      <c r="FZ91" s="39"/>
      <c r="GA91" s="39"/>
      <c r="GB91" s="39"/>
      <c r="GC91" s="39"/>
      <c r="GD91" s="39"/>
      <c r="GE91" s="39"/>
      <c r="GF91" s="39"/>
      <c r="GG91" s="39"/>
      <c r="GH91" s="39"/>
      <c r="GI91" s="39"/>
      <c r="GJ91" s="39"/>
      <c r="GK91" s="39"/>
      <c r="GL91" s="39"/>
      <c r="GM91" s="39"/>
      <c r="GN91" s="39"/>
      <c r="GO91" s="39"/>
      <c r="GP91" s="39"/>
      <c r="GQ91" s="39"/>
      <c r="GR91" s="39"/>
      <c r="GS91" s="39"/>
      <c r="GT91" s="39"/>
      <c r="GU91" s="39"/>
      <c r="GV91" s="39"/>
      <c r="GW91" s="39"/>
      <c r="GX91" s="39"/>
      <c r="GY91" s="39"/>
      <c r="GZ91" s="39"/>
      <c r="HA91" s="39"/>
      <c r="HB91" s="39"/>
      <c r="HC91" s="39"/>
      <c r="HD91" s="39"/>
      <c r="HE91" s="39"/>
      <c r="HF91" s="39"/>
      <c r="HG91" s="39"/>
      <c r="HH91" s="39"/>
      <c r="HI91" s="39"/>
      <c r="HJ91" s="39"/>
      <c r="HK91" s="39"/>
      <c r="HL91" s="39"/>
      <c r="HM91" s="39"/>
      <c r="HN91" s="39"/>
      <c r="HO91" s="39"/>
      <c r="HP91" s="39"/>
      <c r="HQ91" s="39"/>
      <c r="HR91" s="39"/>
      <c r="HS91" s="39"/>
      <c r="HT91" s="39"/>
      <c r="HU91" s="39"/>
      <c r="HV91" s="39"/>
      <c r="HW91" s="39"/>
      <c r="HX91" s="39"/>
      <c r="HY91" s="39"/>
      <c r="HZ91" s="39"/>
      <c r="IA91" s="39"/>
      <c r="IB91" s="39"/>
      <c r="IC91" s="39"/>
      <c r="ID91" s="41" t="b">
        <f aca="false">TRUE()</f>
        <v>1</v>
      </c>
      <c r="IE91" s="39"/>
      <c r="IF91" s="39"/>
      <c r="IG91" s="39"/>
      <c r="IH91" s="39"/>
      <c r="II91" s="39"/>
      <c r="IJ91" s="39"/>
      <c r="IK91" s="39"/>
      <c r="IL91" s="39"/>
      <c r="IM91" s="39"/>
      <c r="IN91" s="39"/>
      <c r="IO91" s="39"/>
      <c r="IP91" s="39"/>
      <c r="IQ91" s="39"/>
      <c r="IR91" s="39"/>
      <c r="IS91" s="39"/>
      <c r="IT91" s="39"/>
      <c r="IU91" s="39"/>
      <c r="IV91" s="39"/>
      <c r="IW91" s="39"/>
      <c r="IX91" s="39"/>
      <c r="IY91" s="39"/>
      <c r="IZ91" s="39"/>
      <c r="JA91" s="39"/>
      <c r="JB91" s="39"/>
      <c r="JC91" s="39"/>
      <c r="JD91" s="39"/>
      <c r="JE91" s="39"/>
      <c r="JF91" s="39"/>
      <c r="JG91" s="39"/>
      <c r="JH91" s="39"/>
      <c r="JI91" s="39"/>
      <c r="JJ91" s="39"/>
      <c r="JK91" s="39"/>
      <c r="JL91" s="39"/>
      <c r="JM91" s="39"/>
      <c r="JN91" s="39"/>
      <c r="JO91" s="39"/>
      <c r="JP91" s="39"/>
      <c r="JQ91" s="39"/>
      <c r="JR91" s="39"/>
      <c r="JS91" s="39"/>
      <c r="JT91" s="41" t="b">
        <f aca="false">TRUE()</f>
        <v>1</v>
      </c>
      <c r="JU91" s="41" t="b">
        <f aca="false">TRUE()</f>
        <v>1</v>
      </c>
      <c r="JV91" s="39"/>
      <c r="JW91" s="39"/>
      <c r="JX91" s="39"/>
      <c r="JY91" s="39"/>
      <c r="JZ91" s="39"/>
      <c r="KA91" s="39"/>
      <c r="KB91" s="39"/>
      <c r="KC91" s="39"/>
      <c r="KD91" s="39"/>
      <c r="KE91" s="39"/>
      <c r="KF91" s="39"/>
      <c r="KG91" s="41" t="b">
        <f aca="false">TRUE()</f>
        <v>1</v>
      </c>
      <c r="KH91" s="39"/>
      <c r="KI91" s="39"/>
      <c r="KJ91" s="41" t="b">
        <f aca="false">TRUE()</f>
        <v>1</v>
      </c>
      <c r="KK91" s="39"/>
      <c r="KL91" s="39"/>
      <c r="KM91" s="39"/>
      <c r="KN91" s="39"/>
      <c r="KO91" s="39"/>
      <c r="KP91" s="41" t="b">
        <f aca="false">TRUE()</f>
        <v>1</v>
      </c>
      <c r="KQ91" s="39"/>
      <c r="KR91" s="39"/>
      <c r="KS91" s="39"/>
      <c r="KT91" s="41" t="b">
        <f aca="false">TRUE()</f>
        <v>1</v>
      </c>
      <c r="KU91" s="39"/>
    </row>
    <row r="92" customFormat="false" ht="14.4" hidden="false" customHeight="false" outlineLevel="0" collapsed="false">
      <c r="A92" s="37" t="s">
        <v>305</v>
      </c>
      <c r="B92" s="37" t="s">
        <v>2238</v>
      </c>
      <c r="C92" s="37"/>
      <c r="D92" s="37"/>
      <c r="E92" s="37"/>
      <c r="F92" s="37" t="s">
        <v>2239</v>
      </c>
      <c r="G92" s="37" t="s">
        <v>2240</v>
      </c>
      <c r="H92" s="37" t="s">
        <v>2241</v>
      </c>
      <c r="I92" s="37" t="s">
        <v>310</v>
      </c>
      <c r="J92" s="37" t="s">
        <v>311</v>
      </c>
      <c r="K92" s="37"/>
      <c r="L92" s="37"/>
      <c r="M92" s="37"/>
      <c r="N92" s="37"/>
      <c r="O92" s="37" t="s">
        <v>2242</v>
      </c>
      <c r="P92" s="37"/>
      <c r="Q92" s="37" t="s">
        <v>2243</v>
      </c>
      <c r="R92" s="37" t="s">
        <v>2244</v>
      </c>
      <c r="S92" s="37" t="s">
        <v>2245</v>
      </c>
      <c r="T92" s="37" t="s">
        <v>2246</v>
      </c>
      <c r="U92" s="37" t="s">
        <v>2247</v>
      </c>
      <c r="V92" s="37" t="s">
        <v>2248</v>
      </c>
      <c r="W92" s="37"/>
      <c r="X92" s="37" t="s">
        <v>2249</v>
      </c>
      <c r="Y92" s="37" t="s">
        <v>2250</v>
      </c>
      <c r="Z92" s="37" t="s">
        <v>2251</v>
      </c>
      <c r="AA92" s="37" t="n">
        <v>28</v>
      </c>
      <c r="AB92" s="37" t="n">
        <v>3</v>
      </c>
      <c r="AC92" s="37" t="n">
        <v>3</v>
      </c>
      <c r="AD92" s="37" t="n">
        <v>27</v>
      </c>
      <c r="AE92" s="37" t="n">
        <v>44</v>
      </c>
      <c r="AF92" s="37" t="s">
        <v>2252</v>
      </c>
      <c r="AG92" s="37" t="s">
        <v>2253</v>
      </c>
      <c r="AH92" s="37" t="s">
        <v>2254</v>
      </c>
      <c r="AI92" s="37" t="s">
        <v>2255</v>
      </c>
      <c r="AJ92" s="37" t="s">
        <v>2256</v>
      </c>
      <c r="AK92" s="37"/>
      <c r="AL92" s="37" t="s">
        <v>2257</v>
      </c>
      <c r="AM92" s="37" t="s">
        <v>2258</v>
      </c>
      <c r="AN92" s="37" t="s">
        <v>328</v>
      </c>
      <c r="AO92" s="37" t="n">
        <v>2024</v>
      </c>
      <c r="AP92" s="37" t="n">
        <v>25</v>
      </c>
      <c r="AQ92" s="37" t="n">
        <v>1</v>
      </c>
      <c r="AR92" s="37"/>
      <c r="AS92" s="37" t="n">
        <v>89</v>
      </c>
      <c r="AT92" s="37" t="n">
        <v>103</v>
      </c>
      <c r="AU92" s="37"/>
      <c r="AV92" s="37" t="s">
        <v>2259</v>
      </c>
      <c r="AW92" s="37" t="str">
        <f aca="false">HYPERLINK("http://dx.doi.org/10.1175/JHM-D-23-0073.1","http://dx.doi.org/10.1175/JHM-D-23-0073.1")</f>
        <v>http://dx.doi.org/10.1175/JHM-D-23-0073.1</v>
      </c>
      <c r="AX92" s="37"/>
      <c r="AY92" s="37" t="n">
        <v>15</v>
      </c>
      <c r="AZ92" s="37" t="s">
        <v>804</v>
      </c>
      <c r="BA92" s="37" t="s">
        <v>331</v>
      </c>
      <c r="BB92" s="37" t="s">
        <v>804</v>
      </c>
      <c r="BC92" s="37" t="s">
        <v>2260</v>
      </c>
      <c r="BD92" s="37"/>
      <c r="BE92" s="37"/>
      <c r="BF92" s="37" t="s">
        <v>334</v>
      </c>
      <c r="BG92" s="37" t="s">
        <v>2261</v>
      </c>
      <c r="BH92" s="37" t="str">
        <f aca="false">HYPERLINK("https%3A%2F%2Fwww.webofscience.com%2Fwos%2Fwoscc%2Ffull-record%2FWOS:001130905500001","View Full Record in Web of Science")</f>
        <v>View Full Record in Web of Science</v>
      </c>
      <c r="BI92" s="39"/>
      <c r="BJ92" s="39"/>
      <c r="BK92" s="39"/>
      <c r="BL92" s="39"/>
      <c r="BM92" s="39"/>
      <c r="BN92" s="39"/>
      <c r="BO92" s="41" t="b">
        <f aca="false">TRUE()</f>
        <v>1</v>
      </c>
      <c r="BP92" s="39"/>
      <c r="BQ92" s="39"/>
      <c r="BR92" s="41" t="b">
        <f aca="false">TRUE()</f>
        <v>1</v>
      </c>
      <c r="BS92" s="39"/>
      <c r="BT92" s="3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39"/>
      <c r="DQ92" s="39"/>
      <c r="DR92" s="39"/>
      <c r="DS92" s="39"/>
      <c r="DT92" s="39"/>
      <c r="DU92" s="39"/>
      <c r="DV92" s="39"/>
      <c r="DW92" s="39"/>
      <c r="DX92" s="41" t="b">
        <f aca="false">TRUE()</f>
        <v>1</v>
      </c>
      <c r="DY92" s="41" t="b">
        <f aca="false">TRUE()</f>
        <v>1</v>
      </c>
      <c r="DZ92" s="39"/>
      <c r="EA92" s="41" t="b">
        <f aca="false">TRUE()</f>
        <v>1</v>
      </c>
      <c r="EB92" s="39"/>
      <c r="EC92" s="39"/>
      <c r="ED92" s="39"/>
      <c r="EE92" s="39"/>
      <c r="EF92" s="39"/>
      <c r="EG92" s="39"/>
      <c r="EH92" s="39"/>
      <c r="EI92" s="39"/>
      <c r="EJ92" s="39"/>
      <c r="EK92" s="39"/>
      <c r="EL92" s="39"/>
      <c r="EM92" s="39"/>
      <c r="EN92" s="39"/>
      <c r="EO92" s="39"/>
      <c r="EP92" s="39"/>
      <c r="EQ92" s="39"/>
      <c r="ER92" s="39"/>
      <c r="ES92" s="39"/>
      <c r="ET92" s="39"/>
      <c r="EU92" s="39"/>
      <c r="EV92" s="39"/>
      <c r="EW92" s="39"/>
      <c r="EX92" s="41" t="b">
        <f aca="false">TRUE()</f>
        <v>1</v>
      </c>
      <c r="EY92" s="39"/>
      <c r="EZ92" s="39"/>
      <c r="FA92" s="39"/>
      <c r="FB92" s="39"/>
      <c r="FC92" s="41" t="b">
        <f aca="false">TRUE()</f>
        <v>1</v>
      </c>
      <c r="FD92" s="41" t="b">
        <f aca="false">TRUE()</f>
        <v>1</v>
      </c>
      <c r="FE92" s="39"/>
      <c r="FF92" s="39"/>
      <c r="FG92" s="39"/>
      <c r="FH92" s="39"/>
      <c r="FI92" s="39"/>
      <c r="FJ92" s="39"/>
      <c r="FK92" s="39"/>
      <c r="FL92" s="39"/>
      <c r="FM92" s="39"/>
      <c r="FN92" s="39"/>
      <c r="FO92" s="39"/>
      <c r="FP92" s="39"/>
      <c r="FQ92" s="39"/>
      <c r="FR92" s="39"/>
      <c r="FS92" s="39"/>
      <c r="FT92" s="39"/>
      <c r="FU92" s="39"/>
      <c r="FV92" s="39"/>
      <c r="FW92" s="39"/>
      <c r="FX92" s="39"/>
      <c r="FY92" s="39"/>
      <c r="FZ92" s="39"/>
      <c r="GA92" s="39"/>
      <c r="GB92" s="39"/>
      <c r="GC92" s="41" t="b">
        <f aca="false">TRUE()</f>
        <v>1</v>
      </c>
      <c r="GD92" s="39"/>
      <c r="GE92" s="39"/>
      <c r="GF92" s="39"/>
      <c r="GG92" s="39"/>
      <c r="GH92" s="39"/>
      <c r="GI92" s="39"/>
      <c r="GJ92" s="39"/>
      <c r="GK92" s="39"/>
      <c r="GL92" s="39"/>
      <c r="GM92" s="39"/>
      <c r="GN92" s="39"/>
      <c r="GO92" s="39"/>
      <c r="GP92" s="39"/>
      <c r="GQ92" s="39"/>
      <c r="GR92" s="39"/>
      <c r="GS92" s="39"/>
      <c r="GT92" s="39"/>
      <c r="GU92" s="39"/>
      <c r="GV92" s="39"/>
      <c r="GW92" s="39"/>
      <c r="GX92" s="39"/>
      <c r="GY92" s="39"/>
      <c r="GZ92" s="39"/>
      <c r="HA92" s="39"/>
      <c r="HB92" s="39"/>
      <c r="HC92" s="39"/>
      <c r="HD92" s="39"/>
      <c r="HE92" s="39"/>
      <c r="HF92" s="39"/>
      <c r="HG92" s="39"/>
      <c r="HH92" s="39"/>
      <c r="HI92" s="39"/>
      <c r="HJ92" s="39"/>
      <c r="HK92" s="39"/>
      <c r="HL92" s="39"/>
      <c r="HM92" s="39"/>
      <c r="HN92" s="39"/>
      <c r="HO92" s="39"/>
      <c r="HP92" s="39"/>
      <c r="HQ92" s="39"/>
      <c r="HR92" s="39"/>
      <c r="HS92" s="39"/>
      <c r="HT92" s="39"/>
      <c r="HU92" s="39"/>
      <c r="HV92" s="39"/>
      <c r="HW92" s="39"/>
      <c r="HX92" s="39"/>
      <c r="HY92" s="39"/>
      <c r="HZ92" s="39"/>
      <c r="IA92" s="39"/>
      <c r="IB92" s="39"/>
      <c r="IC92" s="39"/>
      <c r="ID92" s="39"/>
      <c r="IE92" s="39"/>
      <c r="IF92" s="39"/>
      <c r="IG92" s="39"/>
      <c r="IH92" s="39"/>
      <c r="II92" s="39"/>
      <c r="IJ92" s="39"/>
      <c r="IK92" s="39"/>
      <c r="IL92" s="39"/>
      <c r="IM92" s="39"/>
      <c r="IN92" s="39"/>
      <c r="IO92" s="39"/>
      <c r="IP92" s="39"/>
      <c r="IQ92" s="39"/>
      <c r="IR92" s="39"/>
      <c r="IS92" s="39"/>
      <c r="IT92" s="39"/>
      <c r="IU92" s="39"/>
      <c r="IV92" s="39"/>
      <c r="IW92" s="39"/>
      <c r="IX92" s="39"/>
      <c r="IY92" s="39"/>
      <c r="IZ92" s="39"/>
      <c r="JA92" s="39"/>
      <c r="JB92" s="39"/>
      <c r="JC92" s="39"/>
      <c r="JD92" s="39"/>
      <c r="JE92" s="39"/>
      <c r="JF92" s="39"/>
      <c r="JG92" s="39"/>
      <c r="JH92" s="41" t="b">
        <f aca="false">TRUE()</f>
        <v>1</v>
      </c>
      <c r="JI92" s="39"/>
      <c r="JJ92" s="39"/>
      <c r="JK92" s="39"/>
      <c r="JL92" s="39"/>
      <c r="JM92" s="39"/>
      <c r="JN92" s="39"/>
      <c r="JO92" s="39"/>
      <c r="JP92" s="39"/>
      <c r="JQ92" s="39"/>
      <c r="JR92" s="39"/>
      <c r="JS92" s="39"/>
      <c r="JT92" s="41" t="b">
        <f aca="false">TRUE()</f>
        <v>1</v>
      </c>
      <c r="JU92" s="41" t="b">
        <f aca="false">TRUE()</f>
        <v>1</v>
      </c>
      <c r="JV92" s="39"/>
      <c r="JW92" s="39"/>
      <c r="JX92" s="39"/>
      <c r="JY92" s="39"/>
      <c r="JZ92" s="39"/>
      <c r="KA92" s="39"/>
      <c r="KB92" s="39"/>
      <c r="KC92" s="39"/>
      <c r="KD92" s="39"/>
      <c r="KE92" s="39"/>
      <c r="KF92" s="39"/>
      <c r="KG92" s="39"/>
      <c r="KH92" s="39"/>
      <c r="KI92" s="39"/>
      <c r="KJ92" s="39"/>
      <c r="KK92" s="39"/>
      <c r="KL92" s="39"/>
      <c r="KM92" s="39"/>
      <c r="KN92" s="39"/>
      <c r="KO92" s="41" t="b">
        <f aca="false">TRUE()</f>
        <v>1</v>
      </c>
      <c r="KP92" s="41" t="b">
        <f aca="false">TRUE()</f>
        <v>1</v>
      </c>
      <c r="KQ92" s="39"/>
      <c r="KR92" s="39"/>
      <c r="KS92" s="39"/>
      <c r="KT92" s="39"/>
      <c r="KU92" s="41" t="b">
        <f aca="false">TRUE()</f>
        <v>1</v>
      </c>
    </row>
    <row r="93" customFormat="false" ht="14.4" hidden="false" customHeight="false" outlineLevel="0" collapsed="false">
      <c r="A93" s="37" t="s">
        <v>305</v>
      </c>
      <c r="B93" s="37" t="s">
        <v>2262</v>
      </c>
      <c r="C93" s="37"/>
      <c r="D93" s="37"/>
      <c r="E93" s="37"/>
      <c r="F93" s="37" t="s">
        <v>2263</v>
      </c>
      <c r="G93" s="37" t="s">
        <v>2264</v>
      </c>
      <c r="H93" s="37" t="s">
        <v>2265</v>
      </c>
      <c r="I93" s="37" t="s">
        <v>310</v>
      </c>
      <c r="J93" s="37" t="s">
        <v>311</v>
      </c>
      <c r="K93" s="37"/>
      <c r="L93" s="37"/>
      <c r="M93" s="37"/>
      <c r="N93" s="37"/>
      <c r="O93" s="37" t="s">
        <v>2266</v>
      </c>
      <c r="P93" s="37" t="s">
        <v>2267</v>
      </c>
      <c r="Q93" s="37" t="s">
        <v>2268</v>
      </c>
      <c r="R93" s="37" t="s">
        <v>2269</v>
      </c>
      <c r="S93" s="37" t="s">
        <v>2270</v>
      </c>
      <c r="T93" s="37" t="s">
        <v>2271</v>
      </c>
      <c r="U93" s="37" t="s">
        <v>2272</v>
      </c>
      <c r="V93" s="37" t="s">
        <v>2273</v>
      </c>
      <c r="W93" s="37" t="s">
        <v>2274</v>
      </c>
      <c r="X93" s="37" t="s">
        <v>2275</v>
      </c>
      <c r="Y93" s="37" t="s">
        <v>2275</v>
      </c>
      <c r="Z93" s="37" t="s">
        <v>2276</v>
      </c>
      <c r="AA93" s="37" t="n">
        <v>57</v>
      </c>
      <c r="AB93" s="37" t="n">
        <v>2</v>
      </c>
      <c r="AC93" s="37" t="n">
        <v>2</v>
      </c>
      <c r="AD93" s="37" t="n">
        <v>9</v>
      </c>
      <c r="AE93" s="37" t="n">
        <v>9</v>
      </c>
      <c r="AF93" s="37" t="s">
        <v>401</v>
      </c>
      <c r="AG93" s="37" t="s">
        <v>402</v>
      </c>
      <c r="AH93" s="37" t="s">
        <v>403</v>
      </c>
      <c r="AI93" s="37" t="s">
        <v>2277</v>
      </c>
      <c r="AJ93" s="37" t="s">
        <v>2278</v>
      </c>
      <c r="AK93" s="37"/>
      <c r="AL93" s="37" t="s">
        <v>2279</v>
      </c>
      <c r="AM93" s="37" t="s">
        <v>2280</v>
      </c>
      <c r="AN93" s="37" t="s">
        <v>435</v>
      </c>
      <c r="AO93" s="37" t="n">
        <v>2024</v>
      </c>
      <c r="AP93" s="37" t="n">
        <v>181</v>
      </c>
      <c r="AQ93" s="37"/>
      <c r="AR93" s="37"/>
      <c r="AS93" s="37"/>
      <c r="AT93" s="37"/>
      <c r="AU93" s="37" t="n">
        <v>106179</v>
      </c>
      <c r="AV93" s="37" t="s">
        <v>2281</v>
      </c>
      <c r="AW93" s="37" t="str">
        <f aca="false">HYPERLINK("http://dx.doi.org/10.1016/j.envsoft.2024.106179","http://dx.doi.org/10.1016/j.envsoft.2024.106179")</f>
        <v>http://dx.doi.org/10.1016/j.envsoft.2024.106179</v>
      </c>
      <c r="AX93" s="37" t="s">
        <v>1447</v>
      </c>
      <c r="AY93" s="37" t="n">
        <v>12</v>
      </c>
      <c r="AZ93" s="37" t="s">
        <v>2282</v>
      </c>
      <c r="BA93" s="37" t="s">
        <v>331</v>
      </c>
      <c r="BB93" s="37" t="s">
        <v>2009</v>
      </c>
      <c r="BC93" s="37" t="s">
        <v>2283</v>
      </c>
      <c r="BD93" s="37"/>
      <c r="BE93" s="37" t="s">
        <v>684</v>
      </c>
      <c r="BF93" s="37" t="s">
        <v>334</v>
      </c>
      <c r="BG93" s="37" t="s">
        <v>2284</v>
      </c>
      <c r="BH93" s="37" t="str">
        <f aca="false">HYPERLINK("https%3A%2F%2Fwww.webofscience.com%2Fwos%2Fwoscc%2Ffull-record%2FWOS:001301612900001","View Full Record in Web of Science")</f>
        <v>View Full Record in Web of Science</v>
      </c>
      <c r="BI93" s="39"/>
      <c r="BJ93" s="39"/>
      <c r="BK93" s="39"/>
      <c r="BL93" s="39"/>
      <c r="BM93" s="39"/>
      <c r="BN93" s="39"/>
      <c r="BO93" s="41" t="b">
        <f aca="false">TRUE()</f>
        <v>1</v>
      </c>
      <c r="BP93" s="39"/>
      <c r="BQ93" s="39"/>
      <c r="BR93" s="41" t="b">
        <f aca="false">TRUE()</f>
        <v>1</v>
      </c>
      <c r="BS93" s="39"/>
      <c r="BT93" s="39"/>
      <c r="BU93" s="39"/>
      <c r="BV93" s="39"/>
      <c r="BW93" s="39"/>
      <c r="BX93" s="39"/>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39"/>
      <c r="DQ93" s="39"/>
      <c r="DR93" s="39"/>
      <c r="DS93" s="39"/>
      <c r="DT93" s="39"/>
      <c r="DU93" s="39"/>
      <c r="DV93" s="39"/>
      <c r="DW93" s="39"/>
      <c r="DX93" s="39"/>
      <c r="DY93" s="39"/>
      <c r="DZ93" s="39"/>
      <c r="EA93" s="41" t="b">
        <f aca="false">TRUE()</f>
        <v>1</v>
      </c>
      <c r="EB93" s="41" t="b">
        <f aca="false">TRUE()</f>
        <v>1</v>
      </c>
      <c r="EC93" s="39"/>
      <c r="ED93" s="39"/>
      <c r="EE93" s="39"/>
      <c r="EF93" s="39"/>
      <c r="EG93" s="39"/>
      <c r="EH93" s="39"/>
      <c r="EI93" s="39"/>
      <c r="EJ93" s="39"/>
      <c r="EK93" s="39"/>
      <c r="EL93" s="39"/>
      <c r="EM93" s="39"/>
      <c r="EN93" s="39"/>
      <c r="EO93" s="39"/>
      <c r="EP93" s="39"/>
      <c r="EQ93" s="39"/>
      <c r="ER93" s="39"/>
      <c r="ES93" s="39"/>
      <c r="ET93" s="39"/>
      <c r="EU93" s="39"/>
      <c r="EV93" s="39"/>
      <c r="EW93" s="39"/>
      <c r="EX93" s="39"/>
      <c r="EY93" s="39"/>
      <c r="EZ93" s="39"/>
      <c r="FA93" s="39"/>
      <c r="FB93" s="39"/>
      <c r="FC93" s="41" t="b">
        <f aca="false">TRUE()</f>
        <v>1</v>
      </c>
      <c r="FD93" s="39"/>
      <c r="FE93" s="39"/>
      <c r="FF93" s="39"/>
      <c r="FG93" s="39"/>
      <c r="FH93" s="39"/>
      <c r="FI93" s="39"/>
      <c r="FJ93" s="39"/>
      <c r="FK93" s="41" t="b">
        <f aca="false">TRUE()</f>
        <v>1</v>
      </c>
      <c r="FL93" s="39"/>
      <c r="FM93" s="39"/>
      <c r="FN93" s="39"/>
      <c r="FO93" s="39"/>
      <c r="FP93" s="39"/>
      <c r="FQ93" s="39"/>
      <c r="FR93" s="39"/>
      <c r="FS93" s="39"/>
      <c r="FT93" s="39"/>
      <c r="FU93" s="39"/>
      <c r="FV93" s="39"/>
      <c r="FW93" s="39"/>
      <c r="FX93" s="39"/>
      <c r="FY93" s="39"/>
      <c r="FZ93" s="39"/>
      <c r="GA93" s="39"/>
      <c r="GB93" s="39"/>
      <c r="GC93" s="39"/>
      <c r="GD93" s="39"/>
      <c r="GE93" s="39"/>
      <c r="GF93" s="39"/>
      <c r="GG93" s="39"/>
      <c r="GH93" s="39"/>
      <c r="GI93" s="39"/>
      <c r="GJ93" s="41" t="b">
        <f aca="false">TRUE()</f>
        <v>1</v>
      </c>
      <c r="GK93" s="39"/>
      <c r="GL93" s="39"/>
      <c r="GM93" s="39"/>
      <c r="GN93" s="39"/>
      <c r="GO93" s="39"/>
      <c r="GP93" s="39"/>
      <c r="GQ93" s="39"/>
      <c r="GR93" s="39"/>
      <c r="GS93" s="39"/>
      <c r="GT93" s="39"/>
      <c r="GU93" s="39"/>
      <c r="GV93" s="39"/>
      <c r="GW93" s="39"/>
      <c r="GX93" s="39"/>
      <c r="GY93" s="39"/>
      <c r="GZ93" s="39"/>
      <c r="HA93" s="39"/>
      <c r="HB93" s="39"/>
      <c r="HC93" s="39"/>
      <c r="HD93" s="39"/>
      <c r="HE93" s="39"/>
      <c r="HF93" s="39"/>
      <c r="HG93" s="39"/>
      <c r="HH93" s="39"/>
      <c r="HI93" s="39"/>
      <c r="HJ93" s="39"/>
      <c r="HK93" s="41" t="b">
        <f aca="false">TRUE()</f>
        <v>1</v>
      </c>
      <c r="HL93" s="39"/>
      <c r="HM93" s="39"/>
      <c r="HN93" s="39"/>
      <c r="HO93" s="39"/>
      <c r="HP93" s="39"/>
      <c r="HQ93" s="39"/>
      <c r="HR93" s="39"/>
      <c r="HS93" s="39"/>
      <c r="HT93" s="39"/>
      <c r="HU93" s="39"/>
      <c r="HV93" s="39"/>
      <c r="HW93" s="39"/>
      <c r="HX93" s="39"/>
      <c r="HY93" s="39"/>
      <c r="HZ93" s="39"/>
      <c r="IA93" s="39"/>
      <c r="IB93" s="41" t="b">
        <f aca="false">TRUE()</f>
        <v>1</v>
      </c>
      <c r="IC93" s="39"/>
      <c r="ID93" s="39"/>
      <c r="IE93" s="39"/>
      <c r="IF93" s="39"/>
      <c r="IG93" s="39"/>
      <c r="IH93" s="39"/>
      <c r="II93" s="39"/>
      <c r="IJ93" s="39"/>
      <c r="IK93" s="39"/>
      <c r="IL93" s="39"/>
      <c r="IM93" s="39"/>
      <c r="IN93" s="39"/>
      <c r="IO93" s="39"/>
      <c r="IP93" s="39"/>
      <c r="IQ93" s="39"/>
      <c r="IR93" s="39"/>
      <c r="IS93" s="39"/>
      <c r="IT93" s="39"/>
      <c r="IU93" s="39"/>
      <c r="IV93" s="39"/>
      <c r="IW93" s="39"/>
      <c r="IX93" s="39"/>
      <c r="IY93" s="39"/>
      <c r="IZ93" s="39"/>
      <c r="JA93" s="39"/>
      <c r="JB93" s="39"/>
      <c r="JC93" s="39"/>
      <c r="JD93" s="39"/>
      <c r="JE93" s="39"/>
      <c r="JF93" s="39"/>
      <c r="JG93" s="39"/>
      <c r="JH93" s="39"/>
      <c r="JI93" s="39"/>
      <c r="JJ93" s="39"/>
      <c r="JK93" s="39"/>
      <c r="JL93" s="39"/>
      <c r="JM93" s="39"/>
      <c r="JN93" s="39"/>
      <c r="JO93" s="39"/>
      <c r="JP93" s="39"/>
      <c r="JQ93" s="39"/>
      <c r="JR93" s="39"/>
      <c r="JS93" s="39"/>
      <c r="JT93" s="41" t="b">
        <f aca="false">TRUE()</f>
        <v>1</v>
      </c>
      <c r="JU93" s="41" t="b">
        <f aca="false">TRUE()</f>
        <v>1</v>
      </c>
      <c r="JV93" s="39"/>
      <c r="JW93" s="39"/>
      <c r="JX93" s="39"/>
      <c r="JY93" s="39"/>
      <c r="JZ93" s="39"/>
      <c r="KA93" s="39"/>
      <c r="KB93" s="39"/>
      <c r="KC93" s="39"/>
      <c r="KD93" s="39"/>
      <c r="KE93" s="39"/>
      <c r="KF93" s="39"/>
      <c r="KG93" s="39"/>
      <c r="KH93" s="39"/>
      <c r="KI93" s="39"/>
      <c r="KJ93" s="39"/>
      <c r="KK93" s="39"/>
      <c r="KL93" s="39"/>
      <c r="KM93" s="39"/>
      <c r="KN93" s="39"/>
      <c r="KO93" s="39"/>
      <c r="KP93" s="39"/>
      <c r="KQ93" s="39"/>
      <c r="KR93" s="41" t="b">
        <f aca="false">TRUE()</f>
        <v>1</v>
      </c>
      <c r="KS93" s="39"/>
      <c r="KT93" s="41" t="b">
        <f aca="false">TRUE()</f>
        <v>1</v>
      </c>
      <c r="KU93" s="39"/>
    </row>
    <row r="94" customFormat="false" ht="14.4" hidden="false" customHeight="false" outlineLevel="0" collapsed="false">
      <c r="A94" s="37" t="s">
        <v>305</v>
      </c>
      <c r="B94" s="37" t="s">
        <v>2285</v>
      </c>
      <c r="C94" s="37"/>
      <c r="D94" s="37"/>
      <c r="E94" s="37"/>
      <c r="F94" s="37" t="s">
        <v>2286</v>
      </c>
      <c r="G94" s="37" t="s">
        <v>2287</v>
      </c>
      <c r="H94" s="37" t="s">
        <v>659</v>
      </c>
      <c r="I94" s="37" t="s">
        <v>310</v>
      </c>
      <c r="J94" s="37" t="s">
        <v>311</v>
      </c>
      <c r="K94" s="37"/>
      <c r="L94" s="37"/>
      <c r="M94" s="37"/>
      <c r="N94" s="37"/>
      <c r="O94" s="37" t="s">
        <v>2288</v>
      </c>
      <c r="P94" s="37" t="s">
        <v>2289</v>
      </c>
      <c r="Q94" s="37" t="s">
        <v>2290</v>
      </c>
      <c r="R94" s="37" t="s">
        <v>2291</v>
      </c>
      <c r="S94" s="37" t="s">
        <v>2292</v>
      </c>
      <c r="T94" s="37" t="s">
        <v>2293</v>
      </c>
      <c r="U94" s="37" t="s">
        <v>2294</v>
      </c>
      <c r="V94" s="37" t="s">
        <v>2295</v>
      </c>
      <c r="W94" s="37" t="s">
        <v>2296</v>
      </c>
      <c r="X94" s="37" t="s">
        <v>2297</v>
      </c>
      <c r="Y94" s="37" t="s">
        <v>2298</v>
      </c>
      <c r="Z94" s="37" t="s">
        <v>2299</v>
      </c>
      <c r="AA94" s="37" t="n">
        <v>39</v>
      </c>
      <c r="AB94" s="37" t="n">
        <v>37</v>
      </c>
      <c r="AC94" s="37" t="n">
        <v>41</v>
      </c>
      <c r="AD94" s="37" t="n">
        <v>11</v>
      </c>
      <c r="AE94" s="37" t="n">
        <v>68</v>
      </c>
      <c r="AF94" s="37" t="s">
        <v>672</v>
      </c>
      <c r="AG94" s="37" t="s">
        <v>673</v>
      </c>
      <c r="AH94" s="37" t="s">
        <v>674</v>
      </c>
      <c r="AI94" s="37" t="s">
        <v>675</v>
      </c>
      <c r="AJ94" s="37" t="s">
        <v>676</v>
      </c>
      <c r="AK94" s="37"/>
      <c r="AL94" s="37" t="s">
        <v>677</v>
      </c>
      <c r="AM94" s="37" t="s">
        <v>678</v>
      </c>
      <c r="AN94" s="37" t="s">
        <v>775</v>
      </c>
      <c r="AO94" s="37" t="n">
        <v>2021</v>
      </c>
      <c r="AP94" s="37" t="n">
        <v>57</v>
      </c>
      <c r="AQ94" s="37" t="n">
        <v>5</v>
      </c>
      <c r="AR94" s="37"/>
      <c r="AS94" s="37"/>
      <c r="AT94" s="37"/>
      <c r="AU94" s="37" t="s">
        <v>2300</v>
      </c>
      <c r="AV94" s="37" t="s">
        <v>2301</v>
      </c>
      <c r="AW94" s="37" t="str">
        <f aca="false">HYPERLINK("http://dx.doi.org/10.1029/2020WR029328","http://dx.doi.org/10.1029/2020WR029328")</f>
        <v>http://dx.doi.org/10.1029/2020WR029328</v>
      </c>
      <c r="AX94" s="37"/>
      <c r="AY94" s="37" t="n">
        <v>14</v>
      </c>
      <c r="AZ94" s="37" t="s">
        <v>681</v>
      </c>
      <c r="BA94" s="37" t="s">
        <v>331</v>
      </c>
      <c r="BB94" s="37" t="s">
        <v>682</v>
      </c>
      <c r="BC94" s="37" t="s">
        <v>2302</v>
      </c>
      <c r="BD94" s="37"/>
      <c r="BE94" s="37" t="s">
        <v>2303</v>
      </c>
      <c r="BF94" s="37" t="s">
        <v>334</v>
      </c>
      <c r="BG94" s="37" t="s">
        <v>2304</v>
      </c>
      <c r="BH94" s="37" t="str">
        <f aca="false">HYPERLINK("https%3A%2F%2Fwww.webofscience.com%2Fwos%2Fwoscc%2Ffull-record%2FWOS:000654464300053","View Full Record in Web of Science")</f>
        <v>View Full Record in Web of Science</v>
      </c>
      <c r="BI94" s="39"/>
      <c r="BJ94" s="39"/>
      <c r="BK94" s="39"/>
      <c r="BL94" s="39"/>
      <c r="BM94" s="39"/>
      <c r="BN94" s="39"/>
      <c r="BO94" s="41" t="b">
        <f aca="false">TRUE()</f>
        <v>1</v>
      </c>
      <c r="BP94" s="39"/>
      <c r="BQ94" s="39"/>
      <c r="BR94" s="41" t="b">
        <f aca="false">TRUE()</f>
        <v>1</v>
      </c>
      <c r="BS94" s="39"/>
      <c r="BT94" s="39"/>
      <c r="BU94" s="39"/>
      <c r="BV94" s="39"/>
      <c r="BW94" s="39"/>
      <c r="BX94" s="39"/>
      <c r="BY94" s="41" t="b">
        <f aca="false">TRUE()</f>
        <v>1</v>
      </c>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39"/>
      <c r="DQ94" s="39"/>
      <c r="DR94" s="39"/>
      <c r="DS94" s="39"/>
      <c r="DT94" s="39"/>
      <c r="DU94" s="39"/>
      <c r="DV94" s="39"/>
      <c r="DW94" s="39"/>
      <c r="DX94" s="39"/>
      <c r="DY94" s="39"/>
      <c r="DZ94" s="39"/>
      <c r="EA94" s="39"/>
      <c r="EB94" s="39"/>
      <c r="EC94" s="39"/>
      <c r="ED94" s="39"/>
      <c r="EE94" s="39"/>
      <c r="EF94" s="39"/>
      <c r="EG94" s="39"/>
      <c r="EH94" s="39"/>
      <c r="EI94" s="39"/>
      <c r="EJ94" s="39"/>
      <c r="EK94" s="39"/>
      <c r="EL94" s="39"/>
      <c r="EM94" s="39"/>
      <c r="EN94" s="39"/>
      <c r="EO94" s="39"/>
      <c r="EP94" s="39"/>
      <c r="EQ94" s="39"/>
      <c r="ER94" s="39"/>
      <c r="ES94" s="39"/>
      <c r="ET94" s="39"/>
      <c r="EU94" s="39"/>
      <c r="EV94" s="39"/>
      <c r="EW94" s="39"/>
      <c r="EX94" s="39"/>
      <c r="EY94" s="39"/>
      <c r="EZ94" s="39"/>
      <c r="FA94" s="39"/>
      <c r="FB94" s="41" t="b">
        <f aca="false">TRUE()</f>
        <v>1</v>
      </c>
      <c r="FC94" s="41" t="b">
        <f aca="false">TRUE()</f>
        <v>1</v>
      </c>
      <c r="FD94" s="39"/>
      <c r="FE94" s="39"/>
      <c r="FF94" s="39"/>
      <c r="FG94" s="39"/>
      <c r="FH94" s="39"/>
      <c r="FI94" s="39"/>
      <c r="FJ94" s="39"/>
      <c r="FK94" s="39"/>
      <c r="FL94" s="39"/>
      <c r="FM94" s="39"/>
      <c r="FN94" s="39"/>
      <c r="FO94" s="39"/>
      <c r="FP94" s="39"/>
      <c r="FQ94" s="39"/>
      <c r="FR94" s="39"/>
      <c r="FS94" s="39"/>
      <c r="FT94" s="39"/>
      <c r="FU94" s="39"/>
      <c r="FV94" s="39"/>
      <c r="FW94" s="39"/>
      <c r="FX94" s="39"/>
      <c r="FY94" s="39"/>
      <c r="FZ94" s="39"/>
      <c r="GA94" s="39"/>
      <c r="GB94" s="39"/>
      <c r="GC94" s="39"/>
      <c r="GD94" s="39"/>
      <c r="GE94" s="39"/>
      <c r="GF94" s="39"/>
      <c r="GG94" s="39"/>
      <c r="GH94" s="39"/>
      <c r="GI94" s="39"/>
      <c r="GJ94" s="39"/>
      <c r="GK94" s="39"/>
      <c r="GL94" s="39"/>
      <c r="GM94" s="39"/>
      <c r="GN94" s="39"/>
      <c r="GO94" s="39"/>
      <c r="GP94" s="39"/>
      <c r="GQ94" s="39"/>
      <c r="GR94" s="39"/>
      <c r="GS94" s="39"/>
      <c r="GT94" s="39"/>
      <c r="GU94" s="39"/>
      <c r="GV94" s="39"/>
      <c r="GW94" s="39"/>
      <c r="GX94" s="41" t="b">
        <f aca="false">TRUE()</f>
        <v>1</v>
      </c>
      <c r="GY94" s="39"/>
      <c r="GZ94" s="39"/>
      <c r="HA94" s="39"/>
      <c r="HB94" s="39"/>
      <c r="HC94" s="39"/>
      <c r="HD94" s="39"/>
      <c r="HE94" s="39"/>
      <c r="HF94" s="39"/>
      <c r="HG94" s="39"/>
      <c r="HH94" s="39"/>
      <c r="HI94" s="39"/>
      <c r="HJ94" s="39"/>
      <c r="HK94" s="39"/>
      <c r="HL94" s="39"/>
      <c r="HM94" s="41" t="b">
        <f aca="false">TRUE()</f>
        <v>1</v>
      </c>
      <c r="HN94" s="39"/>
      <c r="HO94" s="39"/>
      <c r="HP94" s="39"/>
      <c r="HQ94" s="39"/>
      <c r="HR94" s="39"/>
      <c r="HS94" s="39"/>
      <c r="HT94" s="39"/>
      <c r="HU94" s="39"/>
      <c r="HV94" s="39"/>
      <c r="HW94" s="39"/>
      <c r="HX94" s="39"/>
      <c r="HY94" s="39"/>
      <c r="HZ94" s="39"/>
      <c r="IA94" s="39"/>
      <c r="IB94" s="39"/>
      <c r="IC94" s="39"/>
      <c r="ID94" s="39"/>
      <c r="IE94" s="39"/>
      <c r="IF94" s="39"/>
      <c r="IG94" s="39"/>
      <c r="IH94" s="39"/>
      <c r="II94" s="39"/>
      <c r="IJ94" s="39"/>
      <c r="IK94" s="39"/>
      <c r="IL94" s="39"/>
      <c r="IM94" s="39"/>
      <c r="IN94" s="39"/>
      <c r="IO94" s="39"/>
      <c r="IP94" s="39"/>
      <c r="IQ94" s="39"/>
      <c r="IR94" s="39"/>
      <c r="IS94" s="39"/>
      <c r="IT94" s="39"/>
      <c r="IU94" s="39"/>
      <c r="IV94" s="39"/>
      <c r="IW94" s="39"/>
      <c r="IX94" s="39"/>
      <c r="IY94" s="39"/>
      <c r="IZ94" s="39"/>
      <c r="JA94" s="39"/>
      <c r="JB94" s="39"/>
      <c r="JC94" s="39"/>
      <c r="JD94" s="39"/>
      <c r="JE94" s="39"/>
      <c r="JF94" s="39"/>
      <c r="JG94" s="39"/>
      <c r="JH94" s="41" t="b">
        <f aca="false">TRUE()</f>
        <v>1</v>
      </c>
      <c r="JI94" s="39"/>
      <c r="JJ94" s="39"/>
      <c r="JK94" s="39"/>
      <c r="JL94" s="39"/>
      <c r="JM94" s="39"/>
      <c r="JN94" s="39"/>
      <c r="JO94" s="39"/>
      <c r="JP94" s="39"/>
      <c r="JQ94" s="39"/>
      <c r="JR94" s="39"/>
      <c r="JS94" s="39"/>
      <c r="JT94" s="41" t="b">
        <f aca="false">TRUE()</f>
        <v>1</v>
      </c>
      <c r="JU94" s="39"/>
      <c r="JV94" s="39"/>
      <c r="JW94" s="39"/>
      <c r="JX94" s="39"/>
      <c r="JY94" s="39"/>
      <c r="JZ94" s="39"/>
      <c r="KA94" s="39"/>
      <c r="KB94" s="39"/>
      <c r="KC94" s="39"/>
      <c r="KD94" s="39"/>
      <c r="KE94" s="39"/>
      <c r="KF94" s="39"/>
      <c r="KG94" s="39"/>
      <c r="KH94" s="39"/>
      <c r="KI94" s="39"/>
      <c r="KJ94" s="39"/>
      <c r="KK94" s="39"/>
      <c r="KL94" s="39"/>
      <c r="KM94" s="39"/>
      <c r="KN94" s="39"/>
      <c r="KO94" s="39"/>
      <c r="KP94" s="39"/>
      <c r="KQ94" s="39"/>
      <c r="KR94" s="41" t="b">
        <f aca="false">TRUE()</f>
        <v>1</v>
      </c>
      <c r="KS94" s="39"/>
      <c r="KT94" s="39"/>
      <c r="KU94" s="41" t="b">
        <f aca="false">TRUE()</f>
        <v>1</v>
      </c>
    </row>
    <row r="95" customFormat="false" ht="14.4" hidden="false" customHeight="false" outlineLevel="0" collapsed="false">
      <c r="A95" s="37" t="s">
        <v>305</v>
      </c>
      <c r="B95" s="37" t="s">
        <v>2305</v>
      </c>
      <c r="C95" s="37"/>
      <c r="D95" s="37"/>
      <c r="E95" s="37"/>
      <c r="F95" s="37" t="s">
        <v>2306</v>
      </c>
      <c r="G95" s="37" t="s">
        <v>2307</v>
      </c>
      <c r="H95" s="37" t="s">
        <v>1677</v>
      </c>
      <c r="I95" s="37" t="s">
        <v>310</v>
      </c>
      <c r="J95" s="37" t="s">
        <v>311</v>
      </c>
      <c r="K95" s="37"/>
      <c r="L95" s="37"/>
      <c r="M95" s="37"/>
      <c r="N95" s="37"/>
      <c r="O95" s="37" t="s">
        <v>2308</v>
      </c>
      <c r="P95" s="37" t="s">
        <v>2309</v>
      </c>
      <c r="Q95" s="37" t="s">
        <v>2310</v>
      </c>
      <c r="R95" s="37" t="s">
        <v>2311</v>
      </c>
      <c r="S95" s="37" t="s">
        <v>2312</v>
      </c>
      <c r="T95" s="37" t="s">
        <v>2313</v>
      </c>
      <c r="U95" s="37" t="s">
        <v>2314</v>
      </c>
      <c r="V95" s="37"/>
      <c r="W95" s="37" t="s">
        <v>2315</v>
      </c>
      <c r="X95" s="37" t="s">
        <v>2316</v>
      </c>
      <c r="Y95" s="37" t="s">
        <v>2317</v>
      </c>
      <c r="Z95" s="37" t="s">
        <v>2318</v>
      </c>
      <c r="AA95" s="37" t="n">
        <v>50</v>
      </c>
      <c r="AB95" s="37" t="n">
        <v>1</v>
      </c>
      <c r="AC95" s="37" t="n">
        <v>1</v>
      </c>
      <c r="AD95" s="37" t="n">
        <v>7</v>
      </c>
      <c r="AE95" s="37" t="n">
        <v>34</v>
      </c>
      <c r="AF95" s="37" t="s">
        <v>546</v>
      </c>
      <c r="AG95" s="37" t="s">
        <v>547</v>
      </c>
      <c r="AH95" s="37" t="s">
        <v>548</v>
      </c>
      <c r="AI95" s="37"/>
      <c r="AJ95" s="37" t="s">
        <v>1689</v>
      </c>
      <c r="AK95" s="37"/>
      <c r="AL95" s="37" t="s">
        <v>1690</v>
      </c>
      <c r="AM95" s="37" t="s">
        <v>1691</v>
      </c>
      <c r="AN95" s="37" t="s">
        <v>942</v>
      </c>
      <c r="AO95" s="37" t="n">
        <v>2023</v>
      </c>
      <c r="AP95" s="37" t="n">
        <v>15</v>
      </c>
      <c r="AQ95" s="37" t="n">
        <v>12</v>
      </c>
      <c r="AR95" s="37"/>
      <c r="AS95" s="37"/>
      <c r="AT95" s="37"/>
      <c r="AU95" s="37" t="n">
        <v>9826</v>
      </c>
      <c r="AV95" s="37" t="s">
        <v>2319</v>
      </c>
      <c r="AW95" s="37" t="str">
        <f aca="false">HYPERLINK("http://dx.doi.org/10.3390/su15129826","http://dx.doi.org/10.3390/su15129826")</f>
        <v>http://dx.doi.org/10.3390/su15129826</v>
      </c>
      <c r="AX95" s="37"/>
      <c r="AY95" s="37" t="n">
        <v>18</v>
      </c>
      <c r="AZ95" s="37" t="s">
        <v>1693</v>
      </c>
      <c r="BA95" s="37" t="s">
        <v>1694</v>
      </c>
      <c r="BB95" s="37" t="s">
        <v>1695</v>
      </c>
      <c r="BC95" s="37" t="s">
        <v>2320</v>
      </c>
      <c r="BD95" s="37"/>
      <c r="BE95" s="37" t="s">
        <v>503</v>
      </c>
      <c r="BF95" s="37" t="s">
        <v>334</v>
      </c>
      <c r="BG95" s="37" t="s">
        <v>2321</v>
      </c>
      <c r="BH95" s="37" t="str">
        <f aca="false">HYPERLINK("https%3A%2F%2Fwww.webofscience.com%2Fwos%2Fwoscc%2Ffull-record%2FWOS:001017748900001","View Full Record in Web of Science")</f>
        <v>View Full Record in Web of Science</v>
      </c>
      <c r="BI95" s="41" t="b">
        <f aca="false">TRUE()</f>
        <v>1</v>
      </c>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41" t="b">
        <f aca="false">TRUE()</f>
        <v>1</v>
      </c>
      <c r="CT95" s="39"/>
      <c r="CU95" s="39"/>
      <c r="CV95" s="39"/>
      <c r="CW95" s="39"/>
      <c r="CX95" s="39"/>
      <c r="CY95" s="39"/>
      <c r="CZ95" s="39"/>
      <c r="DA95" s="39"/>
      <c r="DB95" s="39"/>
      <c r="DC95" s="39"/>
      <c r="DD95" s="39"/>
      <c r="DE95" s="39"/>
      <c r="DF95" s="39"/>
      <c r="DG95" s="39"/>
      <c r="DH95" s="39"/>
      <c r="DI95" s="39"/>
      <c r="DJ95" s="39"/>
      <c r="DK95" s="39"/>
      <c r="DL95" s="39"/>
      <c r="DM95" s="39"/>
      <c r="DN95" s="39"/>
      <c r="DO95" s="39"/>
      <c r="DP95" s="39"/>
      <c r="DQ95" s="41" t="b">
        <f aca="false">TRUE()</f>
        <v>1</v>
      </c>
      <c r="DR95" s="39"/>
      <c r="DS95" s="39"/>
      <c r="DT95" s="39"/>
      <c r="DU95" s="41" t="b">
        <f aca="false">TRUE()</f>
        <v>1</v>
      </c>
      <c r="DV95" s="39"/>
      <c r="DW95" s="39"/>
      <c r="DX95" s="39"/>
      <c r="DY95" s="39"/>
      <c r="DZ95" s="39"/>
      <c r="EA95" s="39"/>
      <c r="EB95" s="39"/>
      <c r="EC95" s="39"/>
      <c r="ED95" s="39"/>
      <c r="EE95" s="39"/>
      <c r="EF95" s="39"/>
      <c r="EG95" s="39"/>
      <c r="EH95" s="39"/>
      <c r="EI95" s="39"/>
      <c r="EJ95" s="39"/>
      <c r="EK95" s="39"/>
      <c r="EL95" s="39"/>
      <c r="EM95" s="39"/>
      <c r="EN95" s="39"/>
      <c r="EO95" s="39"/>
      <c r="EP95" s="39"/>
      <c r="EQ95" s="39"/>
      <c r="ER95" s="39"/>
      <c r="ES95" s="39"/>
      <c r="ET95" s="39"/>
      <c r="EU95" s="39"/>
      <c r="EV95" s="39"/>
      <c r="EW95" s="39"/>
      <c r="EX95" s="39"/>
      <c r="EY95" s="41" t="b">
        <f aca="false">TRUE()</f>
        <v>1</v>
      </c>
      <c r="EZ95" s="39"/>
      <c r="FA95" s="39"/>
      <c r="FB95" s="39"/>
      <c r="FC95" s="39"/>
      <c r="FD95" s="39"/>
      <c r="FE95" s="39"/>
      <c r="FF95" s="39"/>
      <c r="FG95" s="39"/>
      <c r="FH95" s="39"/>
      <c r="FI95" s="39"/>
      <c r="FJ95" s="39"/>
      <c r="FK95" s="39"/>
      <c r="FL95" s="39"/>
      <c r="FM95" s="39"/>
      <c r="FN95" s="39"/>
      <c r="FO95" s="39"/>
      <c r="FP95" s="39"/>
      <c r="FQ95" s="39"/>
      <c r="FR95" s="39"/>
      <c r="FS95" s="39"/>
      <c r="FT95" s="39"/>
      <c r="FU95" s="39"/>
      <c r="FV95" s="39"/>
      <c r="FW95" s="39"/>
      <c r="FX95" s="39"/>
      <c r="FY95" s="39"/>
      <c r="FZ95" s="39"/>
      <c r="GA95" s="39"/>
      <c r="GB95" s="39"/>
      <c r="GC95" s="39"/>
      <c r="GD95" s="39"/>
      <c r="GE95" s="39"/>
      <c r="GF95" s="39"/>
      <c r="GG95" s="39"/>
      <c r="GH95" s="39"/>
      <c r="GI95" s="39"/>
      <c r="GJ95" s="39"/>
      <c r="GK95" s="39"/>
      <c r="GL95" s="39"/>
      <c r="GM95" s="39"/>
      <c r="GN95" s="39"/>
      <c r="GO95" s="39"/>
      <c r="GP95" s="39"/>
      <c r="GQ95" s="39"/>
      <c r="GR95" s="39"/>
      <c r="GS95" s="39"/>
      <c r="GT95" s="39"/>
      <c r="GU95" s="39"/>
      <c r="GV95" s="39"/>
      <c r="GW95" s="39"/>
      <c r="GX95" s="41" t="b">
        <f aca="false">TRUE()</f>
        <v>1</v>
      </c>
      <c r="GY95" s="39"/>
      <c r="GZ95" s="39"/>
      <c r="HA95" s="39"/>
      <c r="HB95" s="39"/>
      <c r="HC95" s="39"/>
      <c r="HD95" s="39"/>
      <c r="HE95" s="39"/>
      <c r="HF95" s="39"/>
      <c r="HG95" s="39"/>
      <c r="HH95" s="39"/>
      <c r="HI95" s="39"/>
      <c r="HJ95" s="39"/>
      <c r="HK95" s="39"/>
      <c r="HL95" s="39"/>
      <c r="HM95" s="41" t="b">
        <f aca="false">TRUE()</f>
        <v>1</v>
      </c>
      <c r="HN95" s="39"/>
      <c r="HO95" s="39"/>
      <c r="HP95" s="39"/>
      <c r="HQ95" s="39"/>
      <c r="HR95" s="39"/>
      <c r="HS95" s="39"/>
      <c r="HT95" s="39"/>
      <c r="HU95" s="39"/>
      <c r="HV95" s="39"/>
      <c r="HW95" s="39"/>
      <c r="HX95" s="39"/>
      <c r="HY95" s="39"/>
      <c r="HZ95" s="39"/>
      <c r="IA95" s="39"/>
      <c r="IB95" s="39"/>
      <c r="IC95" s="39"/>
      <c r="ID95" s="41" t="b">
        <f aca="false">TRUE()</f>
        <v>1</v>
      </c>
      <c r="IE95" s="39"/>
      <c r="IF95" s="39"/>
      <c r="IG95" s="39"/>
      <c r="IH95" s="39"/>
      <c r="II95" s="39"/>
      <c r="IJ95" s="39"/>
      <c r="IK95" s="39"/>
      <c r="IL95" s="39"/>
      <c r="IM95" s="39"/>
      <c r="IN95" s="39"/>
      <c r="IO95" s="39"/>
      <c r="IP95" s="39"/>
      <c r="IQ95" s="39"/>
      <c r="IR95" s="39"/>
      <c r="IS95" s="39"/>
      <c r="IT95" s="39"/>
      <c r="IU95" s="39"/>
      <c r="IV95" s="39"/>
      <c r="IW95" s="39"/>
      <c r="IX95" s="39"/>
      <c r="IY95" s="39"/>
      <c r="IZ95" s="39"/>
      <c r="JA95" s="39"/>
      <c r="JB95" s="39"/>
      <c r="JC95" s="39"/>
      <c r="JD95" s="39"/>
      <c r="JE95" s="39"/>
      <c r="JF95" s="39"/>
      <c r="JG95" s="39"/>
      <c r="JH95" s="39"/>
      <c r="JI95" s="39"/>
      <c r="JJ95" s="39"/>
      <c r="JK95" s="39"/>
      <c r="JL95" s="39"/>
      <c r="JM95" s="39"/>
      <c r="JN95" s="39"/>
      <c r="JO95" s="39"/>
      <c r="JP95" s="39"/>
      <c r="JQ95" s="39"/>
      <c r="JR95" s="39"/>
      <c r="JS95" s="39"/>
      <c r="JT95" s="41" t="b">
        <f aca="false">TRUE()</f>
        <v>1</v>
      </c>
      <c r="JU95" s="41" t="b">
        <f aca="false">TRUE()</f>
        <v>1</v>
      </c>
      <c r="JV95" s="39"/>
      <c r="JW95" s="39"/>
      <c r="JX95" s="39"/>
      <c r="JY95" s="39"/>
      <c r="JZ95" s="39"/>
      <c r="KA95" s="39"/>
      <c r="KB95" s="39"/>
      <c r="KC95" s="39"/>
      <c r="KD95" s="39"/>
      <c r="KE95" s="39"/>
      <c r="KF95" s="39"/>
      <c r="KG95" s="39"/>
      <c r="KH95" s="39"/>
      <c r="KI95" s="39"/>
      <c r="KJ95" s="41" t="b">
        <f aca="false">TRUE()</f>
        <v>1</v>
      </c>
      <c r="KK95" s="39"/>
      <c r="KL95" s="39"/>
      <c r="KM95" s="39"/>
      <c r="KN95" s="39"/>
      <c r="KO95" s="39"/>
      <c r="KP95" s="41" t="b">
        <f aca="false">TRUE()</f>
        <v>1</v>
      </c>
      <c r="KQ95" s="41" t="b">
        <f aca="false">TRUE()</f>
        <v>1</v>
      </c>
      <c r="KR95" s="39"/>
      <c r="KS95" s="39"/>
      <c r="KT95" s="41" t="b">
        <f aca="false">TRUE()</f>
        <v>1</v>
      </c>
      <c r="KU95" s="39"/>
    </row>
    <row r="96" customFormat="false" ht="14.4" hidden="false" customHeight="false" outlineLevel="0" collapsed="false">
      <c r="A96" s="37" t="s">
        <v>305</v>
      </c>
      <c r="B96" s="37" t="s">
        <v>2322</v>
      </c>
      <c r="C96" s="37"/>
      <c r="D96" s="37"/>
      <c r="E96" s="37"/>
      <c r="F96" s="37" t="s">
        <v>2323</v>
      </c>
      <c r="G96" s="37" t="s">
        <v>2324</v>
      </c>
      <c r="H96" s="37" t="s">
        <v>1501</v>
      </c>
      <c r="I96" s="37" t="s">
        <v>310</v>
      </c>
      <c r="J96" s="37" t="s">
        <v>311</v>
      </c>
      <c r="K96" s="37"/>
      <c r="L96" s="37"/>
      <c r="M96" s="37"/>
      <c r="N96" s="37"/>
      <c r="O96" s="37" t="s">
        <v>2325</v>
      </c>
      <c r="P96" s="37" t="s">
        <v>2326</v>
      </c>
      <c r="Q96" s="37" t="s">
        <v>2327</v>
      </c>
      <c r="R96" s="37" t="s">
        <v>2328</v>
      </c>
      <c r="S96" s="37" t="s">
        <v>2329</v>
      </c>
      <c r="T96" s="37" t="s">
        <v>2330</v>
      </c>
      <c r="U96" s="37" t="s">
        <v>2331</v>
      </c>
      <c r="V96" s="37" t="s">
        <v>2332</v>
      </c>
      <c r="W96" s="37"/>
      <c r="X96" s="37"/>
      <c r="Y96" s="37"/>
      <c r="Z96" s="37"/>
      <c r="AA96" s="37" t="n">
        <v>75</v>
      </c>
      <c r="AB96" s="37" t="n">
        <v>14</v>
      </c>
      <c r="AC96" s="37" t="n">
        <v>14</v>
      </c>
      <c r="AD96" s="37" t="n">
        <v>7</v>
      </c>
      <c r="AE96" s="37" t="n">
        <v>30</v>
      </c>
      <c r="AF96" s="37" t="s">
        <v>1511</v>
      </c>
      <c r="AG96" s="37" t="s">
        <v>1065</v>
      </c>
      <c r="AH96" s="37" t="s">
        <v>1512</v>
      </c>
      <c r="AI96" s="37" t="s">
        <v>1513</v>
      </c>
      <c r="AJ96" s="37" t="s">
        <v>1514</v>
      </c>
      <c r="AK96" s="37"/>
      <c r="AL96" s="37" t="s">
        <v>1515</v>
      </c>
      <c r="AM96" s="37" t="s">
        <v>1516</v>
      </c>
      <c r="AN96" s="37" t="s">
        <v>132</v>
      </c>
      <c r="AO96" s="37" t="n">
        <v>2023</v>
      </c>
      <c r="AP96" s="37" t="n">
        <v>124</v>
      </c>
      <c r="AQ96" s="37"/>
      <c r="AR96" s="37"/>
      <c r="AS96" s="37"/>
      <c r="AT96" s="37"/>
      <c r="AU96" s="37" t="n">
        <v>106550</v>
      </c>
      <c r="AV96" s="37" t="s">
        <v>2333</v>
      </c>
      <c r="AW96" s="37" t="str">
        <f aca="false">HYPERLINK("http://dx.doi.org/10.1016/j.engappai.2023.106550","http://dx.doi.org/10.1016/j.engappai.2023.106550")</f>
        <v>http://dx.doi.org/10.1016/j.engappai.2023.106550</v>
      </c>
      <c r="AX96" s="37" t="s">
        <v>803</v>
      </c>
      <c r="AY96" s="37" t="n">
        <v>15</v>
      </c>
      <c r="AZ96" s="37" t="s">
        <v>1519</v>
      </c>
      <c r="BA96" s="37" t="s">
        <v>331</v>
      </c>
      <c r="BB96" s="37" t="s">
        <v>1520</v>
      </c>
      <c r="BC96" s="37" t="s">
        <v>2334</v>
      </c>
      <c r="BD96" s="37"/>
      <c r="BE96" s="37"/>
      <c r="BF96" s="37" t="s">
        <v>334</v>
      </c>
      <c r="BG96" s="37" t="s">
        <v>2335</v>
      </c>
      <c r="BH96" s="37" t="str">
        <f aca="false">HYPERLINK("https%3A%2F%2Fwww.webofscience.com%2Fwos%2Fwoscc%2Ffull-record%2FWOS:001025119300001","View Full Record in Web of Science")</f>
        <v>View Full Record in Web of Science</v>
      </c>
      <c r="BI96" s="41" t="b">
        <f aca="false">TRUE()</f>
        <v>1</v>
      </c>
      <c r="BJ96" s="39"/>
      <c r="BK96" s="39"/>
      <c r="BL96" s="39"/>
      <c r="BM96" s="39"/>
      <c r="BN96" s="39"/>
      <c r="BO96" s="39"/>
      <c r="BP96" s="41" t="b">
        <f aca="false">TRUE()</f>
        <v>1</v>
      </c>
      <c r="BQ96" s="39"/>
      <c r="BR96" s="41" t="b">
        <f aca="false">TRUE()</f>
        <v>1</v>
      </c>
      <c r="BS96" s="41" t="b">
        <f aca="false">TRUE()</f>
        <v>1</v>
      </c>
      <c r="BT96" s="41" t="b">
        <f aca="false">TRUE()</f>
        <v>1</v>
      </c>
      <c r="BU96" s="39"/>
      <c r="BV96" s="39"/>
      <c r="BW96" s="39"/>
      <c r="BX96" s="39"/>
      <c r="BY96" s="41" t="b">
        <f aca="false">TRUE()</f>
        <v>1</v>
      </c>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41" t="b">
        <f aca="false">TRUE()</f>
        <v>1</v>
      </c>
      <c r="CX96" s="39"/>
      <c r="CY96" s="39"/>
      <c r="CZ96" s="39"/>
      <c r="DA96" s="41" t="b">
        <f aca="false">TRUE()</f>
        <v>1</v>
      </c>
      <c r="DB96" s="39"/>
      <c r="DC96" s="39"/>
      <c r="DD96" s="39"/>
      <c r="DE96" s="39"/>
      <c r="DF96" s="39"/>
      <c r="DG96" s="39"/>
      <c r="DH96" s="39"/>
      <c r="DI96" s="39"/>
      <c r="DJ96" s="39"/>
      <c r="DK96" s="39"/>
      <c r="DL96" s="39"/>
      <c r="DM96" s="39"/>
      <c r="DN96" s="39"/>
      <c r="DO96" s="39"/>
      <c r="DP96" s="39"/>
      <c r="DQ96" s="39"/>
      <c r="DR96" s="39"/>
      <c r="DS96" s="39"/>
      <c r="DT96" s="41" t="b">
        <f aca="false">TRUE()</f>
        <v>1</v>
      </c>
      <c r="DU96" s="41" t="b">
        <f aca="false">TRUE()</f>
        <v>1</v>
      </c>
      <c r="DV96" s="39"/>
      <c r="DW96" s="39"/>
      <c r="DX96" s="39"/>
      <c r="DY96" s="39"/>
      <c r="DZ96" s="39"/>
      <c r="EA96" s="41" t="b">
        <f aca="false">TRUE()</f>
        <v>1</v>
      </c>
      <c r="EB96" s="41" t="b">
        <f aca="false">TRUE()</f>
        <v>1</v>
      </c>
      <c r="EC96" s="39"/>
      <c r="ED96" s="39"/>
      <c r="EE96" s="39"/>
      <c r="EF96" s="39"/>
      <c r="EG96" s="39"/>
      <c r="EH96" s="39"/>
      <c r="EI96" s="41" t="b">
        <f aca="false">TRUE()</f>
        <v>1</v>
      </c>
      <c r="EJ96" s="39"/>
      <c r="EK96" s="39"/>
      <c r="EL96" s="41" t="b">
        <f aca="false">TRUE()</f>
        <v>1</v>
      </c>
      <c r="EM96" s="39"/>
      <c r="EN96" s="41" t="b">
        <f aca="false">TRUE()</f>
        <v>1</v>
      </c>
      <c r="EO96" s="39"/>
      <c r="EP96" s="39"/>
      <c r="EQ96" s="39"/>
      <c r="ER96" s="39"/>
      <c r="ES96" s="39"/>
      <c r="ET96" s="39"/>
      <c r="EU96" s="39"/>
      <c r="EV96" s="39"/>
      <c r="EW96" s="39"/>
      <c r="EX96" s="39"/>
      <c r="EY96" s="41" t="b">
        <f aca="false">TRUE()</f>
        <v>1</v>
      </c>
      <c r="EZ96" s="39"/>
      <c r="FA96" s="39"/>
      <c r="FB96" s="39"/>
      <c r="FC96" s="39"/>
      <c r="FD96" s="39"/>
      <c r="FE96" s="39"/>
      <c r="FF96" s="39"/>
      <c r="FG96" s="39"/>
      <c r="FH96" s="39"/>
      <c r="FI96" s="39"/>
      <c r="FJ96" s="39"/>
      <c r="FK96" s="39"/>
      <c r="FL96" s="39"/>
      <c r="FM96" s="39"/>
      <c r="FN96" s="39"/>
      <c r="FO96" s="39"/>
      <c r="FP96" s="39"/>
      <c r="FQ96" s="39"/>
      <c r="FR96" s="39"/>
      <c r="FS96" s="39"/>
      <c r="FT96" s="39"/>
      <c r="FU96" s="39"/>
      <c r="FV96" s="39"/>
      <c r="FW96" s="39"/>
      <c r="FX96" s="39"/>
      <c r="FY96" s="39"/>
      <c r="FZ96" s="39"/>
      <c r="GA96" s="39"/>
      <c r="GB96" s="39"/>
      <c r="GC96" s="39"/>
      <c r="GD96" s="39"/>
      <c r="GE96" s="39"/>
      <c r="GF96" s="39"/>
      <c r="GG96" s="39"/>
      <c r="GH96" s="39"/>
      <c r="GI96" s="39"/>
      <c r="GJ96" s="39"/>
      <c r="GK96" s="39"/>
      <c r="GL96" s="39"/>
      <c r="GM96" s="41" t="b">
        <f aca="false">TRUE()</f>
        <v>1</v>
      </c>
      <c r="GN96" s="39"/>
      <c r="GO96" s="39"/>
      <c r="GP96" s="39"/>
      <c r="GQ96" s="39"/>
      <c r="GR96" s="39"/>
      <c r="GS96" s="39"/>
      <c r="GT96" s="39"/>
      <c r="GU96" s="39"/>
      <c r="GV96" s="39"/>
      <c r="GW96" s="39"/>
      <c r="GX96" s="39"/>
      <c r="GY96" s="39"/>
      <c r="GZ96" s="39"/>
      <c r="HA96" s="39"/>
      <c r="HB96" s="39"/>
      <c r="HC96" s="39"/>
      <c r="HD96" s="39"/>
      <c r="HE96" s="39"/>
      <c r="HF96" s="39"/>
      <c r="HG96" s="39"/>
      <c r="HH96" s="39"/>
      <c r="HI96" s="39"/>
      <c r="HJ96" s="39"/>
      <c r="HK96" s="39"/>
      <c r="HL96" s="39"/>
      <c r="HM96" s="39"/>
      <c r="HN96" s="39"/>
      <c r="HO96" s="39"/>
      <c r="HP96" s="39"/>
      <c r="HQ96" s="39"/>
      <c r="HR96" s="39"/>
      <c r="HS96" s="39"/>
      <c r="HT96" s="39"/>
      <c r="HU96" s="39"/>
      <c r="HV96" s="39"/>
      <c r="HW96" s="39"/>
      <c r="HX96" s="39"/>
      <c r="HY96" s="39"/>
      <c r="HZ96" s="39"/>
      <c r="IA96" s="39"/>
      <c r="IB96" s="39"/>
      <c r="IC96" s="39"/>
      <c r="ID96" s="39"/>
      <c r="IE96" s="39"/>
      <c r="IF96" s="39"/>
      <c r="IG96" s="39"/>
      <c r="IH96" s="39"/>
      <c r="II96" s="39"/>
      <c r="IJ96" s="39"/>
      <c r="IK96" s="39"/>
      <c r="IL96" s="39"/>
      <c r="IM96" s="39"/>
      <c r="IN96" s="39"/>
      <c r="IO96" s="39"/>
      <c r="IP96" s="39"/>
      <c r="IQ96" s="39"/>
      <c r="IR96" s="39"/>
      <c r="IS96" s="39"/>
      <c r="IT96" s="39"/>
      <c r="IU96" s="39"/>
      <c r="IV96" s="39"/>
      <c r="IW96" s="39"/>
      <c r="IX96" s="41" t="b">
        <f aca="false">TRUE()</f>
        <v>1</v>
      </c>
      <c r="IY96" s="39"/>
      <c r="IZ96" s="39"/>
      <c r="JA96" s="39"/>
      <c r="JB96" s="39"/>
      <c r="JC96" s="39"/>
      <c r="JD96" s="39"/>
      <c r="JE96" s="39"/>
      <c r="JF96" s="39"/>
      <c r="JG96" s="39"/>
      <c r="JH96" s="39"/>
      <c r="JI96" s="39"/>
      <c r="JJ96" s="39"/>
      <c r="JK96" s="39"/>
      <c r="JL96" s="39"/>
      <c r="JM96" s="39"/>
      <c r="JN96" s="39"/>
      <c r="JO96" s="39"/>
      <c r="JP96" s="39"/>
      <c r="JQ96" s="39"/>
      <c r="JR96" s="39"/>
      <c r="JS96" s="39"/>
      <c r="JT96" s="41" t="b">
        <f aca="false">TRUE()</f>
        <v>1</v>
      </c>
      <c r="JU96" s="39"/>
      <c r="JV96" s="39"/>
      <c r="JW96" s="41" t="b">
        <f aca="false">TRUE()</f>
        <v>1</v>
      </c>
      <c r="JX96" s="41" t="b">
        <f aca="false">TRUE()</f>
        <v>1</v>
      </c>
      <c r="JY96" s="39"/>
      <c r="JZ96" s="39"/>
      <c r="KA96" s="39"/>
      <c r="KB96" s="39"/>
      <c r="KC96" s="39"/>
      <c r="KD96" s="39"/>
      <c r="KE96" s="39"/>
      <c r="KF96" s="39"/>
      <c r="KG96" s="39"/>
      <c r="KH96" s="39"/>
      <c r="KI96" s="39"/>
      <c r="KJ96" s="39"/>
      <c r="KK96" s="39"/>
      <c r="KL96" s="39"/>
      <c r="KM96" s="39"/>
      <c r="KN96" s="39"/>
      <c r="KO96" s="39"/>
      <c r="KP96" s="41" t="b">
        <f aca="false">TRUE()</f>
        <v>1</v>
      </c>
      <c r="KQ96" s="41" t="b">
        <f aca="false">TRUE()</f>
        <v>1</v>
      </c>
      <c r="KR96" s="39"/>
      <c r="KS96" s="39"/>
      <c r="KT96" s="41" t="b">
        <f aca="false">TRUE()</f>
        <v>1</v>
      </c>
      <c r="KU96" s="39"/>
    </row>
    <row r="97" customFormat="false" ht="14.4" hidden="false" customHeight="false" outlineLevel="0" collapsed="false">
      <c r="A97" s="37" t="s">
        <v>305</v>
      </c>
      <c r="B97" s="37" t="s">
        <v>2336</v>
      </c>
      <c r="C97" s="37"/>
      <c r="D97" s="37"/>
      <c r="E97" s="37"/>
      <c r="F97" s="37" t="s">
        <v>2337</v>
      </c>
      <c r="G97" s="37" t="s">
        <v>2338</v>
      </c>
      <c r="H97" s="37" t="s">
        <v>2339</v>
      </c>
      <c r="I97" s="37" t="s">
        <v>310</v>
      </c>
      <c r="J97" s="37" t="s">
        <v>311</v>
      </c>
      <c r="K97" s="37"/>
      <c r="L97" s="37"/>
      <c r="M97" s="37"/>
      <c r="N97" s="37"/>
      <c r="O97" s="37" t="s">
        <v>2340</v>
      </c>
      <c r="P97" s="37" t="s">
        <v>2341</v>
      </c>
      <c r="Q97" s="37" t="s">
        <v>2342</v>
      </c>
      <c r="R97" s="37" t="s">
        <v>2343</v>
      </c>
      <c r="S97" s="37" t="s">
        <v>2344</v>
      </c>
      <c r="T97" s="37" t="s">
        <v>2345</v>
      </c>
      <c r="U97" s="37" t="s">
        <v>2346</v>
      </c>
      <c r="V97" s="37"/>
      <c r="W97" s="37"/>
      <c r="X97" s="37"/>
      <c r="Y97" s="37"/>
      <c r="Z97" s="37"/>
      <c r="AA97" s="37" t="n">
        <v>26</v>
      </c>
      <c r="AB97" s="37" t="n">
        <v>21</v>
      </c>
      <c r="AC97" s="37" t="n">
        <v>21</v>
      </c>
      <c r="AD97" s="37" t="n">
        <v>2</v>
      </c>
      <c r="AE97" s="37" t="n">
        <v>22</v>
      </c>
      <c r="AF97" s="37" t="s">
        <v>1769</v>
      </c>
      <c r="AG97" s="37" t="s">
        <v>1770</v>
      </c>
      <c r="AH97" s="37" t="s">
        <v>2347</v>
      </c>
      <c r="AI97" s="37" t="s">
        <v>2348</v>
      </c>
      <c r="AJ97" s="37"/>
      <c r="AK97" s="37"/>
      <c r="AL97" s="37" t="s">
        <v>2349</v>
      </c>
      <c r="AM97" s="37" t="s">
        <v>2350</v>
      </c>
      <c r="AN97" s="37" t="s">
        <v>408</v>
      </c>
      <c r="AO97" s="37" t="n">
        <v>2021</v>
      </c>
      <c r="AP97" s="37" t="n">
        <v>10</v>
      </c>
      <c r="AQ97" s="37" t="n">
        <v>4</v>
      </c>
      <c r="AR97" s="37"/>
      <c r="AS97" s="37" t="n">
        <v>215</v>
      </c>
      <c r="AT97" s="37" t="n">
        <v>222</v>
      </c>
      <c r="AU97" s="37"/>
      <c r="AV97" s="37" t="s">
        <v>2351</v>
      </c>
      <c r="AW97" s="37" t="str">
        <f aca="false">HYPERLINK("http://dx.doi.org/10.1016/j.tcrr.2021.12.001","http://dx.doi.org/10.1016/j.tcrr.2021.12.001")</f>
        <v>http://dx.doi.org/10.1016/j.tcrr.2021.12.001</v>
      </c>
      <c r="AX97" s="37"/>
      <c r="AY97" s="37" t="n">
        <v>8</v>
      </c>
      <c r="AZ97" s="37" t="s">
        <v>804</v>
      </c>
      <c r="BA97" s="37" t="s">
        <v>575</v>
      </c>
      <c r="BB97" s="37" t="s">
        <v>804</v>
      </c>
      <c r="BC97" s="37" t="s">
        <v>2352</v>
      </c>
      <c r="BD97" s="37"/>
      <c r="BE97" s="37" t="s">
        <v>503</v>
      </c>
      <c r="BF97" s="37" t="s">
        <v>334</v>
      </c>
      <c r="BG97" s="37" t="s">
        <v>2353</v>
      </c>
      <c r="BH97" s="37" t="str">
        <f aca="false">HYPERLINK("https%3A%2F%2Fwww.webofscience.com%2Fwos%2Fwoscc%2Ffull-record%2FWOS:000754394500003","View Full Record in Web of Science")</f>
        <v>View Full Record in Web of Science</v>
      </c>
      <c r="BI97" s="41" t="b">
        <f aca="false">TRUE()</f>
        <v>1</v>
      </c>
      <c r="BJ97" s="39"/>
      <c r="BK97" s="39"/>
      <c r="BL97" s="39"/>
      <c r="BM97" s="39"/>
      <c r="BN97" s="39"/>
      <c r="BO97" s="39"/>
      <c r="BP97" s="41" t="b">
        <f aca="false">TRUE()</f>
        <v>1</v>
      </c>
      <c r="BQ97" s="39"/>
      <c r="BR97" s="41" t="b">
        <f aca="false">TRUE()</f>
        <v>1</v>
      </c>
      <c r="BS97" s="39"/>
      <c r="BT97" s="39"/>
      <c r="BU97" s="39"/>
      <c r="BV97" s="39"/>
      <c r="BW97" s="39"/>
      <c r="BX97" s="39"/>
      <c r="BY97" s="39"/>
      <c r="BZ97" s="39"/>
      <c r="CA97" s="39"/>
      <c r="CB97" s="39"/>
      <c r="CC97" s="39"/>
      <c r="CD97" s="39"/>
      <c r="CE97" s="39"/>
      <c r="CF97" s="39"/>
      <c r="CG97" s="39"/>
      <c r="CH97" s="39"/>
      <c r="CI97" s="39"/>
      <c r="CJ97" s="39"/>
      <c r="CK97" s="39"/>
      <c r="CL97" s="39"/>
      <c r="CM97" s="41" t="b">
        <f aca="false">TRUE()</f>
        <v>1</v>
      </c>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39"/>
      <c r="DQ97" s="39"/>
      <c r="DR97" s="39"/>
      <c r="DS97" s="39"/>
      <c r="DT97" s="39"/>
      <c r="DU97" s="39"/>
      <c r="DV97" s="39"/>
      <c r="DW97" s="39"/>
      <c r="DX97" s="39"/>
      <c r="DY97" s="39"/>
      <c r="DZ97" s="39"/>
      <c r="EA97" s="39"/>
      <c r="EB97" s="39"/>
      <c r="EC97" s="39"/>
      <c r="ED97" s="39"/>
      <c r="EE97" s="39"/>
      <c r="EF97" s="39"/>
      <c r="EG97" s="39"/>
      <c r="EH97" s="39"/>
      <c r="EI97" s="39"/>
      <c r="EJ97" s="39"/>
      <c r="EK97" s="39"/>
      <c r="EL97" s="39"/>
      <c r="EM97" s="39"/>
      <c r="EN97" s="39"/>
      <c r="EO97" s="39"/>
      <c r="EP97" s="39"/>
      <c r="EQ97" s="39"/>
      <c r="ER97" s="39"/>
      <c r="ES97" s="39"/>
      <c r="ET97" s="39"/>
      <c r="EU97" s="39"/>
      <c r="EV97" s="39"/>
      <c r="EW97" s="39"/>
      <c r="EX97" s="39"/>
      <c r="EY97" s="41" t="b">
        <f aca="false">TRUE()</f>
        <v>1</v>
      </c>
      <c r="EZ97" s="39"/>
      <c r="FA97" s="39"/>
      <c r="FB97" s="39"/>
      <c r="FC97" s="41" t="b">
        <f aca="false">TRUE()</f>
        <v>1</v>
      </c>
      <c r="FD97" s="39"/>
      <c r="FE97" s="39"/>
      <c r="FF97" s="39"/>
      <c r="FG97" s="39"/>
      <c r="FH97" s="39"/>
      <c r="FI97" s="39"/>
      <c r="FJ97" s="39"/>
      <c r="FK97" s="39"/>
      <c r="FL97" s="39"/>
      <c r="FM97" s="39"/>
      <c r="FN97" s="39"/>
      <c r="FO97" s="39"/>
      <c r="FP97" s="39"/>
      <c r="FQ97" s="39"/>
      <c r="FR97" s="39"/>
      <c r="FS97" s="39"/>
      <c r="FT97" s="39"/>
      <c r="FU97" s="39"/>
      <c r="FV97" s="39"/>
      <c r="FW97" s="39"/>
      <c r="FX97" s="39"/>
      <c r="FY97" s="39"/>
      <c r="FZ97" s="39"/>
      <c r="GA97" s="39"/>
      <c r="GB97" s="39"/>
      <c r="GC97" s="39"/>
      <c r="GD97" s="39"/>
      <c r="GE97" s="39"/>
      <c r="GF97" s="39"/>
      <c r="GG97" s="39"/>
      <c r="GH97" s="39"/>
      <c r="GI97" s="39"/>
      <c r="GJ97" s="39"/>
      <c r="GK97" s="39"/>
      <c r="GL97" s="39"/>
      <c r="GM97" s="39"/>
      <c r="GN97" s="39"/>
      <c r="GO97" s="39"/>
      <c r="GP97" s="39"/>
      <c r="GQ97" s="39"/>
      <c r="GR97" s="39"/>
      <c r="GS97" s="39"/>
      <c r="GT97" s="39"/>
      <c r="GU97" s="39"/>
      <c r="GV97" s="39"/>
      <c r="GW97" s="39"/>
      <c r="GX97" s="39"/>
      <c r="GY97" s="39"/>
      <c r="GZ97" s="39"/>
      <c r="HA97" s="39"/>
      <c r="HB97" s="39"/>
      <c r="HC97" s="39"/>
      <c r="HD97" s="39"/>
      <c r="HE97" s="39"/>
      <c r="HF97" s="39"/>
      <c r="HG97" s="39"/>
      <c r="HH97" s="39"/>
      <c r="HI97" s="39"/>
      <c r="HJ97" s="39"/>
      <c r="HK97" s="41" t="b">
        <f aca="false">TRUE()</f>
        <v>1</v>
      </c>
      <c r="HL97" s="39"/>
      <c r="HM97" s="39"/>
      <c r="HN97" s="39"/>
      <c r="HO97" s="39"/>
      <c r="HP97" s="39"/>
      <c r="HQ97" s="39"/>
      <c r="HR97" s="39"/>
      <c r="HS97" s="39"/>
      <c r="HT97" s="39"/>
      <c r="HU97" s="39"/>
      <c r="HV97" s="39"/>
      <c r="HW97" s="39"/>
      <c r="HX97" s="39"/>
      <c r="HY97" s="39"/>
      <c r="HZ97" s="39"/>
      <c r="IA97" s="39"/>
      <c r="IB97" s="39"/>
      <c r="IC97" s="39"/>
      <c r="ID97" s="39"/>
      <c r="IE97" s="39"/>
      <c r="IF97" s="39"/>
      <c r="IG97" s="41" t="b">
        <f aca="false">TRUE()</f>
        <v>1</v>
      </c>
      <c r="IH97" s="39"/>
      <c r="II97" s="39"/>
      <c r="IJ97" s="39"/>
      <c r="IK97" s="39"/>
      <c r="IL97" s="39"/>
      <c r="IM97" s="39"/>
      <c r="IN97" s="39"/>
      <c r="IO97" s="39"/>
      <c r="IP97" s="39"/>
      <c r="IQ97" s="39"/>
      <c r="IR97" s="39"/>
      <c r="IS97" s="39"/>
      <c r="IT97" s="39"/>
      <c r="IU97" s="39"/>
      <c r="IV97" s="39"/>
      <c r="IW97" s="39"/>
      <c r="IX97" s="39"/>
      <c r="IY97" s="39"/>
      <c r="IZ97" s="39"/>
      <c r="JA97" s="39"/>
      <c r="JB97" s="39"/>
      <c r="JC97" s="39"/>
      <c r="JD97" s="39"/>
      <c r="JE97" s="39"/>
      <c r="JF97" s="39"/>
      <c r="JG97" s="39"/>
      <c r="JH97" s="39"/>
      <c r="JI97" s="39"/>
      <c r="JJ97" s="39"/>
      <c r="JK97" s="39"/>
      <c r="JL97" s="39"/>
      <c r="JM97" s="39"/>
      <c r="JN97" s="39"/>
      <c r="JO97" s="39"/>
      <c r="JP97" s="39"/>
      <c r="JQ97" s="39"/>
      <c r="JR97" s="39"/>
      <c r="JS97" s="39"/>
      <c r="JT97" s="41" t="b">
        <f aca="false">TRUE()</f>
        <v>1</v>
      </c>
      <c r="JU97" s="39"/>
      <c r="JV97" s="39"/>
      <c r="JW97" s="39"/>
      <c r="JX97" s="39"/>
      <c r="JY97" s="39"/>
      <c r="JZ97" s="39"/>
      <c r="KA97" s="39"/>
      <c r="KB97" s="39"/>
      <c r="KC97" s="39"/>
      <c r="KD97" s="39"/>
      <c r="KE97" s="39"/>
      <c r="KF97" s="39"/>
      <c r="KG97" s="39"/>
      <c r="KH97" s="39"/>
      <c r="KI97" s="39"/>
      <c r="KJ97" s="39"/>
      <c r="KK97" s="39"/>
      <c r="KL97" s="39"/>
      <c r="KM97" s="39"/>
      <c r="KN97" s="39"/>
      <c r="KO97" s="39"/>
      <c r="KP97" s="39"/>
      <c r="KQ97" s="39"/>
      <c r="KR97" s="39"/>
      <c r="KS97" s="39"/>
      <c r="KT97" s="39"/>
      <c r="KU97" s="39"/>
    </row>
    <row r="98" customFormat="false" ht="14.4" hidden="false" customHeight="false" outlineLevel="0" collapsed="false">
      <c r="A98" s="37" t="s">
        <v>305</v>
      </c>
      <c r="B98" s="37" t="s">
        <v>2354</v>
      </c>
      <c r="C98" s="37"/>
      <c r="D98" s="37"/>
      <c r="E98" s="37"/>
      <c r="F98" s="37" t="s">
        <v>2355</v>
      </c>
      <c r="G98" s="37" t="s">
        <v>2356</v>
      </c>
      <c r="H98" s="37" t="s">
        <v>733</v>
      </c>
      <c r="I98" s="37" t="s">
        <v>310</v>
      </c>
      <c r="J98" s="37" t="s">
        <v>311</v>
      </c>
      <c r="K98" s="37"/>
      <c r="L98" s="37"/>
      <c r="M98" s="37"/>
      <c r="N98" s="37"/>
      <c r="O98" s="37" t="s">
        <v>2357</v>
      </c>
      <c r="P98" s="37" t="s">
        <v>2358</v>
      </c>
      <c r="Q98" s="37" t="s">
        <v>2359</v>
      </c>
      <c r="R98" s="37" t="s">
        <v>2360</v>
      </c>
      <c r="S98" s="37" t="s">
        <v>2361</v>
      </c>
      <c r="T98" s="37" t="s">
        <v>2362</v>
      </c>
      <c r="U98" s="37" t="s">
        <v>2363</v>
      </c>
      <c r="V98" s="37"/>
      <c r="W98" s="37"/>
      <c r="X98" s="37" t="s">
        <v>2364</v>
      </c>
      <c r="Y98" s="37" t="s">
        <v>378</v>
      </c>
      <c r="Z98" s="37" t="s">
        <v>2365</v>
      </c>
      <c r="AA98" s="37" t="n">
        <v>49</v>
      </c>
      <c r="AB98" s="37" t="n">
        <v>0</v>
      </c>
      <c r="AC98" s="37" t="n">
        <v>0</v>
      </c>
      <c r="AD98" s="37" t="n">
        <v>7</v>
      </c>
      <c r="AE98" s="37" t="n">
        <v>7</v>
      </c>
      <c r="AF98" s="37" t="s">
        <v>353</v>
      </c>
      <c r="AG98" s="37" t="s">
        <v>354</v>
      </c>
      <c r="AH98" s="37" t="s">
        <v>355</v>
      </c>
      <c r="AI98" s="37" t="s">
        <v>745</v>
      </c>
      <c r="AJ98" s="37" t="s">
        <v>746</v>
      </c>
      <c r="AK98" s="37"/>
      <c r="AL98" s="37" t="s">
        <v>747</v>
      </c>
      <c r="AM98" s="37" t="s">
        <v>748</v>
      </c>
      <c r="AN98" s="37" t="s">
        <v>2366</v>
      </c>
      <c r="AO98" s="37" t="n">
        <v>2025</v>
      </c>
      <c r="AP98" s="37" t="n">
        <v>309</v>
      </c>
      <c r="AQ98" s="37"/>
      <c r="AR98" s="37"/>
      <c r="AS98" s="37"/>
      <c r="AT98" s="37"/>
      <c r="AU98" s="37" t="n">
        <v>109322</v>
      </c>
      <c r="AV98" s="37" t="s">
        <v>2367</v>
      </c>
      <c r="AW98" s="37" t="str">
        <f aca="false">HYPERLINK("http://dx.doi.org/10.1016/j.agwat.2025.109322","http://dx.doi.org/10.1016/j.agwat.2025.109322")</f>
        <v>http://dx.doi.org/10.1016/j.agwat.2025.109322</v>
      </c>
      <c r="AX98" s="37" t="s">
        <v>2368</v>
      </c>
      <c r="AY98" s="37" t="n">
        <v>15</v>
      </c>
      <c r="AZ98" s="37" t="s">
        <v>438</v>
      </c>
      <c r="BA98" s="37" t="s">
        <v>331</v>
      </c>
      <c r="BB98" s="37" t="s">
        <v>439</v>
      </c>
      <c r="BC98" s="37" t="s">
        <v>2369</v>
      </c>
      <c r="BD98" s="37"/>
      <c r="BE98" s="37" t="s">
        <v>684</v>
      </c>
      <c r="BF98" s="37" t="s">
        <v>334</v>
      </c>
      <c r="BG98" s="37" t="s">
        <v>2370</v>
      </c>
      <c r="BH98" s="37" t="str">
        <f aca="false">HYPERLINK("https%3A%2F%2Fwww.webofscience.com%2Fwos%2Fwoscc%2Ffull-record%2FWOS:001412554000001","View Full Record in Web of Science")</f>
        <v>View Full Record in Web of Science</v>
      </c>
      <c r="BI98" s="41" t="b">
        <f aca="false">TRUE()</f>
        <v>1</v>
      </c>
      <c r="BJ98" s="39"/>
      <c r="BK98" s="39"/>
      <c r="BL98" s="39"/>
      <c r="BM98" s="39"/>
      <c r="BN98" s="39"/>
      <c r="BO98" s="39"/>
      <c r="BP98" s="41" t="b">
        <f aca="false">TRUE()</f>
        <v>1</v>
      </c>
      <c r="BQ98" s="39"/>
      <c r="BR98" s="41" t="b">
        <f aca="false">TRUE()</f>
        <v>1</v>
      </c>
      <c r="BS98" s="39"/>
      <c r="BT98" s="3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39"/>
      <c r="DQ98" s="39"/>
      <c r="DR98" s="39"/>
      <c r="DS98" s="39"/>
      <c r="DT98" s="39"/>
      <c r="DU98" s="41" t="b">
        <f aca="false">TRUE()</f>
        <v>1</v>
      </c>
      <c r="DV98" s="39"/>
      <c r="DW98" s="39"/>
      <c r="DX98" s="39"/>
      <c r="DY98" s="39"/>
      <c r="DZ98" s="39"/>
      <c r="EA98" s="39"/>
      <c r="EB98" s="39"/>
      <c r="EC98" s="39"/>
      <c r="ED98" s="39"/>
      <c r="EE98" s="39"/>
      <c r="EF98" s="39"/>
      <c r="EG98" s="39"/>
      <c r="EH98" s="39"/>
      <c r="EI98" s="39"/>
      <c r="EJ98" s="39"/>
      <c r="EK98" s="39"/>
      <c r="EL98" s="39"/>
      <c r="EM98" s="39"/>
      <c r="EN98" s="39"/>
      <c r="EO98" s="39"/>
      <c r="EP98" s="39"/>
      <c r="EQ98" s="39"/>
      <c r="ER98" s="39"/>
      <c r="ES98" s="39"/>
      <c r="ET98" s="39"/>
      <c r="EU98" s="39"/>
      <c r="EV98" s="39"/>
      <c r="EW98" s="39"/>
      <c r="EX98" s="39"/>
      <c r="EY98" s="41" t="b">
        <f aca="false">TRUE()</f>
        <v>1</v>
      </c>
      <c r="EZ98" s="39"/>
      <c r="FA98" s="39"/>
      <c r="FB98" s="39"/>
      <c r="FC98" s="39"/>
      <c r="FD98" s="39"/>
      <c r="FE98" s="39"/>
      <c r="FF98" s="39"/>
      <c r="FG98" s="39"/>
      <c r="FH98" s="39"/>
      <c r="FI98" s="39"/>
      <c r="FJ98" s="39"/>
      <c r="FK98" s="39"/>
      <c r="FL98" s="39"/>
      <c r="FM98" s="39"/>
      <c r="FN98" s="39"/>
      <c r="FO98" s="39"/>
      <c r="FP98" s="39"/>
      <c r="FQ98" s="39"/>
      <c r="FR98" s="39"/>
      <c r="FS98" s="41" t="b">
        <f aca="false">TRUE()</f>
        <v>1</v>
      </c>
      <c r="FT98" s="39"/>
      <c r="FU98" s="39"/>
      <c r="FV98" s="39"/>
      <c r="FW98" s="39"/>
      <c r="FX98" s="39"/>
      <c r="FY98" s="39"/>
      <c r="FZ98" s="39"/>
      <c r="GA98" s="39"/>
      <c r="GB98" s="39"/>
      <c r="GC98" s="39"/>
      <c r="GD98" s="39"/>
      <c r="GE98" s="39"/>
      <c r="GF98" s="39"/>
      <c r="GG98" s="39"/>
      <c r="GH98" s="39"/>
      <c r="GI98" s="39"/>
      <c r="GJ98" s="39"/>
      <c r="GK98" s="39"/>
      <c r="GL98" s="39"/>
      <c r="GM98" s="39"/>
      <c r="GN98" s="39"/>
      <c r="GO98" s="39"/>
      <c r="GP98" s="39"/>
      <c r="GQ98" s="39"/>
      <c r="GR98" s="39"/>
      <c r="GS98" s="39"/>
      <c r="GT98" s="39"/>
      <c r="GU98" s="39"/>
      <c r="GV98" s="41" t="b">
        <f aca="false">TRUE()</f>
        <v>1</v>
      </c>
      <c r="GW98" s="39"/>
      <c r="GX98" s="39"/>
      <c r="GY98" s="39"/>
      <c r="GZ98" s="39"/>
      <c r="HA98" s="39"/>
      <c r="HB98" s="39"/>
      <c r="HC98" s="39"/>
      <c r="HD98" s="39"/>
      <c r="HE98" s="39"/>
      <c r="HF98" s="39"/>
      <c r="HG98" s="39"/>
      <c r="HH98" s="39"/>
      <c r="HI98" s="39"/>
      <c r="HJ98" s="39"/>
      <c r="HK98" s="41" t="b">
        <f aca="false">TRUE()</f>
        <v>1</v>
      </c>
      <c r="HL98" s="39"/>
      <c r="HM98" s="41" t="b">
        <f aca="false">TRUE()</f>
        <v>1</v>
      </c>
      <c r="HN98" s="39"/>
      <c r="HO98" s="39"/>
      <c r="HP98" s="39"/>
      <c r="HQ98" s="39"/>
      <c r="HR98" s="39"/>
      <c r="HS98" s="39"/>
      <c r="HT98" s="39"/>
      <c r="HU98" s="39"/>
      <c r="HV98" s="39"/>
      <c r="HW98" s="39"/>
      <c r="HX98" s="39"/>
      <c r="HY98" s="39"/>
      <c r="HZ98" s="39"/>
      <c r="IA98" s="39"/>
      <c r="IB98" s="39"/>
      <c r="IC98" s="39"/>
      <c r="ID98" s="41" t="b">
        <f aca="false">TRUE()</f>
        <v>1</v>
      </c>
      <c r="IE98" s="39"/>
      <c r="IF98" s="39"/>
      <c r="IG98" s="39"/>
      <c r="IH98" s="39"/>
      <c r="II98" s="39"/>
      <c r="IJ98" s="39"/>
      <c r="IK98" s="39"/>
      <c r="IL98" s="39"/>
      <c r="IM98" s="39"/>
      <c r="IN98" s="39"/>
      <c r="IO98" s="39"/>
      <c r="IP98" s="39"/>
      <c r="IQ98" s="39"/>
      <c r="IR98" s="39"/>
      <c r="IS98" s="39"/>
      <c r="IT98" s="39"/>
      <c r="IU98" s="39"/>
      <c r="IV98" s="39"/>
      <c r="IW98" s="39"/>
      <c r="IX98" s="39"/>
      <c r="IY98" s="39"/>
      <c r="IZ98" s="39"/>
      <c r="JA98" s="39"/>
      <c r="JB98" s="39"/>
      <c r="JC98" s="39"/>
      <c r="JD98" s="39"/>
      <c r="JE98" s="39"/>
      <c r="JF98" s="39"/>
      <c r="JG98" s="39"/>
      <c r="JH98" s="39"/>
      <c r="JI98" s="39"/>
      <c r="JJ98" s="39"/>
      <c r="JK98" s="39"/>
      <c r="JL98" s="39"/>
      <c r="JM98" s="39"/>
      <c r="JN98" s="39"/>
      <c r="JO98" s="39"/>
      <c r="JP98" s="39"/>
      <c r="JQ98" s="39"/>
      <c r="JR98" s="39"/>
      <c r="JS98" s="39"/>
      <c r="JT98" s="41" t="b">
        <f aca="false">TRUE()</f>
        <v>1</v>
      </c>
      <c r="JU98" s="39"/>
      <c r="JV98" s="39"/>
      <c r="JW98" s="39"/>
      <c r="JX98" s="39"/>
      <c r="JY98" s="39"/>
      <c r="JZ98" s="39"/>
      <c r="KA98" s="39"/>
      <c r="KB98" s="39"/>
      <c r="KC98" s="41" t="b">
        <f aca="false">TRUE()</f>
        <v>1</v>
      </c>
      <c r="KD98" s="39"/>
      <c r="KE98" s="39"/>
      <c r="KF98" s="39"/>
      <c r="KG98" s="39"/>
      <c r="KH98" s="39"/>
      <c r="KI98" s="39"/>
      <c r="KJ98" s="41" t="b">
        <f aca="false">TRUE()</f>
        <v>1</v>
      </c>
      <c r="KK98" s="39"/>
      <c r="KL98" s="39"/>
      <c r="KM98" s="39"/>
      <c r="KN98" s="39"/>
      <c r="KO98" s="39"/>
      <c r="KP98" s="39"/>
      <c r="KQ98" s="41" t="b">
        <f aca="false">TRUE()</f>
        <v>1</v>
      </c>
      <c r="KR98" s="41" t="b">
        <f aca="false">TRUE()</f>
        <v>1</v>
      </c>
      <c r="KS98" s="39"/>
      <c r="KT98" s="41" t="b">
        <f aca="false">TRUE()</f>
        <v>1</v>
      </c>
      <c r="KU98" s="39"/>
    </row>
    <row r="99" customFormat="false" ht="14.4" hidden="false" customHeight="false" outlineLevel="0" collapsed="false">
      <c r="A99" s="53" t="s">
        <v>305</v>
      </c>
      <c r="B99" s="53" t="s">
        <v>2371</v>
      </c>
      <c r="C99" s="53"/>
      <c r="D99" s="53"/>
      <c r="E99" s="53"/>
      <c r="F99" s="53" t="s">
        <v>2372</v>
      </c>
      <c r="G99" s="53" t="s">
        <v>2373</v>
      </c>
      <c r="H99" s="53" t="s">
        <v>926</v>
      </c>
      <c r="I99" s="53" t="s">
        <v>310</v>
      </c>
      <c r="J99" s="53" t="s">
        <v>1527</v>
      </c>
      <c r="K99" s="53"/>
      <c r="L99" s="53"/>
      <c r="M99" s="53"/>
      <c r="N99" s="53"/>
      <c r="O99" s="53" t="s">
        <v>2374</v>
      </c>
      <c r="P99" s="53" t="s">
        <v>2375</v>
      </c>
      <c r="Q99" s="53" t="s">
        <v>2376</v>
      </c>
      <c r="R99" s="53" t="s">
        <v>2377</v>
      </c>
      <c r="S99" s="53" t="s">
        <v>2378</v>
      </c>
      <c r="T99" s="53" t="s">
        <v>2379</v>
      </c>
      <c r="U99" s="53" t="s">
        <v>2380</v>
      </c>
      <c r="V99" s="53" t="s">
        <v>2381</v>
      </c>
      <c r="W99" s="53" t="s">
        <v>2382</v>
      </c>
      <c r="X99" s="53" t="s">
        <v>2383</v>
      </c>
      <c r="Y99" s="53" t="s">
        <v>2384</v>
      </c>
      <c r="Z99" s="53" t="s">
        <v>2385</v>
      </c>
      <c r="AA99" s="53" t="n">
        <v>128</v>
      </c>
      <c r="AB99" s="53" t="n">
        <v>30</v>
      </c>
      <c r="AC99" s="53" t="n">
        <v>30</v>
      </c>
      <c r="AD99" s="53" t="n">
        <v>14</v>
      </c>
      <c r="AE99" s="53" t="n">
        <v>127</v>
      </c>
      <c r="AF99" s="53" t="s">
        <v>546</v>
      </c>
      <c r="AG99" s="53" t="s">
        <v>547</v>
      </c>
      <c r="AH99" s="53" t="s">
        <v>548</v>
      </c>
      <c r="AI99" s="53"/>
      <c r="AJ99" s="53" t="s">
        <v>939</v>
      </c>
      <c r="AK99" s="53"/>
      <c r="AL99" s="53" t="s">
        <v>940</v>
      </c>
      <c r="AM99" s="53" t="s">
        <v>941</v>
      </c>
      <c r="AN99" s="53" t="s">
        <v>1046</v>
      </c>
      <c r="AO99" s="53" t="n">
        <v>2021</v>
      </c>
      <c r="AP99" s="53" t="n">
        <v>11</v>
      </c>
      <c r="AQ99" s="53" t="n">
        <v>4</v>
      </c>
      <c r="AR99" s="53"/>
      <c r="AS99" s="53"/>
      <c r="AT99" s="53"/>
      <c r="AU99" s="53" t="n">
        <v>1403</v>
      </c>
      <c r="AV99" s="53" t="s">
        <v>2386</v>
      </c>
      <c r="AW99" s="53" t="str">
        <f aca="false">HYPERLINK("http://dx.doi.org/10.3390/app11041403","http://dx.doi.org/10.3390/app11041403")</f>
        <v>http://dx.doi.org/10.3390/app11041403</v>
      </c>
      <c r="AX99" s="53"/>
      <c r="AY99" s="53" t="n">
        <v>20</v>
      </c>
      <c r="AZ99" s="53" t="s">
        <v>944</v>
      </c>
      <c r="BA99" s="53" t="s">
        <v>331</v>
      </c>
      <c r="BB99" s="53" t="s">
        <v>945</v>
      </c>
      <c r="BC99" s="53" t="s">
        <v>2387</v>
      </c>
      <c r="BD99" s="53"/>
      <c r="BE99" s="53" t="s">
        <v>2388</v>
      </c>
      <c r="BF99" s="53" t="s">
        <v>334</v>
      </c>
      <c r="BG99" s="53" t="s">
        <v>2389</v>
      </c>
      <c r="BH99" s="53" t="str">
        <f aca="false">HYPERLINK("https%3A%2F%2Fwww.webofscience.com%2Fwos%2Fwoscc%2Ffull-record%2FWOS:000632085100001","View Full Record in Web of Science")</f>
        <v>View Full Record in Web of Science</v>
      </c>
      <c r="BI99" s="54" t="b">
        <f aca="false">TRUE()</f>
        <v>1</v>
      </c>
      <c r="BJ99" s="55"/>
      <c r="BK99" s="55"/>
      <c r="BL99" s="55"/>
      <c r="BM99" s="55"/>
      <c r="BN99" s="54" t="b">
        <f aca="false">TRUE()</f>
        <v>1</v>
      </c>
      <c r="BO99" s="54" t="b">
        <f aca="false">TRUE()</f>
        <v>1</v>
      </c>
      <c r="BP99" s="55"/>
      <c r="BQ99" s="55"/>
      <c r="BR99" s="54" t="b">
        <f aca="false">TRUE()</f>
        <v>1</v>
      </c>
      <c r="BS99" s="55"/>
      <c r="BT99" s="55"/>
      <c r="BU99" s="55"/>
      <c r="BV99" s="55"/>
      <c r="BW99" s="55"/>
      <c r="BX99" s="55"/>
      <c r="BY99" s="54" t="b">
        <f aca="false">TRUE()</f>
        <v>1</v>
      </c>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4" t="b">
        <f aca="false">TRUE()</f>
        <v>1</v>
      </c>
      <c r="FR99" s="55"/>
      <c r="FS99" s="55"/>
      <c r="FT99" s="55"/>
      <c r="FU99" s="55"/>
      <c r="FV99" s="55"/>
      <c r="FW99" s="55"/>
      <c r="FX99" s="55"/>
      <c r="FY99" s="55"/>
      <c r="FZ99" s="55"/>
      <c r="GA99" s="55"/>
      <c r="GB99" s="55"/>
      <c r="GC99" s="55"/>
      <c r="GD99" s="55"/>
      <c r="GE99" s="55"/>
      <c r="GF99" s="54" t="b">
        <f aca="false">TRUE()</f>
        <v>1</v>
      </c>
      <c r="GG99" s="55"/>
      <c r="GH99" s="55"/>
      <c r="GI99" s="55"/>
      <c r="GJ99" s="55"/>
      <c r="GK99" s="55"/>
      <c r="GL99" s="55"/>
      <c r="GM99" s="55"/>
      <c r="GN99" s="55"/>
      <c r="GO99" s="55"/>
      <c r="GP99" s="55"/>
      <c r="GQ99" s="55"/>
      <c r="GR99" s="55"/>
      <c r="GS99" s="55"/>
      <c r="GT99" s="55"/>
      <c r="GU99" s="55"/>
      <c r="GV99" s="55"/>
      <c r="GW99" s="55"/>
      <c r="GX99" s="55"/>
      <c r="GY99" s="55"/>
      <c r="GZ99" s="55"/>
      <c r="HA99" s="55"/>
      <c r="HB99" s="55"/>
      <c r="HC99" s="55"/>
      <c r="HD99" s="55"/>
      <c r="HE99" s="55"/>
      <c r="HF99" s="55"/>
      <c r="HG99" s="55"/>
      <c r="HH99" s="55"/>
      <c r="HI99" s="55"/>
      <c r="HJ99" s="55"/>
      <c r="HK99" s="55"/>
      <c r="HL99" s="55"/>
      <c r="HM99" s="55"/>
      <c r="HN99" s="55"/>
      <c r="HO99" s="55"/>
      <c r="HP99" s="55"/>
      <c r="HQ99" s="55"/>
      <c r="HR99" s="55"/>
      <c r="HS99" s="55"/>
      <c r="HT99" s="55"/>
      <c r="HU99" s="55"/>
      <c r="HV99" s="55"/>
      <c r="HW99" s="55"/>
      <c r="HX99" s="55"/>
      <c r="HY99" s="55"/>
      <c r="HZ99" s="55"/>
      <c r="IA99" s="55"/>
      <c r="IB99" s="55"/>
      <c r="IC99" s="55"/>
      <c r="ID99" s="55"/>
      <c r="IE99" s="55"/>
      <c r="IF99" s="55"/>
      <c r="IG99" s="55"/>
      <c r="IH99" s="55"/>
      <c r="II99" s="55"/>
      <c r="IJ99" s="55"/>
      <c r="IK99" s="55"/>
      <c r="IL99" s="55"/>
      <c r="IM99" s="55"/>
      <c r="IN99" s="55"/>
      <c r="IO99" s="55"/>
      <c r="IP99" s="55"/>
      <c r="IQ99" s="55"/>
      <c r="IR99" s="55"/>
      <c r="IS99" s="55"/>
      <c r="IT99" s="55"/>
      <c r="IU99" s="55"/>
      <c r="IV99" s="55"/>
      <c r="IW99" s="55"/>
      <c r="IX99" s="55"/>
      <c r="IY99" s="55"/>
      <c r="IZ99" s="55"/>
      <c r="JA99" s="55"/>
      <c r="JB99" s="55"/>
      <c r="JC99" s="55"/>
      <c r="JD99" s="55"/>
      <c r="JE99" s="55"/>
      <c r="JF99" s="55"/>
      <c r="JG99" s="55"/>
      <c r="JH99" s="54" t="b">
        <f aca="false">TRUE()</f>
        <v>1</v>
      </c>
      <c r="JI99" s="55"/>
      <c r="JJ99" s="55"/>
      <c r="JK99" s="55"/>
      <c r="JL99" s="55"/>
      <c r="JM99" s="55"/>
      <c r="JN99" s="55"/>
      <c r="JO99" s="55"/>
      <c r="JP99" s="55"/>
      <c r="JQ99" s="55"/>
      <c r="JR99" s="55"/>
      <c r="JS99" s="55"/>
      <c r="JT99" s="54" t="b">
        <f aca="false">TRUE()</f>
        <v>1</v>
      </c>
      <c r="JU99" s="54" t="b">
        <f aca="false">TRUE()</f>
        <v>1</v>
      </c>
      <c r="JV99" s="55"/>
      <c r="JW99" s="55"/>
      <c r="JX99" s="55"/>
      <c r="JY99" s="55"/>
      <c r="JZ99" s="55"/>
      <c r="KA99" s="55"/>
      <c r="KB99" s="55"/>
      <c r="KC99" s="55"/>
      <c r="KD99" s="55"/>
      <c r="KE99" s="55"/>
      <c r="KF99" s="55"/>
      <c r="KG99" s="55"/>
      <c r="KH99" s="55"/>
      <c r="KI99" s="55"/>
      <c r="KJ99" s="55"/>
      <c r="KK99" s="55"/>
      <c r="KL99" s="55"/>
      <c r="KM99" s="55"/>
      <c r="KN99" s="55"/>
      <c r="KO99" s="55"/>
      <c r="KP99" s="54" t="b">
        <f aca="false">TRUE()</f>
        <v>1</v>
      </c>
      <c r="KQ99" s="54" t="b">
        <f aca="false">TRUE()</f>
        <v>1</v>
      </c>
      <c r="KR99" s="55"/>
      <c r="KS99" s="55"/>
      <c r="KT99" s="55"/>
      <c r="KU99" s="54" t="b">
        <f aca="false">TRUE()</f>
        <v>1</v>
      </c>
    </row>
    <row r="100" customFormat="false" ht="14.4" hidden="false" customHeight="false" outlineLevel="0" collapsed="false">
      <c r="A100" s="37" t="s">
        <v>305</v>
      </c>
      <c r="B100" s="37" t="s">
        <v>2390</v>
      </c>
      <c r="C100" s="37"/>
      <c r="D100" s="37"/>
      <c r="E100" s="37"/>
      <c r="F100" s="37" t="s">
        <v>2391</v>
      </c>
      <c r="G100" s="37" t="s">
        <v>2392</v>
      </c>
      <c r="H100" s="37" t="s">
        <v>2393</v>
      </c>
      <c r="I100" s="37" t="s">
        <v>310</v>
      </c>
      <c r="J100" s="37" t="s">
        <v>311</v>
      </c>
      <c r="K100" s="37"/>
      <c r="L100" s="37"/>
      <c r="M100" s="37"/>
      <c r="N100" s="37"/>
      <c r="O100" s="37" t="s">
        <v>2394</v>
      </c>
      <c r="P100" s="37" t="s">
        <v>2395</v>
      </c>
      <c r="Q100" s="37" t="s">
        <v>2396</v>
      </c>
      <c r="R100" s="37" t="s">
        <v>2397</v>
      </c>
      <c r="S100" s="37"/>
      <c r="T100" s="37" t="s">
        <v>2398</v>
      </c>
      <c r="U100" s="37" t="s">
        <v>2399</v>
      </c>
      <c r="V100" s="37" t="s">
        <v>2400</v>
      </c>
      <c r="W100" s="37" t="s">
        <v>2401</v>
      </c>
      <c r="X100" s="37"/>
      <c r="Y100" s="37"/>
      <c r="Z100" s="37"/>
      <c r="AA100" s="37" t="n">
        <v>52</v>
      </c>
      <c r="AB100" s="37" t="n">
        <v>0</v>
      </c>
      <c r="AC100" s="37" t="n">
        <v>0</v>
      </c>
      <c r="AD100" s="37" t="n">
        <v>1</v>
      </c>
      <c r="AE100" s="37" t="n">
        <v>5</v>
      </c>
      <c r="AF100" s="37" t="s">
        <v>1345</v>
      </c>
      <c r="AG100" s="37" t="s">
        <v>1346</v>
      </c>
      <c r="AH100" s="37" t="s">
        <v>1347</v>
      </c>
      <c r="AI100" s="37" t="s">
        <v>2402</v>
      </c>
      <c r="AJ100" s="37" t="s">
        <v>2403</v>
      </c>
      <c r="AK100" s="37"/>
      <c r="AL100" s="37" t="s">
        <v>2404</v>
      </c>
      <c r="AM100" s="37" t="s">
        <v>2405</v>
      </c>
      <c r="AN100" s="37" t="s">
        <v>328</v>
      </c>
      <c r="AO100" s="37" t="n">
        <v>2023</v>
      </c>
      <c r="AP100" s="37" t="n">
        <v>8</v>
      </c>
      <c r="AQ100" s="37" t="n">
        <v>1</v>
      </c>
      <c r="AR100" s="37"/>
      <c r="AS100" s="37"/>
      <c r="AT100" s="37"/>
      <c r="AU100" s="37" t="n">
        <v>12</v>
      </c>
      <c r="AV100" s="37" t="s">
        <v>2406</v>
      </c>
      <c r="AW100" s="37" t="str">
        <f aca="false">HYPERLINK("http://dx.doi.org/10.1007/s41062-022-00981-y","http://dx.doi.org/10.1007/s41062-022-00981-y")</f>
        <v>http://dx.doi.org/10.1007/s41062-022-00981-y</v>
      </c>
      <c r="AX100" s="37"/>
      <c r="AY100" s="37" t="n">
        <v>14</v>
      </c>
      <c r="AZ100" s="37" t="s">
        <v>2031</v>
      </c>
      <c r="BA100" s="37" t="s">
        <v>575</v>
      </c>
      <c r="BB100" s="37" t="s">
        <v>1355</v>
      </c>
      <c r="BC100" s="37" t="s">
        <v>2407</v>
      </c>
      <c r="BD100" s="37"/>
      <c r="BE100" s="37"/>
      <c r="BF100" s="37" t="s">
        <v>334</v>
      </c>
      <c r="BG100" s="37" t="s">
        <v>2408</v>
      </c>
      <c r="BH100" s="37" t="str">
        <f aca="false">HYPERLINK("https%3A%2F%2Fwww.webofscience.com%2Fwos%2Fwoscc%2Ffull-record%2FWOS:000880345800001","View Full Record in Web of Science")</f>
        <v>View Full Record in Web of Science</v>
      </c>
      <c r="BI100" s="41" t="b">
        <f aca="false">TRUE()</f>
        <v>1</v>
      </c>
      <c r="BJ100" s="39"/>
      <c r="BK100" s="39"/>
      <c r="BL100" s="39"/>
      <c r="BM100" s="39"/>
      <c r="BN100" s="39"/>
      <c r="BO100" s="41" t="b">
        <f aca="false">TRUE()</f>
        <v>1</v>
      </c>
      <c r="BP100" s="41" t="b">
        <f aca="false">TRUE()</f>
        <v>1</v>
      </c>
      <c r="BQ100" s="39"/>
      <c r="BR100" s="41" t="b">
        <f aca="false">TRUE()</f>
        <v>1</v>
      </c>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41" t="b">
        <f aca="false">TRUE()</f>
        <v>1</v>
      </c>
      <c r="DF100" s="39"/>
      <c r="DG100" s="39"/>
      <c r="DH100" s="39"/>
      <c r="DI100" s="39"/>
      <c r="DJ100" s="39"/>
      <c r="DK100" s="39"/>
      <c r="DL100" s="39"/>
      <c r="DM100" s="39"/>
      <c r="DN100" s="39"/>
      <c r="DO100" s="39"/>
      <c r="DP100" s="39"/>
      <c r="DQ100" s="39"/>
      <c r="DR100" s="39"/>
      <c r="DS100" s="39"/>
      <c r="DT100" s="39"/>
      <c r="DU100" s="39"/>
      <c r="DV100" s="39"/>
      <c r="DW100" s="39"/>
      <c r="DX100" s="39"/>
      <c r="DY100" s="39"/>
      <c r="DZ100" s="39"/>
      <c r="EA100" s="41" t="b">
        <f aca="false">TRUE()</f>
        <v>1</v>
      </c>
      <c r="EB100" s="39"/>
      <c r="EC100" s="39"/>
      <c r="ED100" s="39"/>
      <c r="EE100" s="39"/>
      <c r="EF100" s="39"/>
      <c r="EG100" s="39"/>
      <c r="EH100" s="39"/>
      <c r="EI100" s="39"/>
      <c r="EJ100" s="39"/>
      <c r="EK100" s="39"/>
      <c r="EL100" s="39"/>
      <c r="EM100" s="39"/>
      <c r="EN100" s="39"/>
      <c r="EO100" s="39"/>
      <c r="EP100" s="39"/>
      <c r="EQ100" s="39"/>
      <c r="ER100" s="39"/>
      <c r="ES100" s="39"/>
      <c r="ET100" s="39"/>
      <c r="EU100" s="39"/>
      <c r="EV100" s="39"/>
      <c r="EW100" s="39"/>
      <c r="EX100" s="39"/>
      <c r="EY100" s="41" t="b">
        <f aca="false">TRUE()</f>
        <v>1</v>
      </c>
      <c r="EZ100" s="39"/>
      <c r="FA100" s="39"/>
      <c r="FB100" s="39"/>
      <c r="FC100" s="39"/>
      <c r="FD100" s="39"/>
      <c r="FE100" s="39"/>
      <c r="FF100" s="39"/>
      <c r="FG100" s="39"/>
      <c r="FH100" s="39"/>
      <c r="FI100" s="39"/>
      <c r="FJ100" s="39"/>
      <c r="FK100" s="41" t="b">
        <f aca="false">TRUE()</f>
        <v>1</v>
      </c>
      <c r="FL100" s="39"/>
      <c r="FM100" s="39"/>
      <c r="FN100" s="39"/>
      <c r="FO100" s="39"/>
      <c r="FP100" s="39"/>
      <c r="FQ100" s="39"/>
      <c r="FR100" s="39"/>
      <c r="FS100" s="39"/>
      <c r="FT100" s="39"/>
      <c r="FU100" s="39"/>
      <c r="FV100" s="39"/>
      <c r="FW100" s="39"/>
      <c r="FX100" s="39"/>
      <c r="FY100" s="39"/>
      <c r="FZ100" s="39"/>
      <c r="GA100" s="39"/>
      <c r="GB100" s="39"/>
      <c r="GC100" s="39"/>
      <c r="GD100" s="41" t="b">
        <f aca="false">TRUE()</f>
        <v>1</v>
      </c>
      <c r="GE100" s="39"/>
      <c r="GF100" s="39"/>
      <c r="GG100" s="41" t="b">
        <f aca="false">TRUE()</f>
        <v>1</v>
      </c>
      <c r="GH100" s="39"/>
      <c r="GI100" s="39"/>
      <c r="GJ100" s="39"/>
      <c r="GK100" s="39"/>
      <c r="GL100" s="41" t="b">
        <f aca="false">TRUE()</f>
        <v>1</v>
      </c>
      <c r="GM100" s="39"/>
      <c r="GN100" s="39"/>
      <c r="GO100" s="39"/>
      <c r="GP100" s="39"/>
      <c r="GQ100" s="39"/>
      <c r="GR100" s="39"/>
      <c r="GS100" s="39"/>
      <c r="GT100" s="39"/>
      <c r="GU100" s="39"/>
      <c r="GV100" s="41" t="b">
        <f aca="false">TRUE()</f>
        <v>1</v>
      </c>
      <c r="GW100" s="39"/>
      <c r="GX100" s="39"/>
      <c r="GY100" s="39"/>
      <c r="GZ100" s="39"/>
      <c r="HA100" s="39"/>
      <c r="HB100" s="39"/>
      <c r="HC100" s="39"/>
      <c r="HD100" s="39"/>
      <c r="HE100" s="39"/>
      <c r="HF100" s="39"/>
      <c r="HG100" s="39"/>
      <c r="HH100" s="39"/>
      <c r="HI100" s="39"/>
      <c r="HJ100" s="39"/>
      <c r="HK100" s="41" t="b">
        <f aca="false">TRUE()</f>
        <v>1</v>
      </c>
      <c r="HL100" s="41" t="b">
        <f aca="false">TRUE()</f>
        <v>1</v>
      </c>
      <c r="HM100" s="41" t="b">
        <f aca="false">TRUE()</f>
        <v>1</v>
      </c>
      <c r="HN100" s="39"/>
      <c r="HO100" s="39"/>
      <c r="HP100" s="39"/>
      <c r="HQ100" s="39"/>
      <c r="HR100" s="39"/>
      <c r="HS100" s="39"/>
      <c r="HT100" s="39"/>
      <c r="HU100" s="39"/>
      <c r="HV100" s="39"/>
      <c r="HW100" s="39"/>
      <c r="HX100" s="41" t="b">
        <f aca="false">TRUE()</f>
        <v>1</v>
      </c>
      <c r="HY100" s="39"/>
      <c r="HZ100" s="39"/>
      <c r="IA100" s="41" t="b">
        <f aca="false">TRUE()</f>
        <v>1</v>
      </c>
      <c r="IB100" s="39"/>
      <c r="IC100" s="41" t="b">
        <f aca="false">TRUE()</f>
        <v>1</v>
      </c>
      <c r="ID100" s="39"/>
      <c r="IE100" s="39"/>
      <c r="IF100" s="39"/>
      <c r="IG100" s="39"/>
      <c r="IH100" s="39"/>
      <c r="II100" s="39"/>
      <c r="IJ100" s="39"/>
      <c r="IK100" s="39"/>
      <c r="IL100" s="39"/>
      <c r="IM100" s="39"/>
      <c r="IN100" s="39"/>
      <c r="IO100" s="39"/>
      <c r="IP100" s="39"/>
      <c r="IQ100" s="39"/>
      <c r="IR100" s="39"/>
      <c r="IS100" s="39"/>
      <c r="IT100" s="39"/>
      <c r="IU100" s="39"/>
      <c r="IV100" s="39"/>
      <c r="IW100" s="39"/>
      <c r="IX100" s="39"/>
      <c r="IY100" s="39"/>
      <c r="IZ100" s="39"/>
      <c r="JA100" s="39"/>
      <c r="JB100" s="39"/>
      <c r="JC100" s="39"/>
      <c r="JD100" s="39"/>
      <c r="JE100" s="39"/>
      <c r="JF100" s="39"/>
      <c r="JG100" s="39"/>
      <c r="JH100" s="39"/>
      <c r="JI100" s="39"/>
      <c r="JJ100" s="39"/>
      <c r="JK100" s="39"/>
      <c r="JL100" s="39"/>
      <c r="JM100" s="39"/>
      <c r="JN100" s="39"/>
      <c r="JO100" s="39"/>
      <c r="JP100" s="39"/>
      <c r="JQ100" s="39"/>
      <c r="JR100" s="39"/>
      <c r="JS100" s="39"/>
      <c r="JT100" s="41" t="b">
        <f aca="false">TRUE()</f>
        <v>1</v>
      </c>
      <c r="JU100" s="41" t="b">
        <f aca="false">TRUE()</f>
        <v>1</v>
      </c>
      <c r="JV100" s="39"/>
      <c r="JW100" s="39"/>
      <c r="JX100" s="39"/>
      <c r="JY100" s="39"/>
      <c r="JZ100" s="39"/>
      <c r="KA100" s="39"/>
      <c r="KB100" s="39"/>
      <c r="KC100" s="39"/>
      <c r="KD100" s="39"/>
      <c r="KE100" s="39"/>
      <c r="KF100" s="39"/>
      <c r="KG100" s="39"/>
      <c r="KH100" s="39"/>
      <c r="KI100" s="39"/>
      <c r="KJ100" s="39"/>
      <c r="KK100" s="39"/>
      <c r="KL100" s="39"/>
      <c r="KM100" s="39"/>
      <c r="KN100" s="39"/>
      <c r="KO100" s="41" t="b">
        <f aca="false">TRUE()</f>
        <v>1</v>
      </c>
      <c r="KP100" s="39"/>
      <c r="KQ100" s="41" t="b">
        <f aca="false">TRUE()</f>
        <v>1</v>
      </c>
      <c r="KR100" s="41" t="b">
        <f aca="false">TRUE()</f>
        <v>1</v>
      </c>
      <c r="KS100" s="41" t="b">
        <f aca="false">TRUE()</f>
        <v>1</v>
      </c>
      <c r="KT100" s="41" t="b">
        <f aca="false">TRUE()</f>
        <v>1</v>
      </c>
      <c r="KU100" s="39"/>
    </row>
    <row r="101" customFormat="false" ht="14.4" hidden="false" customHeight="false" outlineLevel="0" collapsed="false">
      <c r="A101" s="53" t="s">
        <v>305</v>
      </c>
      <c r="B101" s="53" t="s">
        <v>2409</v>
      </c>
      <c r="C101" s="53"/>
      <c r="D101" s="53"/>
      <c r="E101" s="53"/>
      <c r="F101" s="53" t="s">
        <v>2410</v>
      </c>
      <c r="G101" s="53" t="s">
        <v>2411</v>
      </c>
      <c r="H101" s="53" t="s">
        <v>708</v>
      </c>
      <c r="I101" s="53" t="s">
        <v>310</v>
      </c>
      <c r="J101" s="53" t="s">
        <v>1527</v>
      </c>
      <c r="K101" s="53"/>
      <c r="L101" s="53"/>
      <c r="M101" s="53"/>
      <c r="N101" s="53"/>
      <c r="O101" s="53" t="s">
        <v>2412</v>
      </c>
      <c r="P101" s="53" t="s">
        <v>2413</v>
      </c>
      <c r="Q101" s="53" t="s">
        <v>2414</v>
      </c>
      <c r="R101" s="53" t="s">
        <v>2415</v>
      </c>
      <c r="S101" s="53" t="s">
        <v>2416</v>
      </c>
      <c r="T101" s="53" t="s">
        <v>2417</v>
      </c>
      <c r="U101" s="53" t="s">
        <v>2418</v>
      </c>
      <c r="V101" s="53" t="s">
        <v>2419</v>
      </c>
      <c r="W101" s="53" t="s">
        <v>2420</v>
      </c>
      <c r="X101" s="53"/>
      <c r="Y101" s="53"/>
      <c r="Z101" s="53"/>
      <c r="AA101" s="53" t="n">
        <v>104</v>
      </c>
      <c r="AB101" s="53" t="n">
        <v>3</v>
      </c>
      <c r="AC101" s="53" t="n">
        <v>4</v>
      </c>
      <c r="AD101" s="53" t="n">
        <v>15</v>
      </c>
      <c r="AE101" s="53" t="n">
        <v>37</v>
      </c>
      <c r="AF101" s="53" t="s">
        <v>717</v>
      </c>
      <c r="AG101" s="53" t="s">
        <v>718</v>
      </c>
      <c r="AH101" s="53" t="s">
        <v>719</v>
      </c>
      <c r="AI101" s="53" t="s">
        <v>720</v>
      </c>
      <c r="AJ101" s="53" t="s">
        <v>721</v>
      </c>
      <c r="AK101" s="53"/>
      <c r="AL101" s="53" t="s">
        <v>722</v>
      </c>
      <c r="AM101" s="53" t="s">
        <v>723</v>
      </c>
      <c r="AN101" s="53" t="s">
        <v>2421</v>
      </c>
      <c r="AO101" s="53" t="n">
        <v>2023</v>
      </c>
      <c r="AP101" s="53" t="n">
        <v>68</v>
      </c>
      <c r="AQ101" s="53" t="n">
        <v>14</v>
      </c>
      <c r="AR101" s="53"/>
      <c r="AS101" s="53" t="n">
        <v>2089</v>
      </c>
      <c r="AT101" s="53" t="n">
        <v>2104</v>
      </c>
      <c r="AU101" s="53"/>
      <c r="AV101" s="53" t="s">
        <v>2422</v>
      </c>
      <c r="AW101" s="53" t="str">
        <f aca="false">HYPERLINK("http://dx.doi.org/10.1080/02626667.2023.2249456","http://dx.doi.org/10.1080/02626667.2023.2249456")</f>
        <v>http://dx.doi.org/10.1080/02626667.2023.2249456</v>
      </c>
      <c r="AX101" s="53" t="s">
        <v>751</v>
      </c>
      <c r="AY101" s="53" t="n">
        <v>16</v>
      </c>
      <c r="AZ101" s="53" t="s">
        <v>727</v>
      </c>
      <c r="BA101" s="53" t="s">
        <v>331</v>
      </c>
      <c r="BB101" s="53" t="s">
        <v>727</v>
      </c>
      <c r="BC101" s="53" t="s">
        <v>2423</v>
      </c>
      <c r="BD101" s="53"/>
      <c r="BE101" s="53" t="s">
        <v>365</v>
      </c>
      <c r="BF101" s="53" t="s">
        <v>334</v>
      </c>
      <c r="BG101" s="53" t="s">
        <v>2424</v>
      </c>
      <c r="BH101" s="53" t="str">
        <f aca="false">HYPERLINK("https%3A%2F%2Fwww.webofscience.com%2Fwos%2Fwoscc%2Ffull-record%2FWOS:001065871500001","View Full Record in Web of Science")</f>
        <v>View Full Record in Web of Science</v>
      </c>
      <c r="BI101" s="55"/>
      <c r="BJ101" s="55"/>
      <c r="BK101" s="55"/>
      <c r="BL101" s="55"/>
      <c r="BM101" s="55"/>
      <c r="BN101" s="55"/>
      <c r="BO101" s="54" t="b">
        <f aca="false">TRUE()</f>
        <v>1</v>
      </c>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4" t="b">
        <f aca="false">TRUE()</f>
        <v>1</v>
      </c>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4" t="b">
        <f aca="false">TRUE()</f>
        <v>1</v>
      </c>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4" t="b">
        <f aca="false">TRUE()</f>
        <v>1</v>
      </c>
      <c r="HM101" s="54" t="b">
        <f aca="false">TRUE()</f>
        <v>1</v>
      </c>
      <c r="HN101" s="55"/>
      <c r="HO101" s="55"/>
      <c r="HP101" s="55"/>
      <c r="HQ101" s="55"/>
      <c r="HR101" s="55"/>
      <c r="HS101" s="55"/>
      <c r="HT101" s="55"/>
      <c r="HU101" s="55"/>
      <c r="HV101" s="55"/>
      <c r="HW101" s="55"/>
      <c r="HX101" s="55"/>
      <c r="HY101" s="55"/>
      <c r="HZ101" s="55"/>
      <c r="IA101" s="55"/>
      <c r="IB101" s="55"/>
      <c r="IC101" s="55"/>
      <c r="ID101" s="55"/>
      <c r="IE101" s="55"/>
      <c r="IF101" s="55"/>
      <c r="IG101" s="55"/>
      <c r="IH101" s="55"/>
      <c r="II101" s="55"/>
      <c r="IJ101" s="55"/>
      <c r="IK101" s="55"/>
      <c r="IL101" s="55"/>
      <c r="IM101" s="55"/>
      <c r="IN101" s="55"/>
      <c r="IO101" s="55"/>
      <c r="IP101" s="55"/>
      <c r="IQ101" s="55"/>
      <c r="IR101" s="55"/>
      <c r="IS101" s="55"/>
      <c r="IT101" s="55"/>
      <c r="IU101" s="55"/>
      <c r="IV101" s="55"/>
      <c r="IW101" s="55"/>
      <c r="IX101" s="55"/>
      <c r="IY101" s="55"/>
      <c r="IZ101" s="55"/>
      <c r="JA101" s="55"/>
      <c r="JB101" s="55"/>
      <c r="JC101" s="55"/>
      <c r="JD101" s="55"/>
      <c r="JE101" s="55"/>
      <c r="JF101" s="55"/>
      <c r="JG101" s="55"/>
      <c r="JH101" s="54" t="b">
        <f aca="false">TRUE()</f>
        <v>1</v>
      </c>
      <c r="JI101" s="55"/>
      <c r="JJ101" s="55"/>
      <c r="JK101" s="55"/>
      <c r="JL101" s="55"/>
      <c r="JM101" s="55"/>
      <c r="JN101" s="55"/>
      <c r="JO101" s="55"/>
      <c r="JP101" s="55"/>
      <c r="JQ101" s="55"/>
      <c r="JR101" s="55"/>
      <c r="JS101" s="55"/>
      <c r="JT101" s="54" t="b">
        <f aca="false">TRUE()</f>
        <v>1</v>
      </c>
      <c r="JU101" s="55"/>
      <c r="JV101" s="55"/>
      <c r="JW101" s="55"/>
      <c r="JX101" s="55"/>
      <c r="JY101" s="55"/>
      <c r="JZ101" s="55"/>
      <c r="KA101" s="55"/>
      <c r="KB101" s="55"/>
      <c r="KC101" s="55"/>
      <c r="KD101" s="55"/>
      <c r="KE101" s="55"/>
      <c r="KF101" s="55"/>
      <c r="KG101" s="55"/>
      <c r="KH101" s="55"/>
      <c r="KI101" s="55"/>
      <c r="KJ101" s="55"/>
      <c r="KK101" s="54" t="b">
        <f aca="false">TRUE()</f>
        <v>1</v>
      </c>
      <c r="KL101" s="55"/>
      <c r="KM101" s="55"/>
      <c r="KN101" s="55"/>
      <c r="KO101" s="55"/>
      <c r="KP101" s="55"/>
      <c r="KQ101" s="54" t="b">
        <f aca="false">TRUE()</f>
        <v>1</v>
      </c>
      <c r="KR101" s="55"/>
      <c r="KS101" s="55"/>
      <c r="KT101" s="55"/>
      <c r="KU101" s="54" t="b">
        <f aca="false">TRUE()</f>
        <v>1</v>
      </c>
    </row>
    <row r="102" customFormat="false" ht="14.4" hidden="false" customHeight="false" outlineLevel="0" collapsed="false">
      <c r="A102" s="37" t="s">
        <v>305</v>
      </c>
      <c r="B102" s="37" t="s">
        <v>2425</v>
      </c>
      <c r="C102" s="37"/>
      <c r="D102" s="37"/>
      <c r="E102" s="37"/>
      <c r="F102" s="37" t="s">
        <v>2426</v>
      </c>
      <c r="G102" s="37" t="s">
        <v>2427</v>
      </c>
      <c r="H102" s="37" t="s">
        <v>2428</v>
      </c>
      <c r="I102" s="37" t="s">
        <v>310</v>
      </c>
      <c r="J102" s="37" t="s">
        <v>311</v>
      </c>
      <c r="K102" s="37"/>
      <c r="L102" s="37"/>
      <c r="M102" s="37"/>
      <c r="N102" s="37"/>
      <c r="O102" s="37" t="s">
        <v>2429</v>
      </c>
      <c r="P102" s="37" t="s">
        <v>2430</v>
      </c>
      <c r="Q102" s="37" t="s">
        <v>2431</v>
      </c>
      <c r="R102" s="37" t="s">
        <v>2432</v>
      </c>
      <c r="S102" s="37"/>
      <c r="T102" s="37" t="s">
        <v>2433</v>
      </c>
      <c r="U102" s="37" t="s">
        <v>2434</v>
      </c>
      <c r="V102" s="37"/>
      <c r="W102" s="37"/>
      <c r="X102" s="37"/>
      <c r="Y102" s="37"/>
      <c r="Z102" s="37"/>
      <c r="AA102" s="37" t="n">
        <v>72</v>
      </c>
      <c r="AB102" s="37" t="n">
        <v>2</v>
      </c>
      <c r="AC102" s="37" t="n">
        <v>2</v>
      </c>
      <c r="AD102" s="37" t="n">
        <v>4</v>
      </c>
      <c r="AE102" s="37" t="n">
        <v>17</v>
      </c>
      <c r="AF102" s="37" t="s">
        <v>2435</v>
      </c>
      <c r="AG102" s="37" t="s">
        <v>2436</v>
      </c>
      <c r="AH102" s="37" t="s">
        <v>2437</v>
      </c>
      <c r="AI102" s="37" t="s">
        <v>2438</v>
      </c>
      <c r="AJ102" s="37" t="s">
        <v>2439</v>
      </c>
      <c r="AK102" s="37"/>
      <c r="AL102" s="37" t="s">
        <v>2440</v>
      </c>
      <c r="AM102" s="37" t="s">
        <v>2441</v>
      </c>
      <c r="AN102" s="37" t="s">
        <v>749</v>
      </c>
      <c r="AO102" s="37" t="n">
        <v>2022</v>
      </c>
      <c r="AP102" s="37" t="n">
        <v>148</v>
      </c>
      <c r="AQ102" s="37" t="n">
        <v>11</v>
      </c>
      <c r="AR102" s="37"/>
      <c r="AS102" s="37"/>
      <c r="AT102" s="37"/>
      <c r="AU102" s="37" t="n">
        <v>5022002</v>
      </c>
      <c r="AV102" s="37" t="s">
        <v>2442</v>
      </c>
      <c r="AW102" s="37" t="str">
        <f aca="false">HYPERLINK("http://dx.doi.org/10.1061/(ASCE)IR.1943-4774.0001714","http://dx.doi.org/10.1061/(ASCE)IR.1943-4774.0001714")</f>
        <v>http://dx.doi.org/10.1061/(ASCE)IR.1943-4774.0001714</v>
      </c>
      <c r="AX102" s="37"/>
      <c r="AY102" s="37" t="n">
        <v>14</v>
      </c>
      <c r="AZ102" s="37" t="s">
        <v>2443</v>
      </c>
      <c r="BA102" s="37" t="s">
        <v>331</v>
      </c>
      <c r="BB102" s="37" t="s">
        <v>2444</v>
      </c>
      <c r="BC102" s="37" t="s">
        <v>2445</v>
      </c>
      <c r="BD102" s="37"/>
      <c r="BE102" s="37"/>
      <c r="BF102" s="37" t="s">
        <v>334</v>
      </c>
      <c r="BG102" s="37" t="s">
        <v>2446</v>
      </c>
      <c r="BH102" s="37" t="str">
        <f aca="false">HYPERLINK("https%3A%2F%2Fwww.webofscience.com%2Fwos%2Fwoscc%2Ffull-record%2FWOS:000853929600006","View Full Record in Web of Science")</f>
        <v>View Full Record in Web of Science</v>
      </c>
      <c r="BI102" s="41" t="b">
        <f aca="false">TRUE()</f>
        <v>1</v>
      </c>
      <c r="BJ102" s="39"/>
      <c r="BK102" s="39"/>
      <c r="BL102" s="39"/>
      <c r="BM102" s="39"/>
      <c r="BN102" s="39"/>
      <c r="BO102" s="41" t="b">
        <f aca="false">TRUE()</f>
        <v>1</v>
      </c>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41" t="b">
        <f aca="false">TRUE()</f>
        <v>1</v>
      </c>
      <c r="CU102" s="39"/>
      <c r="CV102" s="39"/>
      <c r="CW102" s="41" t="b">
        <f aca="false">TRUE()</f>
        <v>1</v>
      </c>
      <c r="CX102" s="39"/>
      <c r="CY102" s="39"/>
      <c r="CZ102" s="39"/>
      <c r="DA102" s="39"/>
      <c r="DB102" s="39"/>
      <c r="DC102" s="39"/>
      <c r="DD102" s="39"/>
      <c r="DE102" s="41" t="b">
        <f aca="false">TRUE()</f>
        <v>1</v>
      </c>
      <c r="DF102" s="39"/>
      <c r="DG102" s="39"/>
      <c r="DH102" s="39"/>
      <c r="DI102" s="39"/>
      <c r="DJ102" s="39"/>
      <c r="DK102" s="41" t="b">
        <f aca="false">TRUE()</f>
        <v>1</v>
      </c>
      <c r="DL102" s="39"/>
      <c r="DM102" s="39"/>
      <c r="DN102" s="39"/>
      <c r="DO102" s="39"/>
      <c r="DP102" s="39"/>
      <c r="DQ102" s="39"/>
      <c r="DR102" s="39"/>
      <c r="DS102" s="39"/>
      <c r="DT102" s="41" t="b">
        <f aca="false">TRUE()</f>
        <v>1</v>
      </c>
      <c r="DU102" s="39"/>
      <c r="DV102" s="39"/>
      <c r="DW102" s="39"/>
      <c r="DX102" s="39"/>
      <c r="DY102" s="39"/>
      <c r="DZ102" s="39"/>
      <c r="EA102" s="41" t="b">
        <f aca="false">TRUE()</f>
        <v>1</v>
      </c>
      <c r="EB102" s="39"/>
      <c r="EC102" s="39"/>
      <c r="ED102" s="39"/>
      <c r="EE102" s="39"/>
      <c r="EF102" s="39"/>
      <c r="EG102" s="39"/>
      <c r="EH102" s="39"/>
      <c r="EI102" s="39"/>
      <c r="EJ102" s="39"/>
      <c r="EK102" s="39"/>
      <c r="EL102" s="39"/>
      <c r="EM102" s="39"/>
      <c r="EN102" s="39"/>
      <c r="EO102" s="39"/>
      <c r="EP102" s="39"/>
      <c r="EQ102" s="39"/>
      <c r="ER102" s="39"/>
      <c r="ES102" s="39"/>
      <c r="ET102" s="39"/>
      <c r="EU102" s="39"/>
      <c r="EV102" s="39"/>
      <c r="EW102" s="39"/>
      <c r="EX102" s="39"/>
      <c r="EY102" s="41" t="b">
        <f aca="false">TRUE()</f>
        <v>1</v>
      </c>
      <c r="EZ102" s="39"/>
      <c r="FA102" s="39"/>
      <c r="FB102" s="39"/>
      <c r="FC102" s="39"/>
      <c r="FD102" s="39"/>
      <c r="FE102" s="39"/>
      <c r="FF102" s="39"/>
      <c r="FG102" s="39"/>
      <c r="FH102" s="39"/>
      <c r="FI102" s="39"/>
      <c r="FJ102" s="39"/>
      <c r="FK102" s="39"/>
      <c r="FL102" s="39"/>
      <c r="FM102" s="39"/>
      <c r="FN102" s="39"/>
      <c r="FO102" s="39"/>
      <c r="FP102" s="39"/>
      <c r="FQ102" s="39"/>
      <c r="FR102" s="39"/>
      <c r="FS102" s="39"/>
      <c r="FT102" s="39"/>
      <c r="FU102" s="39"/>
      <c r="FV102" s="39"/>
      <c r="FW102" s="39"/>
      <c r="FX102" s="39"/>
      <c r="FY102" s="39"/>
      <c r="FZ102" s="39"/>
      <c r="GA102" s="39"/>
      <c r="GB102" s="39"/>
      <c r="GC102" s="39"/>
      <c r="GD102" s="39"/>
      <c r="GE102" s="39"/>
      <c r="GF102" s="39"/>
      <c r="GG102" s="39"/>
      <c r="GH102" s="39"/>
      <c r="GI102" s="39"/>
      <c r="GJ102" s="39"/>
      <c r="GK102" s="39"/>
      <c r="GL102" s="39"/>
      <c r="GM102" s="39"/>
      <c r="GN102" s="39"/>
      <c r="GO102" s="39"/>
      <c r="GP102" s="39"/>
      <c r="GQ102" s="39"/>
      <c r="GR102" s="39"/>
      <c r="GS102" s="39"/>
      <c r="GT102" s="39"/>
      <c r="GU102" s="39"/>
      <c r="GV102" s="39"/>
      <c r="GW102" s="39"/>
      <c r="GX102" s="39"/>
      <c r="GY102" s="39"/>
      <c r="GZ102" s="39"/>
      <c r="HA102" s="39"/>
      <c r="HB102" s="39"/>
      <c r="HC102" s="39"/>
      <c r="HD102" s="39"/>
      <c r="HE102" s="39"/>
      <c r="HF102" s="39"/>
      <c r="HG102" s="39"/>
      <c r="HH102" s="39"/>
      <c r="HI102" s="39"/>
      <c r="HJ102" s="39"/>
      <c r="HK102" s="41" t="b">
        <f aca="false">TRUE()</f>
        <v>1</v>
      </c>
      <c r="HL102" s="39"/>
      <c r="HM102" s="39"/>
      <c r="HN102" s="39"/>
      <c r="HO102" s="39"/>
      <c r="HP102" s="39"/>
      <c r="HQ102" s="39"/>
      <c r="HR102" s="39"/>
      <c r="HS102" s="39"/>
      <c r="HT102" s="39"/>
      <c r="HU102" s="39"/>
      <c r="HV102" s="39"/>
      <c r="HW102" s="39"/>
      <c r="HX102" s="41" t="b">
        <f aca="false">TRUE()</f>
        <v>1</v>
      </c>
      <c r="HY102" s="39"/>
      <c r="HZ102" s="39"/>
      <c r="IA102" s="39"/>
      <c r="IB102" s="39"/>
      <c r="IC102" s="39"/>
      <c r="ID102" s="39"/>
      <c r="IE102" s="39"/>
      <c r="IF102" s="39"/>
      <c r="IG102" s="39"/>
      <c r="IH102" s="39"/>
      <c r="II102" s="39"/>
      <c r="IJ102" s="39"/>
      <c r="IK102" s="39"/>
      <c r="IL102" s="39"/>
      <c r="IM102" s="39"/>
      <c r="IN102" s="39"/>
      <c r="IO102" s="39"/>
      <c r="IP102" s="39"/>
      <c r="IQ102" s="39"/>
      <c r="IR102" s="39"/>
      <c r="IS102" s="39"/>
      <c r="IT102" s="39"/>
      <c r="IU102" s="39"/>
      <c r="IV102" s="39"/>
      <c r="IW102" s="39"/>
      <c r="IX102" s="39"/>
      <c r="IY102" s="39"/>
      <c r="IZ102" s="39"/>
      <c r="JA102" s="39"/>
      <c r="JB102" s="39"/>
      <c r="JC102" s="39"/>
      <c r="JD102" s="39"/>
      <c r="JE102" s="39"/>
      <c r="JF102" s="39"/>
      <c r="JG102" s="39"/>
      <c r="JH102" s="39"/>
      <c r="JI102" s="39"/>
      <c r="JJ102" s="39"/>
      <c r="JK102" s="39"/>
      <c r="JL102" s="39"/>
      <c r="JM102" s="39"/>
      <c r="JN102" s="39"/>
      <c r="JO102" s="39"/>
      <c r="JP102" s="39"/>
      <c r="JQ102" s="39"/>
      <c r="JR102" s="39"/>
      <c r="JS102" s="39"/>
      <c r="JT102" s="41" t="b">
        <f aca="false">TRUE()</f>
        <v>1</v>
      </c>
      <c r="JU102" s="41" t="b">
        <f aca="false">TRUE()</f>
        <v>1</v>
      </c>
      <c r="JV102" s="39"/>
      <c r="JW102" s="39"/>
      <c r="JX102" s="39"/>
      <c r="JY102" s="39"/>
      <c r="JZ102" s="39"/>
      <c r="KA102" s="39"/>
      <c r="KB102" s="39"/>
      <c r="KC102" s="41" t="b">
        <f aca="false">TRUE()</f>
        <v>1</v>
      </c>
      <c r="KD102" s="39"/>
      <c r="KE102" s="39"/>
      <c r="KF102" s="39"/>
      <c r="KG102" s="39"/>
      <c r="KH102" s="39"/>
      <c r="KI102" s="39"/>
      <c r="KJ102" s="39"/>
      <c r="KK102" s="39"/>
      <c r="KL102" s="39"/>
      <c r="KM102" s="39"/>
      <c r="KN102" s="39"/>
      <c r="KO102" s="39"/>
      <c r="KP102" s="41" t="b">
        <f aca="false">TRUE()</f>
        <v>1</v>
      </c>
      <c r="KQ102" s="41" t="b">
        <f aca="false">TRUE()</f>
        <v>1</v>
      </c>
      <c r="KR102" s="39"/>
      <c r="KS102" s="39"/>
      <c r="KT102" s="41" t="b">
        <f aca="false">TRUE()</f>
        <v>1</v>
      </c>
      <c r="KU102" s="39"/>
    </row>
    <row r="103" customFormat="false" ht="14.4" hidden="false" customHeight="false" outlineLevel="0" collapsed="false">
      <c r="A103" s="37" t="s">
        <v>305</v>
      </c>
      <c r="B103" s="37" t="s">
        <v>2447</v>
      </c>
      <c r="C103" s="37"/>
      <c r="D103" s="37"/>
      <c r="E103" s="37"/>
      <c r="F103" s="37" t="s">
        <v>2448</v>
      </c>
      <c r="G103" s="37" t="s">
        <v>2449</v>
      </c>
      <c r="H103" s="37" t="s">
        <v>340</v>
      </c>
      <c r="I103" s="37" t="s">
        <v>310</v>
      </c>
      <c r="J103" s="37" t="s">
        <v>311</v>
      </c>
      <c r="K103" s="37"/>
      <c r="L103" s="37"/>
      <c r="M103" s="37"/>
      <c r="N103" s="37"/>
      <c r="O103" s="37" t="s">
        <v>2450</v>
      </c>
      <c r="P103" s="37" t="s">
        <v>2451</v>
      </c>
      <c r="Q103" s="37" t="s">
        <v>2452</v>
      </c>
      <c r="R103" s="37" t="s">
        <v>2453</v>
      </c>
      <c r="S103" s="37" t="s">
        <v>2454</v>
      </c>
      <c r="T103" s="37" t="s">
        <v>2455</v>
      </c>
      <c r="U103" s="37" t="s">
        <v>2456</v>
      </c>
      <c r="V103" s="37" t="s">
        <v>2457</v>
      </c>
      <c r="W103" s="37" t="s">
        <v>2458</v>
      </c>
      <c r="X103" s="37" t="s">
        <v>2459</v>
      </c>
      <c r="Y103" s="37" t="s">
        <v>2460</v>
      </c>
      <c r="Z103" s="37" t="s">
        <v>2461</v>
      </c>
      <c r="AA103" s="37" t="n">
        <v>124</v>
      </c>
      <c r="AB103" s="37" t="n">
        <v>14</v>
      </c>
      <c r="AC103" s="37" t="n">
        <v>14</v>
      </c>
      <c r="AD103" s="37" t="n">
        <v>6</v>
      </c>
      <c r="AE103" s="37" t="n">
        <v>40</v>
      </c>
      <c r="AF103" s="37" t="s">
        <v>353</v>
      </c>
      <c r="AG103" s="37" t="s">
        <v>354</v>
      </c>
      <c r="AH103" s="37" t="s">
        <v>355</v>
      </c>
      <c r="AI103" s="37" t="s">
        <v>356</v>
      </c>
      <c r="AJ103" s="37" t="s">
        <v>357</v>
      </c>
      <c r="AK103" s="37"/>
      <c r="AL103" s="37" t="s">
        <v>358</v>
      </c>
      <c r="AM103" s="37" t="s">
        <v>359</v>
      </c>
      <c r="AN103" s="37" t="s">
        <v>572</v>
      </c>
      <c r="AO103" s="37" t="n">
        <v>2022</v>
      </c>
      <c r="AP103" s="37" t="n">
        <v>614</v>
      </c>
      <c r="AQ103" s="37"/>
      <c r="AR103" s="37" t="s">
        <v>360</v>
      </c>
      <c r="AS103" s="37"/>
      <c r="AT103" s="37"/>
      <c r="AU103" s="37" t="n">
        <v>128498</v>
      </c>
      <c r="AV103" s="37" t="s">
        <v>2462</v>
      </c>
      <c r="AW103" s="37" t="str">
        <f aca="false">HYPERLINK("http://dx.doi.org/10.1016/j.jhydrol.2022.128498","http://dx.doi.org/10.1016/j.jhydrol.2022.128498")</f>
        <v>http://dx.doi.org/10.1016/j.jhydrol.2022.128498</v>
      </c>
      <c r="AX103" s="37" t="s">
        <v>2463</v>
      </c>
      <c r="AY103" s="37" t="n">
        <v>23</v>
      </c>
      <c r="AZ103" s="37" t="s">
        <v>362</v>
      </c>
      <c r="BA103" s="37" t="s">
        <v>331</v>
      </c>
      <c r="BB103" s="37" t="s">
        <v>363</v>
      </c>
      <c r="BC103" s="37" t="s">
        <v>2464</v>
      </c>
      <c r="BD103" s="37"/>
      <c r="BE103" s="37" t="s">
        <v>1986</v>
      </c>
      <c r="BF103" s="37" t="s">
        <v>334</v>
      </c>
      <c r="BG103" s="37" t="s">
        <v>2465</v>
      </c>
      <c r="BH103" s="37" t="str">
        <f aca="false">HYPERLINK("https%3A%2F%2Fwww.webofscience.com%2Fwos%2Fwoscc%2Ffull-record%2FWOS:000872395100001","View Full Record in Web of Science")</f>
        <v>View Full Record in Web of Science</v>
      </c>
      <c r="BI103" s="41" t="b">
        <f aca="false">TRUE()</f>
        <v>1</v>
      </c>
      <c r="BJ103" s="39"/>
      <c r="BK103" s="39"/>
      <c r="BL103" s="41" t="b">
        <f aca="false">TRUE()</f>
        <v>1</v>
      </c>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39"/>
      <c r="DQ103" s="39"/>
      <c r="DR103" s="39"/>
      <c r="DS103" s="39"/>
      <c r="DT103" s="39"/>
      <c r="DU103" s="39"/>
      <c r="DV103" s="39"/>
      <c r="DW103" s="39"/>
      <c r="DX103" s="39"/>
      <c r="DY103" s="39"/>
      <c r="DZ103" s="39"/>
      <c r="EA103" s="39"/>
      <c r="EB103" s="41" t="b">
        <f aca="false">TRUE()</f>
        <v>1</v>
      </c>
      <c r="EC103" s="39"/>
      <c r="ED103" s="39"/>
      <c r="EE103" s="39"/>
      <c r="EF103" s="39"/>
      <c r="EG103" s="39"/>
      <c r="EH103" s="39"/>
      <c r="EI103" s="39"/>
      <c r="EJ103" s="39"/>
      <c r="EK103" s="39"/>
      <c r="EL103" s="39"/>
      <c r="EM103" s="39"/>
      <c r="EN103" s="39"/>
      <c r="EO103" s="39"/>
      <c r="EP103" s="39"/>
      <c r="EQ103" s="39"/>
      <c r="ER103" s="39"/>
      <c r="ES103" s="39"/>
      <c r="ET103" s="39"/>
      <c r="EU103" s="39"/>
      <c r="EV103" s="39"/>
      <c r="EW103" s="39"/>
      <c r="EX103" s="39"/>
      <c r="EY103" s="39"/>
      <c r="EZ103" s="39"/>
      <c r="FA103" s="39"/>
      <c r="FB103" s="39"/>
      <c r="FC103" s="39"/>
      <c r="FD103" s="39"/>
      <c r="FE103" s="39"/>
      <c r="FF103" s="39"/>
      <c r="FG103" s="39"/>
      <c r="FH103" s="39"/>
      <c r="FI103" s="39"/>
      <c r="FJ103" s="39"/>
      <c r="FK103" s="39"/>
      <c r="FL103" s="39"/>
      <c r="FM103" s="39"/>
      <c r="FN103" s="39"/>
      <c r="FO103" s="39"/>
      <c r="FP103" s="39"/>
      <c r="FQ103" s="39"/>
      <c r="FR103" s="39"/>
      <c r="FS103" s="39"/>
      <c r="FT103" s="41" t="b">
        <f aca="false">TRUE()</f>
        <v>1</v>
      </c>
      <c r="FU103" s="39"/>
      <c r="FV103" s="39"/>
      <c r="FW103" s="39"/>
      <c r="FX103" s="41" t="b">
        <f aca="false">TRUE()</f>
        <v>1</v>
      </c>
      <c r="FY103" s="39"/>
      <c r="FZ103" s="39"/>
      <c r="GA103" s="39"/>
      <c r="GB103" s="39"/>
      <c r="GC103" s="39"/>
      <c r="GD103" s="39"/>
      <c r="GE103" s="39"/>
      <c r="GF103" s="39"/>
      <c r="GG103" s="39"/>
      <c r="GH103" s="39"/>
      <c r="GI103" s="39"/>
      <c r="GJ103" s="39"/>
      <c r="GK103" s="39"/>
      <c r="GL103" s="39"/>
      <c r="GM103" s="39"/>
      <c r="GN103" s="39"/>
      <c r="GO103" s="39"/>
      <c r="GP103" s="37"/>
      <c r="GQ103" s="39"/>
      <c r="GR103" s="39"/>
      <c r="GS103" s="39"/>
      <c r="GT103" s="39"/>
      <c r="GU103" s="39"/>
      <c r="GV103" s="39"/>
      <c r="GW103" s="39"/>
      <c r="GX103" s="39"/>
      <c r="GY103" s="39"/>
      <c r="GZ103" s="39"/>
      <c r="HA103" s="39"/>
      <c r="HB103" s="39"/>
      <c r="HC103" s="39"/>
      <c r="HD103" s="39"/>
      <c r="HE103" s="39"/>
      <c r="HF103" s="39"/>
      <c r="HG103" s="39"/>
      <c r="HH103" s="39"/>
      <c r="HI103" s="39"/>
      <c r="HJ103" s="39"/>
      <c r="HK103" s="39"/>
      <c r="HL103" s="39"/>
      <c r="HM103" s="37"/>
      <c r="HN103" s="39"/>
      <c r="HO103" s="39"/>
      <c r="HP103" s="39"/>
      <c r="HQ103" s="39"/>
      <c r="HR103" s="39"/>
      <c r="HS103" s="39"/>
      <c r="HT103" s="39"/>
      <c r="HU103" s="37"/>
      <c r="HV103" s="37"/>
      <c r="HW103" s="39"/>
      <c r="HX103" s="39"/>
      <c r="HY103" s="39"/>
      <c r="HZ103" s="39"/>
      <c r="IA103" s="39"/>
      <c r="IB103" s="39"/>
      <c r="IC103" s="39"/>
      <c r="ID103" s="39"/>
      <c r="IE103" s="39"/>
      <c r="IF103" s="39"/>
      <c r="IG103" s="39"/>
      <c r="IH103" s="39"/>
      <c r="II103" s="39"/>
      <c r="IJ103" s="39"/>
      <c r="IK103" s="39"/>
      <c r="IL103" s="39"/>
      <c r="IM103" s="39"/>
      <c r="IN103" s="39"/>
      <c r="IO103" s="39"/>
      <c r="IP103" s="39"/>
      <c r="IQ103" s="39"/>
      <c r="IR103" s="39"/>
      <c r="IS103" s="39"/>
      <c r="IT103" s="39"/>
      <c r="IU103" s="39"/>
      <c r="IV103" s="39"/>
      <c r="IW103" s="39"/>
      <c r="IX103" s="39"/>
      <c r="IY103" s="39"/>
      <c r="IZ103" s="39"/>
      <c r="JA103" s="39"/>
      <c r="JB103" s="39"/>
      <c r="JC103" s="39"/>
      <c r="JD103" s="39"/>
      <c r="JE103" s="39"/>
      <c r="JF103" s="39"/>
      <c r="JG103" s="39"/>
      <c r="JH103" s="39"/>
      <c r="JI103" s="39"/>
      <c r="JJ103" s="39"/>
      <c r="JK103" s="41" t="b">
        <f aca="false">TRUE()</f>
        <v>1</v>
      </c>
      <c r="JL103" s="39"/>
      <c r="JM103" s="39"/>
      <c r="JN103" s="39"/>
      <c r="JO103" s="39"/>
      <c r="JP103" s="39"/>
      <c r="JQ103" s="39"/>
      <c r="JR103" s="39"/>
      <c r="JS103" s="39"/>
      <c r="JT103" s="41" t="b">
        <f aca="false">TRUE()</f>
        <v>1</v>
      </c>
      <c r="JU103" s="41" t="b">
        <f aca="false">TRUE()</f>
        <v>1</v>
      </c>
      <c r="JV103" s="39"/>
      <c r="JW103" s="39"/>
      <c r="JX103" s="39"/>
      <c r="JY103" s="39"/>
      <c r="JZ103" s="39"/>
      <c r="KA103" s="39"/>
      <c r="KB103" s="41" t="b">
        <f aca="false">TRUE()</f>
        <v>1</v>
      </c>
      <c r="KC103" s="41" t="b">
        <f aca="false">TRUE()</f>
        <v>1</v>
      </c>
      <c r="KD103" s="41" t="b">
        <f aca="false">TRUE()</f>
        <v>1</v>
      </c>
      <c r="KE103" s="39"/>
      <c r="KF103" s="39"/>
      <c r="KG103" s="39"/>
      <c r="KH103" s="39"/>
      <c r="KI103" s="39"/>
      <c r="KJ103" s="39"/>
      <c r="KK103" s="39"/>
      <c r="KL103" s="39"/>
      <c r="KM103" s="39"/>
      <c r="KN103" s="39"/>
      <c r="KO103" s="39"/>
      <c r="KP103" s="39"/>
      <c r="KQ103" s="41" t="b">
        <f aca="false">TRUE()</f>
        <v>1</v>
      </c>
      <c r="KR103" s="41" t="b">
        <f aca="false">TRUE()</f>
        <v>1</v>
      </c>
      <c r="KS103" s="39"/>
      <c r="KT103" s="41" t="b">
        <f aca="false">TRUE()</f>
        <v>1</v>
      </c>
      <c r="KU103" s="39"/>
    </row>
    <row r="104" customFormat="false" ht="14.4" hidden="false" customHeight="false" outlineLevel="0" collapsed="false">
      <c r="A104" s="37" t="s">
        <v>305</v>
      </c>
      <c r="B104" s="37" t="s">
        <v>2466</v>
      </c>
      <c r="C104" s="37"/>
      <c r="D104" s="37"/>
      <c r="E104" s="37"/>
      <c r="F104" s="37" t="s">
        <v>2467</v>
      </c>
      <c r="G104" s="37" t="s">
        <v>2468</v>
      </c>
      <c r="H104" s="37" t="s">
        <v>2469</v>
      </c>
      <c r="I104" s="37" t="s">
        <v>310</v>
      </c>
      <c r="J104" s="37" t="s">
        <v>311</v>
      </c>
      <c r="K104" s="37"/>
      <c r="L104" s="37"/>
      <c r="M104" s="37"/>
      <c r="N104" s="37"/>
      <c r="O104" s="37" t="s">
        <v>2470</v>
      </c>
      <c r="P104" s="37" t="s">
        <v>2471</v>
      </c>
      <c r="Q104" s="37" t="s">
        <v>2472</v>
      </c>
      <c r="R104" s="37" t="s">
        <v>2473</v>
      </c>
      <c r="S104" s="37" t="s">
        <v>2474</v>
      </c>
      <c r="T104" s="37" t="s">
        <v>2475</v>
      </c>
      <c r="U104" s="37" t="s">
        <v>2476</v>
      </c>
      <c r="V104" s="37" t="s">
        <v>2477</v>
      </c>
      <c r="W104" s="37"/>
      <c r="X104" s="37" t="s">
        <v>2478</v>
      </c>
      <c r="Y104" s="37" t="s">
        <v>2479</v>
      </c>
      <c r="Z104" s="37" t="s">
        <v>2480</v>
      </c>
      <c r="AA104" s="37" t="n">
        <v>68</v>
      </c>
      <c r="AB104" s="37" t="n">
        <v>7</v>
      </c>
      <c r="AC104" s="37" t="n">
        <v>7</v>
      </c>
      <c r="AD104" s="37" t="n">
        <v>14</v>
      </c>
      <c r="AE104" s="37" t="n">
        <v>30</v>
      </c>
      <c r="AF104" s="37" t="s">
        <v>769</v>
      </c>
      <c r="AG104" s="37" t="s">
        <v>525</v>
      </c>
      <c r="AH104" s="37" t="s">
        <v>770</v>
      </c>
      <c r="AI104" s="37" t="s">
        <v>2481</v>
      </c>
      <c r="AJ104" s="37" t="s">
        <v>2482</v>
      </c>
      <c r="AK104" s="37"/>
      <c r="AL104" s="37" t="s">
        <v>2483</v>
      </c>
      <c r="AM104" s="37" t="s">
        <v>2484</v>
      </c>
      <c r="AN104" s="37" t="s">
        <v>435</v>
      </c>
      <c r="AO104" s="37" t="n">
        <v>2023</v>
      </c>
      <c r="AP104" s="37" t="n">
        <v>82</v>
      </c>
      <c r="AQ104" s="37" t="n">
        <v>19</v>
      </c>
      <c r="AR104" s="37"/>
      <c r="AS104" s="37"/>
      <c r="AT104" s="37"/>
      <c r="AU104" s="37" t="n">
        <v>441</v>
      </c>
      <c r="AV104" s="37" t="s">
        <v>2485</v>
      </c>
      <c r="AW104" s="37" t="str">
        <f aca="false">HYPERLINK("http://dx.doi.org/10.1007/s12665-023-11137-1","http://dx.doi.org/10.1007/s12665-023-11137-1")</f>
        <v>http://dx.doi.org/10.1007/s12665-023-11137-1</v>
      </c>
      <c r="AX104" s="37"/>
      <c r="AY104" s="37" t="n">
        <v>17</v>
      </c>
      <c r="AZ104" s="37" t="s">
        <v>2486</v>
      </c>
      <c r="BA104" s="37" t="s">
        <v>331</v>
      </c>
      <c r="BB104" s="37" t="s">
        <v>2487</v>
      </c>
      <c r="BC104" s="37" t="s">
        <v>2488</v>
      </c>
      <c r="BD104" s="37"/>
      <c r="BE104" s="37"/>
      <c r="BF104" s="37" t="s">
        <v>334</v>
      </c>
      <c r="BG104" s="37" t="s">
        <v>2489</v>
      </c>
      <c r="BH104" s="37" t="str">
        <f aca="false">HYPERLINK("https%3A%2F%2Fwww.webofscience.com%2Fwos%2Fwoscc%2Ffull-record%2FWOS:001116324100002","View Full Record in Web of Science")</f>
        <v>View Full Record in Web of Science</v>
      </c>
      <c r="BI104" s="41" t="b">
        <f aca="false">TRUE()</f>
        <v>1</v>
      </c>
      <c r="BJ104" s="39"/>
      <c r="BK104" s="39"/>
      <c r="BL104" s="39"/>
      <c r="BM104" s="39"/>
      <c r="BN104" s="39"/>
      <c r="BO104" s="39"/>
      <c r="BP104" s="41" t="b">
        <f aca="false">TRUE()</f>
        <v>1</v>
      </c>
      <c r="BQ104" s="39"/>
      <c r="BR104" s="41" t="b">
        <f aca="false">TRUE()</f>
        <v>1</v>
      </c>
      <c r="BS104" s="39"/>
      <c r="BT104" s="39"/>
      <c r="BU104" s="39"/>
      <c r="BV104" s="39"/>
      <c r="BW104" s="39"/>
      <c r="BX104" s="39"/>
      <c r="BY104" s="41" t="b">
        <f aca="false">TRUE()</f>
        <v>1</v>
      </c>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39"/>
      <c r="DQ104" s="39"/>
      <c r="DR104" s="39"/>
      <c r="DS104" s="39"/>
      <c r="DT104" s="41" t="b">
        <f aca="false">TRUE()</f>
        <v>1</v>
      </c>
      <c r="DU104" s="39"/>
      <c r="DV104" s="39"/>
      <c r="DW104" s="39"/>
      <c r="DX104" s="39"/>
      <c r="DY104" s="39"/>
      <c r="DZ104" s="39"/>
      <c r="EA104" s="39"/>
      <c r="EB104" s="39"/>
      <c r="EC104" s="39"/>
      <c r="ED104" s="39"/>
      <c r="EE104" s="39"/>
      <c r="EF104" s="39"/>
      <c r="EG104" s="39"/>
      <c r="EH104" s="39"/>
      <c r="EI104" s="39"/>
      <c r="EJ104" s="39"/>
      <c r="EK104" s="39"/>
      <c r="EL104" s="39"/>
      <c r="EM104" s="39"/>
      <c r="EN104" s="39"/>
      <c r="EO104" s="39"/>
      <c r="EP104" s="39"/>
      <c r="EQ104" s="39"/>
      <c r="ER104" s="39"/>
      <c r="ES104" s="39"/>
      <c r="ET104" s="39"/>
      <c r="EU104" s="41" t="b">
        <f aca="false">TRUE()</f>
        <v>1</v>
      </c>
      <c r="EV104" s="39"/>
      <c r="EW104" s="39"/>
      <c r="EX104" s="41" t="b">
        <f aca="false">TRUE()</f>
        <v>1</v>
      </c>
      <c r="EY104" s="39"/>
      <c r="EZ104" s="39"/>
      <c r="FA104" s="39"/>
      <c r="FB104" s="39"/>
      <c r="FC104" s="39"/>
      <c r="FD104" s="39"/>
      <c r="FE104" s="39"/>
      <c r="FF104" s="39"/>
      <c r="FG104" s="39"/>
      <c r="FH104" s="39"/>
      <c r="FI104" s="39"/>
      <c r="FJ104" s="39"/>
      <c r="FK104" s="39"/>
      <c r="FL104" s="39"/>
      <c r="FM104" s="39"/>
      <c r="FN104" s="39"/>
      <c r="FO104" s="39"/>
      <c r="FP104" s="39"/>
      <c r="FQ104" s="39"/>
      <c r="FR104" s="39"/>
      <c r="FS104" s="39"/>
      <c r="FT104" s="41" t="b">
        <f aca="false">TRUE()</f>
        <v>1</v>
      </c>
      <c r="FU104" s="39"/>
      <c r="FV104" s="39"/>
      <c r="FW104" s="39"/>
      <c r="FX104" s="39"/>
      <c r="FY104" s="39"/>
      <c r="FZ104" s="39"/>
      <c r="GA104" s="39"/>
      <c r="GB104" s="39"/>
      <c r="GC104" s="39"/>
      <c r="GD104" s="39"/>
      <c r="GE104" s="39"/>
      <c r="GF104" s="39"/>
      <c r="GG104" s="39"/>
      <c r="GH104" s="39"/>
      <c r="GI104" s="39"/>
      <c r="GJ104" s="39"/>
      <c r="GK104" s="39"/>
      <c r="GL104" s="41" t="b">
        <f aca="false">TRUE()</f>
        <v>1</v>
      </c>
      <c r="GM104" s="39"/>
      <c r="GN104" s="39"/>
      <c r="GO104" s="39"/>
      <c r="GP104" s="39"/>
      <c r="GQ104" s="39"/>
      <c r="GR104" s="39"/>
      <c r="GS104" s="39"/>
      <c r="GT104" s="39"/>
      <c r="GU104" s="39"/>
      <c r="GV104" s="39"/>
      <c r="GW104" s="39"/>
      <c r="GX104" s="39"/>
      <c r="GY104" s="39"/>
      <c r="GZ104" s="39"/>
      <c r="HA104" s="39"/>
      <c r="HB104" s="39"/>
      <c r="HC104" s="39"/>
      <c r="HD104" s="39"/>
      <c r="HE104" s="39"/>
      <c r="HF104" s="39"/>
      <c r="HG104" s="39"/>
      <c r="HH104" s="39"/>
      <c r="HI104" s="39"/>
      <c r="HJ104" s="39"/>
      <c r="HK104" s="41" t="b">
        <f aca="false">TRUE()</f>
        <v>1</v>
      </c>
      <c r="HL104" s="39"/>
      <c r="HM104" s="39"/>
      <c r="HN104" s="39"/>
      <c r="HO104" s="39"/>
      <c r="HP104" s="39"/>
      <c r="HQ104" s="39"/>
      <c r="HR104" s="39"/>
      <c r="HS104" s="39"/>
      <c r="HT104" s="39"/>
      <c r="HU104" s="39"/>
      <c r="HV104" s="39"/>
      <c r="HW104" s="39"/>
      <c r="HX104" s="39"/>
      <c r="HY104" s="39"/>
      <c r="HZ104" s="39"/>
      <c r="IA104" s="39"/>
      <c r="IB104" s="39"/>
      <c r="IC104" s="39"/>
      <c r="ID104" s="39"/>
      <c r="IE104" s="39"/>
      <c r="IF104" s="41" t="b">
        <f aca="false">TRUE()</f>
        <v>1</v>
      </c>
      <c r="IG104" s="39"/>
      <c r="IH104" s="39"/>
      <c r="II104" s="39"/>
      <c r="IJ104" s="39"/>
      <c r="IK104" s="39"/>
      <c r="IL104" s="39"/>
      <c r="IM104" s="39"/>
      <c r="IN104" s="39"/>
      <c r="IO104" s="39"/>
      <c r="IP104" s="39"/>
      <c r="IQ104" s="39"/>
      <c r="IR104" s="39"/>
      <c r="IS104" s="39"/>
      <c r="IT104" s="39"/>
      <c r="IU104" s="39"/>
      <c r="IV104" s="39"/>
      <c r="IW104" s="39"/>
      <c r="IX104" s="39"/>
      <c r="IY104" s="39"/>
      <c r="IZ104" s="39"/>
      <c r="JA104" s="39"/>
      <c r="JB104" s="39"/>
      <c r="JC104" s="39"/>
      <c r="JD104" s="39"/>
      <c r="JE104" s="39"/>
      <c r="JF104" s="39"/>
      <c r="JG104" s="39"/>
      <c r="JH104" s="39"/>
      <c r="JI104" s="39"/>
      <c r="JJ104" s="39"/>
      <c r="JK104" s="39"/>
      <c r="JL104" s="39"/>
      <c r="JM104" s="39"/>
      <c r="JN104" s="39"/>
      <c r="JO104" s="39"/>
      <c r="JP104" s="39"/>
      <c r="JQ104" s="39"/>
      <c r="JR104" s="39"/>
      <c r="JS104" s="39"/>
      <c r="JT104" s="41" t="b">
        <f aca="false">TRUE()</f>
        <v>1</v>
      </c>
      <c r="JU104" s="39"/>
      <c r="JV104" s="39"/>
      <c r="JW104" s="39"/>
      <c r="JX104" s="39"/>
      <c r="JY104" s="39"/>
      <c r="JZ104" s="39"/>
      <c r="KA104" s="39"/>
      <c r="KB104" s="39"/>
      <c r="KC104" s="39"/>
      <c r="KD104" s="39"/>
      <c r="KE104" s="39"/>
      <c r="KF104" s="39"/>
      <c r="KG104" s="39"/>
      <c r="KH104" s="39"/>
      <c r="KI104" s="39"/>
      <c r="KJ104" s="39"/>
      <c r="KK104" s="39"/>
      <c r="KL104" s="39"/>
      <c r="KM104" s="39"/>
      <c r="KN104" s="39"/>
      <c r="KO104" s="39"/>
      <c r="KP104" s="39"/>
      <c r="KQ104" s="41" t="b">
        <f aca="false">TRUE()</f>
        <v>1</v>
      </c>
      <c r="KR104" s="39"/>
      <c r="KS104" s="39"/>
      <c r="KT104" s="41" t="b">
        <f aca="false">TRUE()</f>
        <v>1</v>
      </c>
      <c r="KU104" s="39"/>
    </row>
    <row r="105" customFormat="false" ht="14.4" hidden="false" customHeight="false" outlineLevel="0" collapsed="false">
      <c r="A105" s="37" t="s">
        <v>305</v>
      </c>
      <c r="B105" s="37" t="s">
        <v>2490</v>
      </c>
      <c r="C105" s="37"/>
      <c r="D105" s="37"/>
      <c r="E105" s="37"/>
      <c r="F105" s="37" t="s">
        <v>2491</v>
      </c>
      <c r="G105" s="37" t="s">
        <v>2492</v>
      </c>
      <c r="H105" s="37" t="s">
        <v>733</v>
      </c>
      <c r="I105" s="37" t="s">
        <v>310</v>
      </c>
      <c r="J105" s="37" t="s">
        <v>311</v>
      </c>
      <c r="K105" s="37"/>
      <c r="L105" s="37"/>
      <c r="M105" s="37"/>
      <c r="N105" s="37"/>
      <c r="O105" s="37" t="s">
        <v>2493</v>
      </c>
      <c r="P105" s="37" t="s">
        <v>2494</v>
      </c>
      <c r="Q105" s="37" t="s">
        <v>2495</v>
      </c>
      <c r="R105" s="37" t="s">
        <v>2496</v>
      </c>
      <c r="S105" s="37" t="s">
        <v>2497</v>
      </c>
      <c r="T105" s="37" t="s">
        <v>2498</v>
      </c>
      <c r="U105" s="37" t="s">
        <v>2499</v>
      </c>
      <c r="V105" s="37" t="s">
        <v>2500</v>
      </c>
      <c r="W105" s="37"/>
      <c r="X105" s="37" t="s">
        <v>2501</v>
      </c>
      <c r="Y105" s="37" t="s">
        <v>2502</v>
      </c>
      <c r="Z105" s="37" t="s">
        <v>2503</v>
      </c>
      <c r="AA105" s="37" t="n">
        <v>47</v>
      </c>
      <c r="AB105" s="37" t="n">
        <v>0</v>
      </c>
      <c r="AC105" s="37" t="n">
        <v>0</v>
      </c>
      <c r="AD105" s="37" t="n">
        <v>17</v>
      </c>
      <c r="AE105" s="37" t="n">
        <v>17</v>
      </c>
      <c r="AF105" s="37" t="s">
        <v>353</v>
      </c>
      <c r="AG105" s="37" t="s">
        <v>354</v>
      </c>
      <c r="AH105" s="37" t="s">
        <v>355</v>
      </c>
      <c r="AI105" s="37" t="s">
        <v>745</v>
      </c>
      <c r="AJ105" s="37" t="s">
        <v>746</v>
      </c>
      <c r="AK105" s="37"/>
      <c r="AL105" s="37" t="s">
        <v>747</v>
      </c>
      <c r="AM105" s="37" t="s">
        <v>748</v>
      </c>
      <c r="AN105" s="37" t="s">
        <v>2504</v>
      </c>
      <c r="AO105" s="37" t="n">
        <v>2024</v>
      </c>
      <c r="AP105" s="37" t="n">
        <v>306</v>
      </c>
      <c r="AQ105" s="37"/>
      <c r="AR105" s="37"/>
      <c r="AS105" s="37"/>
      <c r="AT105" s="37"/>
      <c r="AU105" s="37" t="n">
        <v>109191</v>
      </c>
      <c r="AV105" s="37" t="s">
        <v>2505</v>
      </c>
      <c r="AW105" s="37" t="str">
        <f aca="false">HYPERLINK("http://dx.doi.org/10.1016/j.agwat.2024.109191","http://dx.doi.org/10.1016/j.agwat.2024.109191")</f>
        <v>http://dx.doi.org/10.1016/j.agwat.2024.109191</v>
      </c>
      <c r="AX105" s="37" t="s">
        <v>1967</v>
      </c>
      <c r="AY105" s="37" t="n">
        <v>15</v>
      </c>
      <c r="AZ105" s="37" t="s">
        <v>438</v>
      </c>
      <c r="BA105" s="37" t="s">
        <v>331</v>
      </c>
      <c r="BB105" s="37" t="s">
        <v>439</v>
      </c>
      <c r="BC105" s="37" t="s">
        <v>2506</v>
      </c>
      <c r="BD105" s="37"/>
      <c r="BE105" s="37" t="s">
        <v>684</v>
      </c>
      <c r="BF105" s="37" t="s">
        <v>334</v>
      </c>
      <c r="BG105" s="37" t="s">
        <v>2507</v>
      </c>
      <c r="BH105" s="37" t="str">
        <f aca="false">HYPERLINK("https%3A%2F%2Fwww.webofscience.com%2Fwos%2Fwoscc%2Ffull-record%2FWOS:001373295000001","View Full Record in Web of Science")</f>
        <v>View Full Record in Web of Science</v>
      </c>
      <c r="BI105" s="39"/>
      <c r="BJ105" s="39"/>
      <c r="BK105" s="39"/>
      <c r="BL105" s="39"/>
      <c r="BM105" s="39"/>
      <c r="BN105" s="39"/>
      <c r="BO105" s="39"/>
      <c r="BP105" s="39"/>
      <c r="BQ105" s="39"/>
      <c r="BR105" s="39"/>
      <c r="BS105" s="39"/>
      <c r="BT105" s="39"/>
      <c r="BU105" s="39"/>
      <c r="BV105" s="39"/>
      <c r="BW105" s="39"/>
      <c r="BX105" s="39"/>
      <c r="BY105" s="41" t="b">
        <f aca="false">TRUE()</f>
        <v>1</v>
      </c>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41" t="b">
        <f aca="false">TRUE()</f>
        <v>1</v>
      </c>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41" t="b">
        <f aca="false">TRUE()</f>
        <v>1</v>
      </c>
      <c r="DU105" s="41" t="b">
        <f aca="false">TRUE()</f>
        <v>1</v>
      </c>
      <c r="DV105" s="39"/>
      <c r="DW105" s="39"/>
      <c r="DX105" s="39"/>
      <c r="DY105" s="39"/>
      <c r="DZ105" s="39"/>
      <c r="EA105" s="39"/>
      <c r="EB105" s="39"/>
      <c r="EC105" s="39"/>
      <c r="ED105" s="39"/>
      <c r="EE105" s="39"/>
      <c r="EF105" s="39"/>
      <c r="EG105" s="39"/>
      <c r="EH105" s="39"/>
      <c r="EI105" s="39"/>
      <c r="EJ105" s="39"/>
      <c r="EK105" s="39"/>
      <c r="EL105" s="39"/>
      <c r="EM105" s="39"/>
      <c r="EN105" s="39"/>
      <c r="EO105" s="39"/>
      <c r="EP105" s="39"/>
      <c r="EQ105" s="41" t="b">
        <f aca="false">TRUE()</f>
        <v>1</v>
      </c>
      <c r="ER105" s="39"/>
      <c r="ES105" s="39"/>
      <c r="ET105" s="39"/>
      <c r="EU105" s="41" t="b">
        <f aca="false">TRUE()</f>
        <v>1</v>
      </c>
      <c r="EV105" s="39"/>
      <c r="EW105" s="39"/>
      <c r="EX105" s="39"/>
      <c r="EY105" s="41" t="b">
        <f aca="false">TRUE()</f>
        <v>1</v>
      </c>
      <c r="EZ105" s="39"/>
      <c r="FA105" s="39"/>
      <c r="FB105" s="39"/>
      <c r="FC105" s="41" t="b">
        <f aca="false">TRUE()</f>
        <v>1</v>
      </c>
      <c r="FD105" s="39"/>
      <c r="FE105" s="39"/>
      <c r="FF105" s="39"/>
      <c r="FG105" s="39"/>
      <c r="FH105" s="39"/>
      <c r="FI105" s="39"/>
      <c r="FJ105" s="39"/>
      <c r="FK105" s="41" t="b">
        <f aca="false">TRUE()</f>
        <v>1</v>
      </c>
      <c r="FL105" s="39"/>
      <c r="FM105" s="39"/>
      <c r="FN105" s="39"/>
      <c r="FO105" s="39"/>
      <c r="FP105" s="39"/>
      <c r="FQ105" s="39"/>
      <c r="FR105" s="39"/>
      <c r="FS105" s="39"/>
      <c r="FT105" s="39"/>
      <c r="FU105" s="39"/>
      <c r="FV105" s="39"/>
      <c r="FW105" s="39"/>
      <c r="FX105" s="39"/>
      <c r="FY105" s="39"/>
      <c r="FZ105" s="39"/>
      <c r="GA105" s="39"/>
      <c r="GB105" s="39"/>
      <c r="GC105" s="39"/>
      <c r="GD105" s="39"/>
      <c r="GE105" s="39"/>
      <c r="GF105" s="39"/>
      <c r="GG105" s="39"/>
      <c r="GH105" s="39"/>
      <c r="GI105" s="39"/>
      <c r="GJ105" s="39"/>
      <c r="GK105" s="39"/>
      <c r="GL105" s="39"/>
      <c r="GM105" s="39"/>
      <c r="GN105" s="39"/>
      <c r="GO105" s="39"/>
      <c r="GP105" s="39"/>
      <c r="GQ105" s="39"/>
      <c r="GR105" s="39"/>
      <c r="GS105" s="39"/>
      <c r="GT105" s="39"/>
      <c r="GU105" s="39"/>
      <c r="GV105" s="39"/>
      <c r="GW105" s="39"/>
      <c r="GX105" s="41" t="b">
        <f aca="false">TRUE()</f>
        <v>1</v>
      </c>
      <c r="GY105" s="39"/>
      <c r="GZ105" s="39"/>
      <c r="HA105" s="39"/>
      <c r="HB105" s="39"/>
      <c r="HC105" s="39"/>
      <c r="HD105" s="39"/>
      <c r="HE105" s="39"/>
      <c r="HF105" s="39"/>
      <c r="HG105" s="39"/>
      <c r="HH105" s="39"/>
      <c r="HI105" s="39"/>
      <c r="HJ105" s="39"/>
      <c r="HK105" s="41" t="b">
        <f aca="false">TRUE()</f>
        <v>1</v>
      </c>
      <c r="HL105" s="39"/>
      <c r="HM105" s="41" t="b">
        <f aca="false">TRUE()</f>
        <v>1</v>
      </c>
      <c r="HN105" s="39"/>
      <c r="HO105" s="39"/>
      <c r="HP105" s="39"/>
      <c r="HQ105" s="39"/>
      <c r="HR105" s="39"/>
      <c r="HS105" s="39"/>
      <c r="HT105" s="39"/>
      <c r="HU105" s="39"/>
      <c r="HV105" s="39"/>
      <c r="HW105" s="39"/>
      <c r="HX105" s="39"/>
      <c r="HY105" s="39"/>
      <c r="HZ105" s="39"/>
      <c r="IA105" s="39"/>
      <c r="IB105" s="39"/>
      <c r="IC105" s="41" t="b">
        <f aca="false">TRUE()</f>
        <v>1</v>
      </c>
      <c r="ID105" s="39"/>
      <c r="IE105" s="39"/>
      <c r="IF105" s="39"/>
      <c r="IG105" s="39"/>
      <c r="IH105" s="39"/>
      <c r="II105" s="39"/>
      <c r="IJ105" s="39"/>
      <c r="IK105" s="39"/>
      <c r="IL105" s="39"/>
      <c r="IM105" s="39"/>
      <c r="IN105" s="39"/>
      <c r="IO105" s="39"/>
      <c r="IP105" s="39"/>
      <c r="IQ105" s="39"/>
      <c r="IR105" s="39"/>
      <c r="IS105" s="39"/>
      <c r="IT105" s="39"/>
      <c r="IU105" s="39"/>
      <c r="IV105" s="39"/>
      <c r="IW105" s="39"/>
      <c r="IX105" s="39"/>
      <c r="IY105" s="39"/>
      <c r="IZ105" s="39"/>
      <c r="JA105" s="39"/>
      <c r="JB105" s="39"/>
      <c r="JC105" s="39"/>
      <c r="JD105" s="39"/>
      <c r="JE105" s="39"/>
      <c r="JF105" s="39"/>
      <c r="JG105" s="39"/>
      <c r="JH105" s="39"/>
      <c r="JI105" s="39"/>
      <c r="JJ105" s="39"/>
      <c r="JK105" s="39"/>
      <c r="JL105" s="39"/>
      <c r="JM105" s="39"/>
      <c r="JN105" s="39"/>
      <c r="JO105" s="39"/>
      <c r="JP105" s="39"/>
      <c r="JQ105" s="39"/>
      <c r="JR105" s="41" t="b">
        <f aca="false">TRUE()</f>
        <v>1</v>
      </c>
      <c r="JS105" s="39"/>
      <c r="JT105" s="41" t="b">
        <f aca="false">TRUE()</f>
        <v>1</v>
      </c>
      <c r="JU105" s="41" t="b">
        <f aca="false">TRUE()</f>
        <v>1</v>
      </c>
      <c r="JV105" s="39"/>
      <c r="JW105" s="39"/>
      <c r="JX105" s="39"/>
      <c r="JY105" s="39"/>
      <c r="JZ105" s="39"/>
      <c r="KA105" s="39"/>
      <c r="KB105" s="39"/>
      <c r="KC105" s="39"/>
      <c r="KD105" s="39"/>
      <c r="KE105" s="39"/>
      <c r="KF105" s="39"/>
      <c r="KG105" s="39"/>
      <c r="KH105" s="39"/>
      <c r="KI105" s="39"/>
      <c r="KJ105" s="41" t="b">
        <f aca="false">TRUE()</f>
        <v>1</v>
      </c>
      <c r="KK105" s="39"/>
      <c r="KL105" s="39"/>
      <c r="KM105" s="39"/>
      <c r="KN105" s="39"/>
      <c r="KO105" s="39"/>
      <c r="KP105" s="41" t="b">
        <f aca="false">TRUE()</f>
        <v>1</v>
      </c>
      <c r="KQ105" s="39"/>
      <c r="KR105" s="39"/>
      <c r="KS105" s="39"/>
      <c r="KT105" s="41" t="b">
        <f aca="false">TRUE()</f>
        <v>1</v>
      </c>
      <c r="KU105" s="39"/>
    </row>
    <row r="106" customFormat="false" ht="14.4" hidden="false" customHeight="false" outlineLevel="0" collapsed="false">
      <c r="A106" s="37" t="s">
        <v>305</v>
      </c>
      <c r="B106" s="37" t="s">
        <v>2508</v>
      </c>
      <c r="C106" s="37"/>
      <c r="D106" s="37"/>
      <c r="E106" s="37"/>
      <c r="F106" s="37" t="s">
        <v>2509</v>
      </c>
      <c r="G106" s="37" t="s">
        <v>2510</v>
      </c>
      <c r="H106" s="37" t="s">
        <v>1570</v>
      </c>
      <c r="I106" s="37" t="s">
        <v>310</v>
      </c>
      <c r="J106" s="37" t="s">
        <v>311</v>
      </c>
      <c r="K106" s="37"/>
      <c r="L106" s="37"/>
      <c r="M106" s="37"/>
      <c r="N106" s="37"/>
      <c r="O106" s="37"/>
      <c r="P106" s="37" t="s">
        <v>2511</v>
      </c>
      <c r="Q106" s="37" t="s">
        <v>2512</v>
      </c>
      <c r="R106" s="37" t="s">
        <v>2513</v>
      </c>
      <c r="S106" s="37" t="s">
        <v>2514</v>
      </c>
      <c r="T106" s="37" t="s">
        <v>2515</v>
      </c>
      <c r="U106" s="37" t="s">
        <v>2516</v>
      </c>
      <c r="V106" s="37" t="s">
        <v>2517</v>
      </c>
      <c r="W106" s="37" t="s">
        <v>2518</v>
      </c>
      <c r="X106" s="37" t="s">
        <v>2519</v>
      </c>
      <c r="Y106" s="37" t="s">
        <v>2520</v>
      </c>
      <c r="Z106" s="37" t="s">
        <v>2521</v>
      </c>
      <c r="AA106" s="37" t="n">
        <v>46</v>
      </c>
      <c r="AB106" s="37" t="n">
        <v>64</v>
      </c>
      <c r="AC106" s="37" t="n">
        <v>68</v>
      </c>
      <c r="AD106" s="37" t="n">
        <v>5</v>
      </c>
      <c r="AE106" s="37" t="n">
        <v>48</v>
      </c>
      <c r="AF106" s="37" t="s">
        <v>1582</v>
      </c>
      <c r="AG106" s="37" t="s">
        <v>1583</v>
      </c>
      <c r="AH106" s="37" t="s">
        <v>1584</v>
      </c>
      <c r="AI106" s="37" t="s">
        <v>1585</v>
      </c>
      <c r="AJ106" s="37" t="s">
        <v>1586</v>
      </c>
      <c r="AK106" s="37"/>
      <c r="AL106" s="37" t="s">
        <v>1587</v>
      </c>
      <c r="AM106" s="37" t="s">
        <v>1588</v>
      </c>
      <c r="AN106" s="37" t="s">
        <v>2522</v>
      </c>
      <c r="AO106" s="37" t="n">
        <v>2021</v>
      </c>
      <c r="AP106" s="37" t="n">
        <v>25</v>
      </c>
      <c r="AQ106" s="37" t="n">
        <v>2</v>
      </c>
      <c r="AR106" s="37"/>
      <c r="AS106" s="37" t="n">
        <v>603</v>
      </c>
      <c r="AT106" s="37" t="n">
        <v>618</v>
      </c>
      <c r="AU106" s="37"/>
      <c r="AV106" s="37" t="s">
        <v>2523</v>
      </c>
      <c r="AW106" s="37" t="str">
        <f aca="false">HYPERLINK("http://dx.doi.org/10.5194/hess-25-603-2021","http://dx.doi.org/10.5194/hess-25-603-2021")</f>
        <v>http://dx.doi.org/10.5194/hess-25-603-2021</v>
      </c>
      <c r="AX106" s="37"/>
      <c r="AY106" s="37" t="n">
        <v>16</v>
      </c>
      <c r="AZ106" s="37" t="s">
        <v>1591</v>
      </c>
      <c r="BA106" s="37" t="s">
        <v>331</v>
      </c>
      <c r="BB106" s="37" t="s">
        <v>1592</v>
      </c>
      <c r="BC106" s="37" t="s">
        <v>2524</v>
      </c>
      <c r="BD106" s="37"/>
      <c r="BE106" s="37" t="s">
        <v>636</v>
      </c>
      <c r="BF106" s="37" t="s">
        <v>334</v>
      </c>
      <c r="BG106" s="37" t="s">
        <v>2525</v>
      </c>
      <c r="BH106" s="37" t="str">
        <f aca="false">HYPERLINK("https%3A%2F%2Fwww.webofscience.com%2Fwos%2Fwoscc%2Ffull-record%2FWOS:000618978900002","View Full Record in Web of Science")</f>
        <v>View Full Record in Web of Science</v>
      </c>
      <c r="BI106" s="41" t="b">
        <f aca="false">TRUE()</f>
        <v>1</v>
      </c>
      <c r="BJ106" s="39"/>
      <c r="BK106" s="39"/>
      <c r="BL106" s="39"/>
      <c r="BM106" s="39"/>
      <c r="BN106" s="39"/>
      <c r="BO106" s="39"/>
      <c r="BP106" s="39"/>
      <c r="BQ106" s="39"/>
      <c r="BR106" s="41" t="b">
        <f aca="false">TRUE()</f>
        <v>1</v>
      </c>
      <c r="BS106" s="39"/>
      <c r="BT106" s="39"/>
      <c r="BU106" s="39"/>
      <c r="BV106" s="39"/>
      <c r="BW106" s="39"/>
      <c r="BX106" s="39"/>
      <c r="BY106" s="39"/>
      <c r="BZ106" s="39"/>
      <c r="CA106" s="39"/>
      <c r="CB106" s="39"/>
      <c r="CC106" s="39"/>
      <c r="CD106" s="39"/>
      <c r="CE106" s="39"/>
      <c r="CF106" s="39"/>
      <c r="CG106" s="39"/>
      <c r="CH106" s="39"/>
      <c r="CI106" s="41" t="b">
        <f aca="false">TRUE()</f>
        <v>1</v>
      </c>
      <c r="CJ106" s="39"/>
      <c r="CK106" s="39"/>
      <c r="CL106" s="39"/>
      <c r="CM106" s="39"/>
      <c r="CN106" s="39"/>
      <c r="CO106" s="39"/>
      <c r="CP106" s="39"/>
      <c r="CQ106" s="41" t="b">
        <f aca="false">TRUE()</f>
        <v>1</v>
      </c>
      <c r="CR106" s="39"/>
      <c r="CS106" s="39"/>
      <c r="CT106" s="39"/>
      <c r="CU106" s="39"/>
      <c r="CV106" s="41" t="b">
        <f aca="false">TRUE()</f>
        <v>1</v>
      </c>
      <c r="CW106" s="39"/>
      <c r="CX106" s="39"/>
      <c r="CY106" s="39"/>
      <c r="CZ106" s="39"/>
      <c r="DA106" s="39"/>
      <c r="DB106" s="39"/>
      <c r="DC106" s="39"/>
      <c r="DD106" s="39"/>
      <c r="DE106" s="39"/>
      <c r="DF106" s="39"/>
      <c r="DG106" s="39"/>
      <c r="DH106" s="39"/>
      <c r="DI106" s="41" t="b">
        <f aca="false">TRUE()</f>
        <v>1</v>
      </c>
      <c r="DJ106" s="39"/>
      <c r="DK106" s="39"/>
      <c r="DL106" s="39"/>
      <c r="DM106" s="39"/>
      <c r="DN106" s="39"/>
      <c r="DO106" s="39"/>
      <c r="DP106" s="39"/>
      <c r="DQ106" s="39"/>
      <c r="DR106" s="39"/>
      <c r="DS106" s="41" t="b">
        <f aca="false">TRUE()</f>
        <v>1</v>
      </c>
      <c r="DT106" s="41" t="b">
        <f aca="false">TRUE()</f>
        <v>1</v>
      </c>
      <c r="DU106" s="41" t="b">
        <f aca="false">TRUE()</f>
        <v>1</v>
      </c>
      <c r="DV106" s="39"/>
      <c r="DW106" s="39"/>
      <c r="DX106" s="39"/>
      <c r="DY106" s="39"/>
      <c r="DZ106" s="39"/>
      <c r="EA106" s="41" t="b">
        <f aca="false">TRUE()</f>
        <v>1</v>
      </c>
      <c r="EB106" s="39"/>
      <c r="EC106" s="39"/>
      <c r="ED106" s="39"/>
      <c r="EE106" s="39"/>
      <c r="EF106" s="39"/>
      <c r="EG106" s="39"/>
      <c r="EH106" s="39"/>
      <c r="EI106" s="41" t="b">
        <f aca="false">TRUE()</f>
        <v>1</v>
      </c>
      <c r="EJ106" s="39"/>
      <c r="EK106" s="39"/>
      <c r="EL106" s="39"/>
      <c r="EM106" s="39"/>
      <c r="EN106" s="39"/>
      <c r="EO106" s="39"/>
      <c r="EP106" s="39"/>
      <c r="EQ106" s="39"/>
      <c r="ER106" s="39"/>
      <c r="ES106" s="39"/>
      <c r="ET106" s="39"/>
      <c r="EU106" s="39"/>
      <c r="EV106" s="39"/>
      <c r="EW106" s="39"/>
      <c r="EX106" s="41" t="b">
        <f aca="false">TRUE()</f>
        <v>1</v>
      </c>
      <c r="EY106" s="41" t="b">
        <f aca="false">TRUE()</f>
        <v>1</v>
      </c>
      <c r="EZ106" s="39"/>
      <c r="FA106" s="39"/>
      <c r="FB106" s="39"/>
      <c r="FC106" s="39"/>
      <c r="FD106" s="39"/>
      <c r="FE106" s="39"/>
      <c r="FF106" s="39"/>
      <c r="FG106" s="39"/>
      <c r="FH106" s="39"/>
      <c r="FI106" s="39"/>
      <c r="FJ106" s="39"/>
      <c r="FK106" s="39"/>
      <c r="FL106" s="39"/>
      <c r="FM106" s="39"/>
      <c r="FN106" s="39"/>
      <c r="FO106" s="39"/>
      <c r="FP106" s="39"/>
      <c r="FQ106" s="39"/>
      <c r="FR106" s="39"/>
      <c r="FS106" s="39"/>
      <c r="FT106" s="39"/>
      <c r="FU106" s="39"/>
      <c r="FV106" s="39"/>
      <c r="FW106" s="39"/>
      <c r="FX106" s="39"/>
      <c r="FY106" s="39"/>
      <c r="FZ106" s="39"/>
      <c r="GA106" s="39"/>
      <c r="GB106" s="39"/>
      <c r="GC106" s="39"/>
      <c r="GD106" s="39"/>
      <c r="GE106" s="39"/>
      <c r="GF106" s="39"/>
      <c r="GG106" s="39"/>
      <c r="GH106" s="39"/>
      <c r="GI106" s="39"/>
      <c r="GJ106" s="39"/>
      <c r="GK106" s="39"/>
      <c r="GL106" s="39"/>
      <c r="GM106" s="39"/>
      <c r="GN106" s="39"/>
      <c r="GO106" s="39"/>
      <c r="GP106" s="39"/>
      <c r="GQ106" s="39"/>
      <c r="GR106" s="39"/>
      <c r="GS106" s="39"/>
      <c r="GT106" s="39"/>
      <c r="GU106" s="39"/>
      <c r="GV106" s="39"/>
      <c r="GW106" s="39"/>
      <c r="GX106" s="39"/>
      <c r="GY106" s="39"/>
      <c r="GZ106" s="39"/>
      <c r="HA106" s="39"/>
      <c r="HB106" s="39"/>
      <c r="HC106" s="39"/>
      <c r="HD106" s="39"/>
      <c r="HE106" s="39"/>
      <c r="HF106" s="39"/>
      <c r="HG106" s="39"/>
      <c r="HH106" s="39"/>
      <c r="HI106" s="39"/>
      <c r="HJ106" s="39"/>
      <c r="HK106" s="41" t="b">
        <f aca="false">TRUE()</f>
        <v>1</v>
      </c>
      <c r="HL106" s="39"/>
      <c r="HM106" s="39"/>
      <c r="HN106" s="39"/>
      <c r="HO106" s="39"/>
      <c r="HP106" s="39"/>
      <c r="HQ106" s="39"/>
      <c r="HR106" s="39"/>
      <c r="HS106" s="39"/>
      <c r="HT106" s="39"/>
      <c r="HU106" s="39"/>
      <c r="HV106" s="39"/>
      <c r="HW106" s="39"/>
      <c r="HX106" s="39"/>
      <c r="HY106" s="39"/>
      <c r="HZ106" s="39"/>
      <c r="IA106" s="39"/>
      <c r="IB106" s="39"/>
      <c r="IC106" s="39"/>
      <c r="ID106" s="39"/>
      <c r="IE106" s="39"/>
      <c r="IF106" s="39"/>
      <c r="IG106" s="39"/>
      <c r="IH106" s="39"/>
      <c r="II106" s="39"/>
      <c r="IJ106" s="39"/>
      <c r="IK106" s="39"/>
      <c r="IL106" s="39"/>
      <c r="IM106" s="39"/>
      <c r="IN106" s="39"/>
      <c r="IO106" s="39"/>
      <c r="IP106" s="39"/>
      <c r="IQ106" s="39"/>
      <c r="IR106" s="39"/>
      <c r="IS106" s="39"/>
      <c r="IT106" s="39"/>
      <c r="IU106" s="39"/>
      <c r="IV106" s="39"/>
      <c r="IW106" s="39"/>
      <c r="IX106" s="41" t="b">
        <f aca="false">TRUE()</f>
        <v>1</v>
      </c>
      <c r="IY106" s="39"/>
      <c r="IZ106" s="39"/>
      <c r="JA106" s="39"/>
      <c r="JB106" s="39"/>
      <c r="JC106" s="39"/>
      <c r="JD106" s="39"/>
      <c r="JE106" s="39"/>
      <c r="JF106" s="39"/>
      <c r="JG106" s="39"/>
      <c r="JH106" s="39"/>
      <c r="JI106" s="39"/>
      <c r="JJ106" s="39"/>
      <c r="JK106" s="39"/>
      <c r="JL106" s="39"/>
      <c r="JM106" s="39"/>
      <c r="JN106" s="39"/>
      <c r="JO106" s="39"/>
      <c r="JP106" s="39"/>
      <c r="JQ106" s="39"/>
      <c r="JR106" s="41" t="b">
        <f aca="false">TRUE()</f>
        <v>1</v>
      </c>
      <c r="JS106" s="39"/>
      <c r="JT106" s="41" t="b">
        <f aca="false">TRUE()</f>
        <v>1</v>
      </c>
      <c r="JU106" s="39"/>
      <c r="JV106" s="39"/>
      <c r="JW106" s="39"/>
      <c r="JX106" s="39"/>
      <c r="JY106" s="39"/>
      <c r="JZ106" s="39"/>
      <c r="KA106" s="39"/>
      <c r="KB106" s="39"/>
      <c r="KC106" s="39"/>
      <c r="KD106" s="39"/>
      <c r="KE106" s="39"/>
      <c r="KF106" s="39"/>
      <c r="KG106" s="39"/>
      <c r="KH106" s="39"/>
      <c r="KI106" s="39"/>
      <c r="KJ106" s="41" t="b">
        <f aca="false">TRUE()</f>
        <v>1</v>
      </c>
      <c r="KK106" s="39"/>
      <c r="KL106" s="39"/>
      <c r="KM106" s="39"/>
      <c r="KN106" s="39"/>
      <c r="KO106" s="41" t="b">
        <f aca="false">TRUE()</f>
        <v>1</v>
      </c>
      <c r="KP106" s="39"/>
      <c r="KQ106" s="39"/>
      <c r="KR106" s="39"/>
      <c r="KS106" s="39"/>
      <c r="KT106" s="41" t="b">
        <f aca="false">TRUE()</f>
        <v>1</v>
      </c>
      <c r="KU106" s="39"/>
    </row>
    <row r="107" customFormat="false" ht="14.4" hidden="false" customHeight="false" outlineLevel="0" collapsed="false">
      <c r="A107" s="37" t="s">
        <v>305</v>
      </c>
      <c r="B107" s="37" t="s">
        <v>2526</v>
      </c>
      <c r="C107" s="37"/>
      <c r="D107" s="37"/>
      <c r="E107" s="37"/>
      <c r="F107" s="37" t="s">
        <v>2527</v>
      </c>
      <c r="G107" s="37" t="s">
        <v>2528</v>
      </c>
      <c r="H107" s="37" t="s">
        <v>1091</v>
      </c>
      <c r="I107" s="37" t="s">
        <v>310</v>
      </c>
      <c r="J107" s="37" t="s">
        <v>311</v>
      </c>
      <c r="K107" s="37"/>
      <c r="L107" s="37"/>
      <c r="M107" s="37"/>
      <c r="N107" s="37"/>
      <c r="O107" s="37" t="s">
        <v>2529</v>
      </c>
      <c r="P107" s="37" t="s">
        <v>2530</v>
      </c>
      <c r="Q107" s="37" t="s">
        <v>2531</v>
      </c>
      <c r="R107" s="37" t="s">
        <v>2532</v>
      </c>
      <c r="S107" s="37" t="s">
        <v>2533</v>
      </c>
      <c r="T107" s="37" t="s">
        <v>2534</v>
      </c>
      <c r="U107" s="37" t="s">
        <v>2535</v>
      </c>
      <c r="V107" s="37" t="s">
        <v>2536</v>
      </c>
      <c r="W107" s="37" t="s">
        <v>2537</v>
      </c>
      <c r="X107" s="37" t="s">
        <v>2538</v>
      </c>
      <c r="Y107" s="37" t="s">
        <v>2539</v>
      </c>
      <c r="Z107" s="37" t="s">
        <v>2540</v>
      </c>
      <c r="AA107" s="37" t="n">
        <v>41</v>
      </c>
      <c r="AB107" s="37" t="n">
        <v>6</v>
      </c>
      <c r="AC107" s="37" t="n">
        <v>6</v>
      </c>
      <c r="AD107" s="37" t="n">
        <v>5</v>
      </c>
      <c r="AE107" s="37" t="n">
        <v>20</v>
      </c>
      <c r="AF107" s="37" t="s">
        <v>546</v>
      </c>
      <c r="AG107" s="37" t="s">
        <v>547</v>
      </c>
      <c r="AH107" s="37" t="s">
        <v>548</v>
      </c>
      <c r="AI107" s="37"/>
      <c r="AJ107" s="37" t="s">
        <v>1104</v>
      </c>
      <c r="AK107" s="37"/>
      <c r="AL107" s="37" t="s">
        <v>1091</v>
      </c>
      <c r="AM107" s="37" t="s">
        <v>1105</v>
      </c>
      <c r="AN107" s="37" t="s">
        <v>775</v>
      </c>
      <c r="AO107" s="37" t="n">
        <v>2022</v>
      </c>
      <c r="AP107" s="37" t="n">
        <v>12</v>
      </c>
      <c r="AQ107" s="37" t="n">
        <v>5</v>
      </c>
      <c r="AR107" s="37"/>
      <c r="AS107" s="37"/>
      <c r="AT107" s="37"/>
      <c r="AU107" s="37" t="n">
        <v>1081</v>
      </c>
      <c r="AV107" s="37" t="s">
        <v>2541</v>
      </c>
      <c r="AW107" s="37" t="str">
        <f aca="false">HYPERLINK("http://dx.doi.org/10.3390/agronomy12051081","http://dx.doi.org/10.3390/agronomy12051081")</f>
        <v>http://dx.doi.org/10.3390/agronomy12051081</v>
      </c>
      <c r="AX107" s="37"/>
      <c r="AY107" s="37" t="n">
        <v>19</v>
      </c>
      <c r="AZ107" s="37" t="s">
        <v>1107</v>
      </c>
      <c r="BA107" s="37" t="s">
        <v>331</v>
      </c>
      <c r="BB107" s="37" t="s">
        <v>1108</v>
      </c>
      <c r="BC107" s="37" t="s">
        <v>2542</v>
      </c>
      <c r="BD107" s="37"/>
      <c r="BE107" s="37" t="s">
        <v>503</v>
      </c>
      <c r="BF107" s="37" t="s">
        <v>334</v>
      </c>
      <c r="BG107" s="37" t="s">
        <v>2543</v>
      </c>
      <c r="BH107" s="37" t="str">
        <f aca="false">HYPERLINK("https%3A%2F%2Fwww.webofscience.com%2Fwos%2Fwoscc%2Ffull-record%2FWOS:000803233200001","View Full Record in Web of Science")</f>
        <v>View Full Record in Web of Science</v>
      </c>
      <c r="BI107" s="39"/>
      <c r="BJ107" s="39"/>
      <c r="BK107" s="39"/>
      <c r="BL107" s="41" t="b">
        <f aca="false">TRUE()</f>
        <v>1</v>
      </c>
      <c r="BM107" s="39"/>
      <c r="BN107" s="39"/>
      <c r="BO107" s="39"/>
      <c r="BP107" s="39"/>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V107" s="39"/>
      <c r="CW107" s="39"/>
      <c r="CX107" s="39"/>
      <c r="CY107" s="39"/>
      <c r="CZ107" s="39"/>
      <c r="DA107" s="39"/>
      <c r="DB107" s="39"/>
      <c r="DC107" s="39"/>
      <c r="DD107" s="39"/>
      <c r="DE107" s="39"/>
      <c r="DF107" s="39"/>
      <c r="DG107" s="39"/>
      <c r="DH107" s="39"/>
      <c r="DI107" s="39"/>
      <c r="DJ107" s="39"/>
      <c r="DK107" s="39"/>
      <c r="DL107" s="39"/>
      <c r="DM107" s="39"/>
      <c r="DN107" s="39"/>
      <c r="DO107" s="39"/>
      <c r="DP107" s="39"/>
      <c r="DQ107" s="39"/>
      <c r="DR107" s="39"/>
      <c r="DS107" s="39"/>
      <c r="DT107" s="39"/>
      <c r="DU107" s="39"/>
      <c r="DV107" s="39"/>
      <c r="DW107" s="39"/>
      <c r="DX107" s="39"/>
      <c r="DY107" s="39"/>
      <c r="DZ107" s="39"/>
      <c r="EA107" s="41" t="b">
        <f aca="false">TRUE()</f>
        <v>1</v>
      </c>
      <c r="EB107" s="39"/>
      <c r="EC107" s="39"/>
      <c r="ED107" s="39"/>
      <c r="EE107" s="39"/>
      <c r="EF107" s="39"/>
      <c r="EG107" s="39"/>
      <c r="EH107" s="39"/>
      <c r="EI107" s="41" t="b">
        <f aca="false">TRUE()</f>
        <v>1</v>
      </c>
      <c r="EJ107" s="39"/>
      <c r="EK107" s="39"/>
      <c r="EL107" s="39"/>
      <c r="EM107" s="39"/>
      <c r="EN107" s="39"/>
      <c r="EO107" s="39"/>
      <c r="EP107" s="39"/>
      <c r="EQ107" s="39"/>
      <c r="ER107" s="39"/>
      <c r="ES107" s="39"/>
      <c r="ET107" s="39"/>
      <c r="EU107" s="39"/>
      <c r="EV107" s="39"/>
      <c r="EW107" s="39"/>
      <c r="EX107" s="39"/>
      <c r="EY107" s="41" t="b">
        <f aca="false">TRUE()</f>
        <v>1</v>
      </c>
      <c r="EZ107" s="39"/>
      <c r="FA107" s="39"/>
      <c r="FB107" s="39"/>
      <c r="FC107" s="39"/>
      <c r="FD107" s="39"/>
      <c r="FE107" s="39"/>
      <c r="FF107" s="39"/>
      <c r="FG107" s="39"/>
      <c r="FH107" s="39"/>
      <c r="FI107" s="39"/>
      <c r="FJ107" s="39"/>
      <c r="FK107" s="39"/>
      <c r="FL107" s="39"/>
      <c r="FM107" s="39"/>
      <c r="FN107" s="39"/>
      <c r="FO107" s="39"/>
      <c r="FP107" s="39"/>
      <c r="FQ107" s="39"/>
      <c r="FR107" s="39"/>
      <c r="FS107" s="39"/>
      <c r="FT107" s="39"/>
      <c r="FU107" s="39"/>
      <c r="FV107" s="39"/>
      <c r="FW107" s="39"/>
      <c r="FX107" s="39"/>
      <c r="FY107" s="39"/>
      <c r="FZ107" s="39"/>
      <c r="GA107" s="39"/>
      <c r="GB107" s="39"/>
      <c r="GC107" s="39"/>
      <c r="GD107" s="39"/>
      <c r="GE107" s="39"/>
      <c r="GF107" s="39"/>
      <c r="GG107" s="39"/>
      <c r="GH107" s="39"/>
      <c r="GI107" s="39"/>
      <c r="GJ107" s="39"/>
      <c r="GK107" s="39"/>
      <c r="GL107" s="39"/>
      <c r="GM107" s="39"/>
      <c r="GN107" s="39"/>
      <c r="GO107" s="39"/>
      <c r="GP107" s="39"/>
      <c r="GQ107" s="39"/>
      <c r="GR107" s="39"/>
      <c r="GS107" s="39"/>
      <c r="GT107" s="39"/>
      <c r="GU107" s="39"/>
      <c r="GV107" s="39"/>
      <c r="GW107" s="39"/>
      <c r="GX107" s="39"/>
      <c r="GY107" s="39"/>
      <c r="GZ107" s="39"/>
      <c r="HA107" s="39"/>
      <c r="HB107" s="39"/>
      <c r="HC107" s="39"/>
      <c r="HD107" s="39"/>
      <c r="HE107" s="39"/>
      <c r="HF107" s="39"/>
      <c r="HG107" s="39"/>
      <c r="HH107" s="39"/>
      <c r="HI107" s="39"/>
      <c r="HJ107" s="39"/>
      <c r="HK107" s="41" t="b">
        <f aca="false">TRUE()</f>
        <v>1</v>
      </c>
      <c r="HL107" s="39"/>
      <c r="HM107" s="39"/>
      <c r="HN107" s="39"/>
      <c r="HO107" s="39"/>
      <c r="HP107" s="39"/>
      <c r="HQ107" s="39"/>
      <c r="HR107" s="39"/>
      <c r="HS107" s="39"/>
      <c r="HT107" s="39"/>
      <c r="HU107" s="39"/>
      <c r="HV107" s="39"/>
      <c r="HW107" s="39"/>
      <c r="HX107" s="39"/>
      <c r="HY107" s="39"/>
      <c r="HZ107" s="39"/>
      <c r="IA107" s="39"/>
      <c r="IB107" s="39"/>
      <c r="IC107" s="39"/>
      <c r="ID107" s="41" t="b">
        <f aca="false">TRUE()</f>
        <v>1</v>
      </c>
      <c r="IE107" s="39"/>
      <c r="IF107" s="39"/>
      <c r="IG107" s="39"/>
      <c r="IH107" s="39"/>
      <c r="II107" s="39"/>
      <c r="IJ107" s="39"/>
      <c r="IK107" s="39"/>
      <c r="IL107" s="39"/>
      <c r="IM107" s="39"/>
      <c r="IN107" s="39"/>
      <c r="IO107" s="39"/>
      <c r="IP107" s="39"/>
      <c r="IQ107" s="39"/>
      <c r="IR107" s="39"/>
      <c r="IS107" s="39"/>
      <c r="IT107" s="39"/>
      <c r="IU107" s="39"/>
      <c r="IV107" s="39"/>
      <c r="IW107" s="39"/>
      <c r="IX107" s="39"/>
      <c r="IY107" s="39"/>
      <c r="IZ107" s="39"/>
      <c r="JA107" s="39"/>
      <c r="JB107" s="39"/>
      <c r="JC107" s="39"/>
      <c r="JD107" s="39"/>
      <c r="JE107" s="39"/>
      <c r="JF107" s="39"/>
      <c r="JG107" s="39"/>
      <c r="JH107" s="39"/>
      <c r="JI107" s="39"/>
      <c r="JJ107" s="39"/>
      <c r="JK107" s="39"/>
      <c r="JL107" s="39"/>
      <c r="JM107" s="39"/>
      <c r="JN107" s="39"/>
      <c r="JO107" s="39"/>
      <c r="JP107" s="39"/>
      <c r="JQ107" s="39"/>
      <c r="JR107" s="39"/>
      <c r="JS107" s="39"/>
      <c r="JT107" s="41" t="b">
        <f aca="false">TRUE()</f>
        <v>1</v>
      </c>
      <c r="JU107" s="39"/>
      <c r="JV107" s="39"/>
      <c r="JW107" s="39"/>
      <c r="JX107" s="39"/>
      <c r="JY107" s="39"/>
      <c r="JZ107" s="39"/>
      <c r="KA107" s="39"/>
      <c r="KB107" s="39"/>
      <c r="KC107" s="39"/>
      <c r="KD107" s="39"/>
      <c r="KE107" s="39"/>
      <c r="KF107" s="39"/>
      <c r="KG107" s="39"/>
      <c r="KH107" s="39"/>
      <c r="KI107" s="39"/>
      <c r="KJ107" s="39"/>
      <c r="KK107" s="39"/>
      <c r="KL107" s="39"/>
      <c r="KM107" s="39"/>
      <c r="KN107" s="39"/>
      <c r="KO107" s="39"/>
      <c r="KP107" s="39"/>
      <c r="KQ107" s="41" t="b">
        <f aca="false">TRUE()</f>
        <v>1</v>
      </c>
      <c r="KR107" s="39"/>
      <c r="KS107" s="39"/>
      <c r="KT107" s="41" t="b">
        <f aca="false">TRUE()</f>
        <v>1</v>
      </c>
      <c r="KU107" s="39"/>
    </row>
    <row r="108" customFormat="false" ht="14.4" hidden="false" customHeight="false" outlineLevel="0" collapsed="false">
      <c r="A108" s="45" t="s">
        <v>505</v>
      </c>
      <c r="B108" s="45" t="s">
        <v>2544</v>
      </c>
      <c r="C108" s="45"/>
      <c r="D108" s="45" t="s">
        <v>2545</v>
      </c>
      <c r="E108" s="45"/>
      <c r="F108" s="45" t="s">
        <v>2546</v>
      </c>
      <c r="G108" s="45" t="s">
        <v>2547</v>
      </c>
      <c r="H108" s="45" t="s">
        <v>2548</v>
      </c>
      <c r="I108" s="45" t="s">
        <v>310</v>
      </c>
      <c r="J108" s="45" t="s">
        <v>511</v>
      </c>
      <c r="K108" s="45" t="s">
        <v>2549</v>
      </c>
      <c r="L108" s="45" t="s">
        <v>2550</v>
      </c>
      <c r="M108" s="45" t="s">
        <v>1289</v>
      </c>
      <c r="N108" s="45" t="s">
        <v>2551</v>
      </c>
      <c r="O108" s="45" t="s">
        <v>2552</v>
      </c>
      <c r="P108" s="45" t="s">
        <v>2553</v>
      </c>
      <c r="Q108" s="45" t="s">
        <v>2554</v>
      </c>
      <c r="R108" s="45" t="s">
        <v>2555</v>
      </c>
      <c r="S108" s="45" t="s">
        <v>2556</v>
      </c>
      <c r="T108" s="45" t="s">
        <v>2557</v>
      </c>
      <c r="U108" s="45" t="s">
        <v>2558</v>
      </c>
      <c r="V108" s="45" t="s">
        <v>2559</v>
      </c>
      <c r="W108" s="45" t="s">
        <v>2560</v>
      </c>
      <c r="X108" s="45"/>
      <c r="Y108" s="45"/>
      <c r="Z108" s="45"/>
      <c r="AA108" s="45" t="n">
        <v>19</v>
      </c>
      <c r="AB108" s="45" t="n">
        <v>0</v>
      </c>
      <c r="AC108" s="45" t="n">
        <v>0</v>
      </c>
      <c r="AD108" s="45" t="n">
        <v>0</v>
      </c>
      <c r="AE108" s="45" t="n">
        <v>9</v>
      </c>
      <c r="AF108" s="45" t="s">
        <v>1302</v>
      </c>
      <c r="AG108" s="45" t="s">
        <v>1303</v>
      </c>
      <c r="AH108" s="45" t="s">
        <v>1304</v>
      </c>
      <c r="AI108" s="45" t="s">
        <v>1305</v>
      </c>
      <c r="AJ108" s="45" t="s">
        <v>1306</v>
      </c>
      <c r="AK108" s="45" t="s">
        <v>2561</v>
      </c>
      <c r="AL108" s="45" t="s">
        <v>1308</v>
      </c>
      <c r="AM108" s="45"/>
      <c r="AN108" s="45"/>
      <c r="AO108" s="45" t="n">
        <v>2021</v>
      </c>
      <c r="AP108" s="45" t="n">
        <v>11352</v>
      </c>
      <c r="AQ108" s="45"/>
      <c r="AR108" s="45"/>
      <c r="AS108" s="45"/>
      <c r="AT108" s="45"/>
      <c r="AU108" s="45" t="s">
        <v>2562</v>
      </c>
      <c r="AV108" s="45" t="s">
        <v>2563</v>
      </c>
      <c r="AW108" s="45" t="str">
        <f aca="false">HYPERLINK("http://dx.doi.org/10.1117/12.2556682","http://dx.doi.org/10.1117/12.2556682")</f>
        <v>http://dx.doi.org/10.1117/12.2556682</v>
      </c>
      <c r="AX108" s="45"/>
      <c r="AY108" s="45" t="n">
        <v>7</v>
      </c>
      <c r="AZ108" s="45" t="s">
        <v>2564</v>
      </c>
      <c r="BA108" s="45" t="s">
        <v>530</v>
      </c>
      <c r="BB108" s="45" t="s">
        <v>2565</v>
      </c>
      <c r="BC108" s="45" t="s">
        <v>2566</v>
      </c>
      <c r="BD108" s="45"/>
      <c r="BE108" s="45"/>
      <c r="BF108" s="45" t="s">
        <v>334</v>
      </c>
      <c r="BG108" s="45" t="s">
        <v>2567</v>
      </c>
      <c r="BH108" s="45" t="str">
        <f aca="false">HYPERLINK("https%3A%2F%2Fwww.webofscience.com%2Fwos%2Fwoscc%2Ffull-record%2FWOS:000671885800040","View Full Record in Web of Science")</f>
        <v>View Full Record in Web of Science</v>
      </c>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52" t="b">
        <f aca="false">TRUE()</f>
        <v>1</v>
      </c>
      <c r="DW108" s="47"/>
      <c r="DX108" s="47"/>
      <c r="DY108" s="47"/>
      <c r="DZ108" s="47"/>
      <c r="EA108" s="47"/>
      <c r="EB108" s="47"/>
      <c r="EC108" s="47"/>
      <c r="ED108" s="47"/>
      <c r="EE108" s="47"/>
      <c r="EF108" s="47"/>
      <c r="EG108" s="47"/>
      <c r="EH108" s="47"/>
      <c r="EI108" s="47"/>
      <c r="EJ108" s="47"/>
      <c r="EK108" s="47"/>
      <c r="EL108" s="47"/>
      <c r="EM108" s="47"/>
      <c r="EN108" s="47"/>
      <c r="EO108" s="47"/>
      <c r="EP108" s="47"/>
      <c r="EQ108" s="47"/>
      <c r="ER108" s="47"/>
      <c r="ES108" s="47"/>
      <c r="ET108" s="47"/>
      <c r="EU108" s="47"/>
      <c r="EV108" s="47"/>
      <c r="EW108" s="47"/>
      <c r="EX108" s="47"/>
      <c r="EY108" s="47"/>
      <c r="EZ108" s="47"/>
      <c r="FA108" s="47"/>
      <c r="FB108" s="47"/>
      <c r="FC108" s="47"/>
      <c r="FD108" s="47"/>
      <c r="FE108" s="47"/>
      <c r="FF108" s="52" t="b">
        <f aca="false">TRUE()</f>
        <v>1</v>
      </c>
      <c r="FG108" s="47"/>
      <c r="FH108" s="47"/>
      <c r="FI108" s="47"/>
      <c r="FJ108" s="47"/>
      <c r="FK108" s="47"/>
      <c r="FL108" s="47"/>
      <c r="FM108" s="47"/>
      <c r="FN108" s="47"/>
      <c r="FO108" s="47"/>
      <c r="FP108" s="47"/>
      <c r="FQ108" s="47"/>
      <c r="FR108" s="47"/>
      <c r="FS108" s="47"/>
      <c r="FT108" s="47"/>
      <c r="FU108" s="47"/>
      <c r="FV108" s="47"/>
      <c r="FW108" s="47"/>
      <c r="FX108" s="47"/>
      <c r="FY108" s="47"/>
      <c r="FZ108" s="47"/>
      <c r="GA108" s="47"/>
      <c r="GB108" s="47"/>
      <c r="GC108" s="47"/>
      <c r="GD108" s="47"/>
      <c r="GE108" s="47"/>
      <c r="GF108" s="47"/>
      <c r="GG108" s="47"/>
      <c r="GH108" s="47"/>
      <c r="GI108" s="47"/>
      <c r="GJ108" s="47"/>
      <c r="GK108" s="47"/>
      <c r="GL108" s="47"/>
      <c r="GM108" s="47"/>
      <c r="GN108" s="47"/>
      <c r="GO108" s="47"/>
      <c r="GP108" s="47"/>
      <c r="GQ108" s="47"/>
      <c r="GR108" s="47"/>
      <c r="GS108" s="47"/>
      <c r="GT108" s="47"/>
      <c r="GU108" s="47"/>
      <c r="GV108" s="47"/>
      <c r="GW108" s="47"/>
      <c r="GX108" s="47"/>
      <c r="GY108" s="47"/>
      <c r="GZ108" s="47"/>
      <c r="HA108" s="47"/>
      <c r="HB108" s="47"/>
      <c r="HC108" s="47"/>
      <c r="HD108" s="47"/>
      <c r="HE108" s="47"/>
      <c r="HF108" s="47"/>
      <c r="HG108" s="47"/>
      <c r="HH108" s="47"/>
      <c r="HI108" s="47"/>
      <c r="HJ108" s="47"/>
      <c r="HK108" s="52" t="b">
        <f aca="false">TRUE()</f>
        <v>1</v>
      </c>
      <c r="HL108" s="47"/>
      <c r="HM108" s="47"/>
      <c r="HN108" s="47"/>
      <c r="HO108" s="47"/>
      <c r="HP108" s="47"/>
      <c r="HQ108" s="47"/>
      <c r="HR108" s="47"/>
      <c r="HS108" s="47"/>
      <c r="HT108" s="47"/>
      <c r="HU108" s="47"/>
      <c r="HV108" s="47"/>
      <c r="HW108" s="47"/>
      <c r="HX108" s="47"/>
      <c r="HY108" s="47"/>
      <c r="HZ108" s="47"/>
      <c r="IA108" s="47"/>
      <c r="IB108" s="47"/>
      <c r="IC108" s="47"/>
      <c r="ID108" s="47"/>
      <c r="IE108" s="47"/>
      <c r="IF108" s="52" t="b">
        <f aca="false">TRUE()</f>
        <v>1</v>
      </c>
      <c r="IG108" s="47"/>
      <c r="IH108" s="47"/>
      <c r="II108" s="47"/>
      <c r="IJ108" s="47"/>
      <c r="IK108" s="47"/>
      <c r="IL108" s="47"/>
      <c r="IM108" s="47"/>
      <c r="IN108" s="47"/>
      <c r="IO108" s="47"/>
      <c r="IP108" s="47"/>
      <c r="IQ108" s="47"/>
      <c r="IR108" s="47"/>
      <c r="IS108" s="47"/>
      <c r="IT108" s="47"/>
      <c r="IU108" s="47"/>
      <c r="IV108" s="47"/>
      <c r="IW108" s="47"/>
      <c r="IX108" s="47"/>
      <c r="IY108" s="47"/>
      <c r="IZ108" s="47"/>
      <c r="JA108" s="47"/>
      <c r="JB108" s="47"/>
      <c r="JC108" s="47"/>
      <c r="JD108" s="47"/>
      <c r="JE108" s="47"/>
      <c r="JF108" s="47"/>
      <c r="JG108" s="47"/>
      <c r="JH108" s="47"/>
      <c r="JI108" s="47"/>
      <c r="JJ108" s="47"/>
      <c r="JK108" s="47"/>
      <c r="JL108" s="47"/>
      <c r="JM108" s="47"/>
      <c r="JN108" s="47"/>
      <c r="JO108" s="47"/>
      <c r="JP108" s="47"/>
      <c r="JQ108" s="47"/>
      <c r="JR108" s="47"/>
      <c r="JS108" s="47"/>
      <c r="JT108" s="52" t="b">
        <f aca="false">TRUE()</f>
        <v>1</v>
      </c>
      <c r="JU108" s="52" t="b">
        <f aca="false">TRUE()</f>
        <v>1</v>
      </c>
      <c r="JV108" s="47"/>
      <c r="JW108" s="47"/>
      <c r="JX108" s="47"/>
      <c r="JY108" s="47"/>
      <c r="JZ108" s="47"/>
      <c r="KA108" s="47"/>
      <c r="KB108" s="47"/>
      <c r="KC108" s="47"/>
      <c r="KD108" s="47"/>
      <c r="KE108" s="47"/>
      <c r="KF108" s="47"/>
      <c r="KG108" s="47"/>
      <c r="KH108" s="47"/>
      <c r="KI108" s="47"/>
      <c r="KJ108" s="47"/>
      <c r="KK108" s="47"/>
      <c r="KL108" s="47"/>
      <c r="KM108" s="47"/>
      <c r="KN108" s="47"/>
      <c r="KO108" s="47"/>
      <c r="KP108" s="47"/>
      <c r="KQ108" s="52" t="b">
        <f aca="false">TRUE()</f>
        <v>1</v>
      </c>
      <c r="KR108" s="47"/>
      <c r="KS108" s="47"/>
      <c r="KT108" s="52" t="b">
        <f aca="false">TRUE()</f>
        <v>1</v>
      </c>
      <c r="KU108" s="47"/>
    </row>
    <row r="109" customFormat="false" ht="14.4" hidden="false" customHeight="false" outlineLevel="0" collapsed="false">
      <c r="A109" s="37" t="s">
        <v>305</v>
      </c>
      <c r="B109" s="37" t="s">
        <v>2568</v>
      </c>
      <c r="C109" s="37"/>
      <c r="D109" s="37"/>
      <c r="E109" s="37"/>
      <c r="F109" s="37" t="s">
        <v>2569</v>
      </c>
      <c r="G109" s="37" t="s">
        <v>2570</v>
      </c>
      <c r="H109" s="37" t="s">
        <v>1453</v>
      </c>
      <c r="I109" s="37" t="s">
        <v>310</v>
      </c>
      <c r="J109" s="37" t="s">
        <v>311</v>
      </c>
      <c r="K109" s="37"/>
      <c r="L109" s="37"/>
      <c r="M109" s="37"/>
      <c r="N109" s="37"/>
      <c r="O109" s="37" t="s">
        <v>2571</v>
      </c>
      <c r="P109" s="37" t="s">
        <v>2572</v>
      </c>
      <c r="Q109" s="37" t="s">
        <v>2573</v>
      </c>
      <c r="R109" s="37" t="s">
        <v>2574</v>
      </c>
      <c r="S109" s="37" t="s">
        <v>2575</v>
      </c>
      <c r="T109" s="37" t="s">
        <v>2576</v>
      </c>
      <c r="U109" s="37" t="s">
        <v>2577</v>
      </c>
      <c r="V109" s="37" t="s">
        <v>2578</v>
      </c>
      <c r="W109" s="37" t="s">
        <v>2579</v>
      </c>
      <c r="X109" s="37" t="s">
        <v>2580</v>
      </c>
      <c r="Y109" s="37" t="s">
        <v>2581</v>
      </c>
      <c r="Z109" s="37" t="s">
        <v>2582</v>
      </c>
      <c r="AA109" s="37" t="n">
        <v>113</v>
      </c>
      <c r="AB109" s="37" t="n">
        <v>41</v>
      </c>
      <c r="AC109" s="37" t="n">
        <v>43</v>
      </c>
      <c r="AD109" s="37" t="n">
        <v>10</v>
      </c>
      <c r="AE109" s="37" t="n">
        <v>78</v>
      </c>
      <c r="AF109" s="37" t="s">
        <v>546</v>
      </c>
      <c r="AG109" s="37" t="s">
        <v>547</v>
      </c>
      <c r="AH109" s="37" t="s">
        <v>2583</v>
      </c>
      <c r="AI109" s="37"/>
      <c r="AJ109" s="37" t="s">
        <v>1465</v>
      </c>
      <c r="AK109" s="37"/>
      <c r="AL109" s="37" t="s">
        <v>1466</v>
      </c>
      <c r="AM109" s="37" t="s">
        <v>1467</v>
      </c>
      <c r="AN109" s="37" t="s">
        <v>1046</v>
      </c>
      <c r="AO109" s="37" t="n">
        <v>2022</v>
      </c>
      <c r="AP109" s="37" t="n">
        <v>14</v>
      </c>
      <c r="AQ109" s="37" t="n">
        <v>3</v>
      </c>
      <c r="AR109" s="37"/>
      <c r="AS109" s="37"/>
      <c r="AT109" s="37"/>
      <c r="AU109" s="37" t="n">
        <v>638</v>
      </c>
      <c r="AV109" s="37" t="s">
        <v>2584</v>
      </c>
      <c r="AW109" s="37" t="str">
        <f aca="false">HYPERLINK("http://dx.doi.org/10.3390/rs14030638","http://dx.doi.org/10.3390/rs14030638")</f>
        <v>http://dx.doi.org/10.3390/rs14030638</v>
      </c>
      <c r="AX109" s="37"/>
      <c r="AY109" s="37" t="n">
        <v>43</v>
      </c>
      <c r="AZ109" s="37" t="s">
        <v>1469</v>
      </c>
      <c r="BA109" s="37" t="s">
        <v>331</v>
      </c>
      <c r="BB109" s="37" t="s">
        <v>1470</v>
      </c>
      <c r="BC109" s="37" t="s">
        <v>2585</v>
      </c>
      <c r="BD109" s="37"/>
      <c r="BE109" s="37" t="s">
        <v>1547</v>
      </c>
      <c r="BF109" s="37" t="s">
        <v>334</v>
      </c>
      <c r="BG109" s="37" t="s">
        <v>2586</v>
      </c>
      <c r="BH109" s="37" t="str">
        <f aca="false">HYPERLINK("https%3A%2F%2Fwww.webofscience.com%2Fwos%2Fwoscc%2Ffull-record%2FWOS:000754564200001","View Full Record in Web of Science")</f>
        <v>View Full Record in Web of Science</v>
      </c>
      <c r="BI109" s="39"/>
      <c r="BJ109" s="39"/>
      <c r="BK109" s="39"/>
      <c r="BL109" s="39"/>
      <c r="BM109" s="39"/>
      <c r="BN109" s="39"/>
      <c r="BO109" s="39"/>
      <c r="BP109" s="39"/>
      <c r="BQ109" s="39"/>
      <c r="BR109" s="41" t="b">
        <f aca="false">TRUE()</f>
        <v>1</v>
      </c>
      <c r="BS109" s="41" t="b">
        <f aca="false">TRUE()</f>
        <v>1</v>
      </c>
      <c r="BT109" s="39"/>
      <c r="BU109" s="39"/>
      <c r="BV109" s="39"/>
      <c r="BW109" s="39"/>
      <c r="BX109" s="39"/>
      <c r="BY109" s="41" t="b">
        <f aca="false">TRUE()</f>
        <v>1</v>
      </c>
      <c r="BZ109" s="41" t="b">
        <f aca="false">TRUE()</f>
        <v>1</v>
      </c>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c r="CW109" s="39"/>
      <c r="CX109" s="39"/>
      <c r="CY109" s="39"/>
      <c r="CZ109" s="39"/>
      <c r="DA109" s="39"/>
      <c r="DB109" s="39"/>
      <c r="DC109" s="39"/>
      <c r="DD109" s="39"/>
      <c r="DE109" s="39"/>
      <c r="DF109" s="39"/>
      <c r="DG109" s="39"/>
      <c r="DH109" s="39"/>
      <c r="DI109" s="39"/>
      <c r="DJ109" s="39"/>
      <c r="DK109" s="39"/>
      <c r="DL109" s="39"/>
      <c r="DM109" s="39"/>
      <c r="DN109" s="39"/>
      <c r="DO109" s="39"/>
      <c r="DP109" s="39"/>
      <c r="DQ109" s="39"/>
      <c r="DR109" s="39"/>
      <c r="DS109" s="39"/>
      <c r="DT109" s="39"/>
      <c r="DU109" s="39"/>
      <c r="DV109" s="41" t="b">
        <f aca="false">TRUE()</f>
        <v>1</v>
      </c>
      <c r="DW109" s="39"/>
      <c r="DX109" s="39"/>
      <c r="DY109" s="39"/>
      <c r="DZ109" s="39"/>
      <c r="EA109" s="41" t="b">
        <f aca="false">TRUE()</f>
        <v>1</v>
      </c>
      <c r="EB109" s="41" t="b">
        <f aca="false">TRUE()</f>
        <v>1</v>
      </c>
      <c r="EC109" s="39"/>
      <c r="ED109" s="39"/>
      <c r="EE109" s="39"/>
      <c r="EF109" s="39"/>
      <c r="EG109" s="39"/>
      <c r="EH109" s="39"/>
      <c r="EI109" s="41" t="b">
        <f aca="false">TRUE()</f>
        <v>1</v>
      </c>
      <c r="EJ109" s="39"/>
      <c r="EK109" s="39"/>
      <c r="EL109" s="39"/>
      <c r="EM109" s="39"/>
      <c r="EN109" s="39"/>
      <c r="EO109" s="39"/>
      <c r="EP109" s="39"/>
      <c r="EQ109" s="39"/>
      <c r="ER109" s="39"/>
      <c r="ES109" s="39"/>
      <c r="ET109" s="39"/>
      <c r="EU109" s="39"/>
      <c r="EV109" s="39"/>
      <c r="EW109" s="39"/>
      <c r="EX109" s="41" t="b">
        <f aca="false">TRUE()</f>
        <v>1</v>
      </c>
      <c r="EY109" s="41" t="b">
        <f aca="false">TRUE()</f>
        <v>1</v>
      </c>
      <c r="EZ109" s="39"/>
      <c r="FA109" s="39"/>
      <c r="FB109" s="39"/>
      <c r="FC109" s="39"/>
      <c r="FD109" s="39"/>
      <c r="FE109" s="39"/>
      <c r="FF109" s="41" t="b">
        <f aca="false">TRUE()</f>
        <v>1</v>
      </c>
      <c r="FG109" s="41" t="b">
        <f aca="false">TRUE()</f>
        <v>1</v>
      </c>
      <c r="FH109" s="39"/>
      <c r="FI109" s="41" t="b">
        <f aca="false">TRUE()</f>
        <v>1</v>
      </c>
      <c r="FJ109" s="41" t="b">
        <f aca="false">TRUE()</f>
        <v>1</v>
      </c>
      <c r="FK109" s="39"/>
      <c r="FL109" s="39"/>
      <c r="FM109" s="41" t="b">
        <f aca="false">TRUE()</f>
        <v>1</v>
      </c>
      <c r="FN109" s="39"/>
      <c r="FO109" s="39"/>
      <c r="FP109" s="39"/>
      <c r="FQ109" s="39"/>
      <c r="FR109" s="39"/>
      <c r="FS109" s="39"/>
      <c r="FT109" s="39"/>
      <c r="FU109" s="39"/>
      <c r="FV109" s="39"/>
      <c r="FW109" s="39"/>
      <c r="FX109" s="39"/>
      <c r="FY109" s="39"/>
      <c r="FZ109" s="39"/>
      <c r="GA109" s="39"/>
      <c r="GB109" s="39"/>
      <c r="GC109" s="39"/>
      <c r="GD109" s="39"/>
      <c r="GE109" s="39"/>
      <c r="GF109" s="39"/>
      <c r="GG109" s="39"/>
      <c r="GH109" s="39"/>
      <c r="GI109" s="39"/>
      <c r="GJ109" s="39"/>
      <c r="GK109" s="39"/>
      <c r="GL109" s="39"/>
      <c r="GM109" s="39"/>
      <c r="GN109" s="39"/>
      <c r="GO109" s="39"/>
      <c r="GP109" s="39"/>
      <c r="GQ109" s="39"/>
      <c r="GR109" s="39"/>
      <c r="GS109" s="39"/>
      <c r="GT109" s="39"/>
      <c r="GU109" s="39"/>
      <c r="GV109" s="39"/>
      <c r="GW109" s="41" t="b">
        <f aca="false">TRUE()</f>
        <v>1</v>
      </c>
      <c r="GX109" s="39"/>
      <c r="GY109" s="39"/>
      <c r="GZ109" s="39"/>
      <c r="HA109" s="39"/>
      <c r="HB109" s="39"/>
      <c r="HC109" s="39"/>
      <c r="HD109" s="39"/>
      <c r="HE109" s="39"/>
      <c r="HF109" s="39"/>
      <c r="HG109" s="39"/>
      <c r="HH109" s="39"/>
      <c r="HI109" s="39"/>
      <c r="HJ109" s="39"/>
      <c r="HK109" s="39"/>
      <c r="HL109" s="39"/>
      <c r="HM109" s="39"/>
      <c r="HN109" s="39"/>
      <c r="HO109" s="39"/>
      <c r="HP109" s="39"/>
      <c r="HQ109" s="39"/>
      <c r="HR109" s="39"/>
      <c r="HS109" s="39"/>
      <c r="HT109" s="39"/>
      <c r="HU109" s="39"/>
      <c r="HV109" s="39"/>
      <c r="HW109" s="39"/>
      <c r="HX109" s="39"/>
      <c r="HY109" s="39"/>
      <c r="HZ109" s="39"/>
      <c r="IA109" s="39"/>
      <c r="IB109" s="39"/>
      <c r="IC109" s="39"/>
      <c r="ID109" s="39"/>
      <c r="IE109" s="39"/>
      <c r="IF109" s="39"/>
      <c r="IG109" s="39"/>
      <c r="IH109" s="39"/>
      <c r="II109" s="39"/>
      <c r="IJ109" s="39"/>
      <c r="IK109" s="39"/>
      <c r="IL109" s="39"/>
      <c r="IM109" s="39"/>
      <c r="IN109" s="39"/>
      <c r="IO109" s="39"/>
      <c r="IP109" s="39"/>
      <c r="IQ109" s="39"/>
      <c r="IR109" s="39"/>
      <c r="IS109" s="39"/>
      <c r="IT109" s="39"/>
      <c r="IU109" s="39"/>
      <c r="IV109" s="39"/>
      <c r="IW109" s="39"/>
      <c r="IX109" s="39"/>
      <c r="IY109" s="39"/>
      <c r="IZ109" s="39"/>
      <c r="JA109" s="39"/>
      <c r="JB109" s="39"/>
      <c r="JC109" s="39"/>
      <c r="JD109" s="39"/>
      <c r="JE109" s="39"/>
      <c r="JF109" s="39"/>
      <c r="JG109" s="39"/>
      <c r="JH109" s="41" t="b">
        <f aca="false">TRUE()</f>
        <v>1</v>
      </c>
      <c r="JI109" s="39"/>
      <c r="JJ109" s="39"/>
      <c r="JK109" s="39"/>
      <c r="JL109" s="39"/>
      <c r="JM109" s="39"/>
      <c r="JN109" s="39"/>
      <c r="JO109" s="39"/>
      <c r="JP109" s="39"/>
      <c r="JQ109" s="39"/>
      <c r="JR109" s="39"/>
      <c r="JS109" s="39"/>
      <c r="JT109" s="41" t="b">
        <f aca="false">TRUE()</f>
        <v>1</v>
      </c>
      <c r="JU109" s="39"/>
      <c r="JV109" s="39"/>
      <c r="JW109" s="39"/>
      <c r="JX109" s="39"/>
      <c r="JY109" s="39"/>
      <c r="JZ109" s="39"/>
      <c r="KA109" s="39"/>
      <c r="KB109" s="39"/>
      <c r="KC109" s="39"/>
      <c r="KD109" s="39"/>
      <c r="KE109" s="39"/>
      <c r="KF109" s="39"/>
      <c r="KG109" s="39"/>
      <c r="KH109" s="39"/>
      <c r="KI109" s="39"/>
      <c r="KJ109" s="39"/>
      <c r="KK109" s="39"/>
      <c r="KL109" s="39"/>
      <c r="KM109" s="41" t="b">
        <f aca="false">TRUE()</f>
        <v>1</v>
      </c>
      <c r="KN109" s="41" t="b">
        <f aca="false">TRUE()</f>
        <v>1</v>
      </c>
      <c r="KO109" s="41" t="b">
        <f aca="false">TRUE()</f>
        <v>1</v>
      </c>
      <c r="KP109" s="41" t="b">
        <f aca="false">TRUE()</f>
        <v>1</v>
      </c>
      <c r="KQ109" s="39"/>
      <c r="KR109" s="39"/>
      <c r="KS109" s="39"/>
      <c r="KT109" s="39"/>
      <c r="KU109" s="41" t="b">
        <f aca="false">TRUE()</f>
        <v>1</v>
      </c>
    </row>
    <row r="110" customFormat="false" ht="14.4" hidden="false" customHeight="false" outlineLevel="0" collapsed="false">
      <c r="A110" s="37" t="s">
        <v>305</v>
      </c>
      <c r="B110" s="37" t="s">
        <v>2587</v>
      </c>
      <c r="C110" s="37"/>
      <c r="D110" s="37"/>
      <c r="E110" s="37"/>
      <c r="F110" s="37" t="s">
        <v>2588</v>
      </c>
      <c r="G110" s="37" t="s">
        <v>2589</v>
      </c>
      <c r="H110" s="37" t="s">
        <v>2590</v>
      </c>
      <c r="I110" s="37" t="s">
        <v>310</v>
      </c>
      <c r="J110" s="37" t="s">
        <v>311</v>
      </c>
      <c r="K110" s="37"/>
      <c r="L110" s="37"/>
      <c r="M110" s="37"/>
      <c r="N110" s="37"/>
      <c r="O110" s="37" t="s">
        <v>2591</v>
      </c>
      <c r="P110" s="37" t="s">
        <v>2592</v>
      </c>
      <c r="Q110" s="37" t="s">
        <v>2593</v>
      </c>
      <c r="R110" s="37" t="s">
        <v>2594</v>
      </c>
      <c r="S110" s="37" t="s">
        <v>2595</v>
      </c>
      <c r="T110" s="37" t="s">
        <v>694</v>
      </c>
      <c r="U110" s="37" t="s">
        <v>647</v>
      </c>
      <c r="V110" s="37" t="s">
        <v>2596</v>
      </c>
      <c r="W110" s="37" t="s">
        <v>2597</v>
      </c>
      <c r="X110" s="37" t="s">
        <v>697</v>
      </c>
      <c r="Y110" s="37" t="s">
        <v>698</v>
      </c>
      <c r="Z110" s="37" t="s">
        <v>2598</v>
      </c>
      <c r="AA110" s="37" t="n">
        <v>107</v>
      </c>
      <c r="AB110" s="37" t="n">
        <v>20</v>
      </c>
      <c r="AC110" s="37" t="n">
        <v>21</v>
      </c>
      <c r="AD110" s="37" t="n">
        <v>16</v>
      </c>
      <c r="AE110" s="37" t="n">
        <v>79</v>
      </c>
      <c r="AF110" s="37" t="s">
        <v>353</v>
      </c>
      <c r="AG110" s="37" t="s">
        <v>354</v>
      </c>
      <c r="AH110" s="37" t="s">
        <v>355</v>
      </c>
      <c r="AI110" s="37" t="s">
        <v>2599</v>
      </c>
      <c r="AJ110" s="37" t="s">
        <v>2600</v>
      </c>
      <c r="AK110" s="37"/>
      <c r="AL110" s="37" t="s">
        <v>2601</v>
      </c>
      <c r="AM110" s="37" t="s">
        <v>2602</v>
      </c>
      <c r="AN110" s="37" t="s">
        <v>593</v>
      </c>
      <c r="AO110" s="37" t="n">
        <v>2022</v>
      </c>
      <c r="AP110" s="37" t="n">
        <v>313</v>
      </c>
      <c r="AQ110" s="37"/>
      <c r="AR110" s="37"/>
      <c r="AS110" s="37"/>
      <c r="AT110" s="37"/>
      <c r="AU110" s="37" t="n">
        <v>108769</v>
      </c>
      <c r="AV110" s="37" t="s">
        <v>2603</v>
      </c>
      <c r="AW110" s="37" t="str">
        <f aca="false">HYPERLINK("http://dx.doi.org/10.1016/j.agrformet.2021.108769","http://dx.doi.org/10.1016/j.agrformet.2021.108769")</f>
        <v>http://dx.doi.org/10.1016/j.agrformet.2021.108769</v>
      </c>
      <c r="AX110" s="37"/>
      <c r="AY110" s="37" t="n">
        <v>18</v>
      </c>
      <c r="AZ110" s="37" t="s">
        <v>2604</v>
      </c>
      <c r="BA110" s="37" t="s">
        <v>331</v>
      </c>
      <c r="BB110" s="37" t="s">
        <v>2605</v>
      </c>
      <c r="BC110" s="37" t="s">
        <v>2606</v>
      </c>
      <c r="BD110" s="37"/>
      <c r="BE110" s="37"/>
      <c r="BF110" s="37" t="s">
        <v>334</v>
      </c>
      <c r="BG110" s="37" t="s">
        <v>2607</v>
      </c>
      <c r="BH110" s="37" t="str">
        <f aca="false">HYPERLINK("https%3A%2F%2Fwww.webofscience.com%2Fwos%2Fwoscc%2Ffull-record%2FWOS:000820691000009","View Full Record in Web of Science")</f>
        <v>View Full Record in Web of Science</v>
      </c>
      <c r="BI110" s="41" t="b">
        <f aca="false">TRUE()</f>
        <v>1</v>
      </c>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c r="CW110" s="39"/>
      <c r="CX110" s="39"/>
      <c r="CY110" s="39"/>
      <c r="CZ110" s="39"/>
      <c r="DA110" s="39"/>
      <c r="DB110" s="39"/>
      <c r="DC110" s="39"/>
      <c r="DD110" s="39"/>
      <c r="DE110" s="39"/>
      <c r="DF110" s="39"/>
      <c r="DG110" s="39"/>
      <c r="DH110" s="39"/>
      <c r="DI110" s="39"/>
      <c r="DJ110" s="39"/>
      <c r="DK110" s="39"/>
      <c r="DL110" s="39"/>
      <c r="DM110" s="39"/>
      <c r="DN110" s="39"/>
      <c r="DO110" s="39"/>
      <c r="DP110" s="39"/>
      <c r="DQ110" s="39"/>
      <c r="DR110" s="39"/>
      <c r="DS110" s="39"/>
      <c r="DT110" s="39"/>
      <c r="DU110" s="39"/>
      <c r="DV110" s="39"/>
      <c r="DW110" s="39"/>
      <c r="DX110" s="39"/>
      <c r="DY110" s="39"/>
      <c r="DZ110" s="39"/>
      <c r="EA110" s="41" t="b">
        <f aca="false">TRUE()</f>
        <v>1</v>
      </c>
      <c r="EB110" s="39"/>
      <c r="EC110" s="39"/>
      <c r="ED110" s="39"/>
      <c r="EE110" s="39"/>
      <c r="EF110" s="39"/>
      <c r="EG110" s="39"/>
      <c r="EH110" s="39"/>
      <c r="EI110" s="39"/>
      <c r="EJ110" s="39"/>
      <c r="EK110" s="39"/>
      <c r="EL110" s="39"/>
      <c r="EM110" s="39"/>
      <c r="EN110" s="39"/>
      <c r="EO110" s="39"/>
      <c r="EP110" s="41" t="b">
        <f aca="false">TRUE()</f>
        <v>1</v>
      </c>
      <c r="EQ110" s="41" t="b">
        <f aca="false">TRUE()</f>
        <v>1</v>
      </c>
      <c r="ER110" s="39"/>
      <c r="ES110" s="39"/>
      <c r="ET110" s="39"/>
      <c r="EU110" s="39"/>
      <c r="EV110" s="39"/>
      <c r="EW110" s="39"/>
      <c r="EX110" s="39"/>
      <c r="EY110" s="41" t="b">
        <f aca="false">TRUE()</f>
        <v>1</v>
      </c>
      <c r="EZ110" s="39"/>
      <c r="FA110" s="39"/>
      <c r="FB110" s="39"/>
      <c r="FC110" s="39"/>
      <c r="FD110" s="39"/>
      <c r="FE110" s="39"/>
      <c r="FF110" s="39"/>
      <c r="FG110" s="39"/>
      <c r="FH110" s="39"/>
      <c r="FI110" s="39"/>
      <c r="FJ110" s="39"/>
      <c r="FK110" s="39"/>
      <c r="FL110" s="39"/>
      <c r="FM110" s="39"/>
      <c r="FN110" s="39"/>
      <c r="FO110" s="39"/>
      <c r="FP110" s="39"/>
      <c r="FQ110" s="39"/>
      <c r="FR110" s="39"/>
      <c r="FS110" s="39"/>
      <c r="FT110" s="39"/>
      <c r="FU110" s="39"/>
      <c r="FV110" s="39"/>
      <c r="FW110" s="39"/>
      <c r="FX110" s="39"/>
      <c r="FY110" s="39"/>
      <c r="FZ110" s="39"/>
      <c r="GA110" s="39"/>
      <c r="GB110" s="39"/>
      <c r="GC110" s="39"/>
      <c r="GD110" s="39"/>
      <c r="GE110" s="39"/>
      <c r="GF110" s="39"/>
      <c r="GG110" s="39"/>
      <c r="GH110" s="39"/>
      <c r="GI110" s="39"/>
      <c r="GJ110" s="39"/>
      <c r="GK110" s="39"/>
      <c r="GL110" s="39"/>
      <c r="GM110" s="39"/>
      <c r="GN110" s="39"/>
      <c r="GO110" s="39"/>
      <c r="GP110" s="39"/>
      <c r="GQ110" s="39"/>
      <c r="GR110" s="39"/>
      <c r="GS110" s="39"/>
      <c r="GT110" s="39"/>
      <c r="GU110" s="39"/>
      <c r="GV110" s="39"/>
      <c r="GW110" s="39"/>
      <c r="GX110" s="39"/>
      <c r="GY110" s="39"/>
      <c r="GZ110" s="39"/>
      <c r="HA110" s="39"/>
      <c r="HB110" s="39"/>
      <c r="HC110" s="39"/>
      <c r="HD110" s="39"/>
      <c r="HE110" s="39"/>
      <c r="HF110" s="39"/>
      <c r="HG110" s="39"/>
      <c r="HH110" s="39"/>
      <c r="HI110" s="39"/>
      <c r="HJ110" s="39"/>
      <c r="HK110" s="39"/>
      <c r="HL110" s="39"/>
      <c r="HM110" s="39"/>
      <c r="HN110" s="39"/>
      <c r="HO110" s="39"/>
      <c r="HP110" s="39"/>
      <c r="HQ110" s="39"/>
      <c r="HR110" s="39"/>
      <c r="HS110" s="39"/>
      <c r="HT110" s="39"/>
      <c r="HU110" s="39"/>
      <c r="HV110" s="39"/>
      <c r="HW110" s="39"/>
      <c r="HX110" s="39"/>
      <c r="HY110" s="39"/>
      <c r="HZ110" s="39"/>
      <c r="IA110" s="39"/>
      <c r="IB110" s="39"/>
      <c r="IC110" s="39"/>
      <c r="ID110" s="41" t="b">
        <f aca="false">TRUE()</f>
        <v>1</v>
      </c>
      <c r="IE110" s="39"/>
      <c r="IF110" s="39"/>
      <c r="IG110" s="39"/>
      <c r="IH110" s="39"/>
      <c r="II110" s="39"/>
      <c r="IJ110" s="39"/>
      <c r="IK110" s="39"/>
      <c r="IL110" s="39"/>
      <c r="IM110" s="39"/>
      <c r="IN110" s="39"/>
      <c r="IO110" s="39"/>
      <c r="IP110" s="39"/>
      <c r="IQ110" s="39"/>
      <c r="IR110" s="39"/>
      <c r="IS110" s="39"/>
      <c r="IT110" s="39"/>
      <c r="IU110" s="39"/>
      <c r="IV110" s="39"/>
      <c r="IW110" s="39"/>
      <c r="IX110" s="39"/>
      <c r="IY110" s="39"/>
      <c r="IZ110" s="39"/>
      <c r="JA110" s="39"/>
      <c r="JB110" s="39"/>
      <c r="JC110" s="39"/>
      <c r="JD110" s="39"/>
      <c r="JE110" s="39"/>
      <c r="JF110" s="39"/>
      <c r="JG110" s="39"/>
      <c r="JH110" s="39"/>
      <c r="JI110" s="39"/>
      <c r="JJ110" s="39"/>
      <c r="JK110" s="39"/>
      <c r="JL110" s="39"/>
      <c r="JM110" s="39"/>
      <c r="JN110" s="39"/>
      <c r="JO110" s="39"/>
      <c r="JP110" s="39"/>
      <c r="JQ110" s="39"/>
      <c r="JR110" s="39"/>
      <c r="JS110" s="39"/>
      <c r="JT110" s="41" t="b">
        <f aca="false">TRUE()</f>
        <v>1</v>
      </c>
      <c r="JU110" s="41" t="b">
        <f aca="false">TRUE()</f>
        <v>1</v>
      </c>
      <c r="JV110" s="39"/>
      <c r="JW110" s="39"/>
      <c r="JX110" s="39"/>
      <c r="JY110" s="39"/>
      <c r="JZ110" s="39"/>
      <c r="KA110" s="39"/>
      <c r="KB110" s="39"/>
      <c r="KC110" s="39"/>
      <c r="KD110" s="39"/>
      <c r="KE110" s="39"/>
      <c r="KF110" s="39"/>
      <c r="KG110" s="39"/>
      <c r="KH110" s="39"/>
      <c r="KI110" s="39"/>
      <c r="KJ110" s="39"/>
      <c r="KK110" s="39"/>
      <c r="KL110" s="39"/>
      <c r="KM110" s="39"/>
      <c r="KN110" s="39"/>
      <c r="KO110" s="39"/>
      <c r="KP110" s="39"/>
      <c r="KQ110" s="39"/>
      <c r="KR110" s="39"/>
      <c r="KS110" s="39"/>
      <c r="KT110" s="39"/>
      <c r="KU110" s="39"/>
    </row>
    <row r="111" customFormat="false" ht="14.4" hidden="false" customHeight="false" outlineLevel="0" collapsed="false">
      <c r="A111" s="37" t="s">
        <v>305</v>
      </c>
      <c r="B111" s="37" t="s">
        <v>2608</v>
      </c>
      <c r="C111" s="37"/>
      <c r="D111" s="37"/>
      <c r="E111" s="37"/>
      <c r="F111" s="37" t="s">
        <v>2609</v>
      </c>
      <c r="G111" s="37" t="s">
        <v>2610</v>
      </c>
      <c r="H111" s="37" t="s">
        <v>2611</v>
      </c>
      <c r="I111" s="37" t="s">
        <v>310</v>
      </c>
      <c r="J111" s="37" t="s">
        <v>311</v>
      </c>
      <c r="K111" s="37"/>
      <c r="L111" s="37"/>
      <c r="M111" s="37"/>
      <c r="N111" s="37"/>
      <c r="O111" s="37" t="s">
        <v>2612</v>
      </c>
      <c r="P111" s="37" t="s">
        <v>2613</v>
      </c>
      <c r="Q111" s="37" t="s">
        <v>2614</v>
      </c>
      <c r="R111" s="37" t="s">
        <v>2615</v>
      </c>
      <c r="S111" s="37" t="s">
        <v>2616</v>
      </c>
      <c r="T111" s="37" t="s">
        <v>2617</v>
      </c>
      <c r="U111" s="37" t="s">
        <v>2618</v>
      </c>
      <c r="V111" s="37" t="s">
        <v>2619</v>
      </c>
      <c r="W111" s="37" t="s">
        <v>2620</v>
      </c>
      <c r="X111" s="37"/>
      <c r="Y111" s="37"/>
      <c r="Z111" s="37"/>
      <c r="AA111" s="37" t="n">
        <v>62</v>
      </c>
      <c r="AB111" s="37" t="n">
        <v>10</v>
      </c>
      <c r="AC111" s="37" t="n">
        <v>10</v>
      </c>
      <c r="AD111" s="37" t="n">
        <v>12</v>
      </c>
      <c r="AE111" s="37" t="n">
        <v>45</v>
      </c>
      <c r="AF111" s="37" t="s">
        <v>546</v>
      </c>
      <c r="AG111" s="37" t="s">
        <v>547</v>
      </c>
      <c r="AH111" s="37" t="s">
        <v>548</v>
      </c>
      <c r="AI111" s="37"/>
      <c r="AJ111" s="37" t="s">
        <v>2621</v>
      </c>
      <c r="AK111" s="37"/>
      <c r="AL111" s="37" t="s">
        <v>2622</v>
      </c>
      <c r="AM111" s="37" t="s">
        <v>2623</v>
      </c>
      <c r="AN111" s="37" t="s">
        <v>435</v>
      </c>
      <c r="AO111" s="37" t="n">
        <v>2022</v>
      </c>
      <c r="AP111" s="37" t="n">
        <v>13</v>
      </c>
      <c r="AQ111" s="37" t="n">
        <v>10</v>
      </c>
      <c r="AR111" s="37"/>
      <c r="AS111" s="37"/>
      <c r="AT111" s="37"/>
      <c r="AU111" s="37" t="n">
        <v>1688</v>
      </c>
      <c r="AV111" s="37" t="s">
        <v>2624</v>
      </c>
      <c r="AW111" s="37" t="str">
        <f aca="false">HYPERLINK("http://dx.doi.org/10.3390/atmos13101688","http://dx.doi.org/10.3390/atmos13101688")</f>
        <v>http://dx.doi.org/10.3390/atmos13101688</v>
      </c>
      <c r="AX111" s="37"/>
      <c r="AY111" s="37" t="n">
        <v>19</v>
      </c>
      <c r="AZ111" s="37" t="s">
        <v>2625</v>
      </c>
      <c r="BA111" s="37" t="s">
        <v>331</v>
      </c>
      <c r="BB111" s="37" t="s">
        <v>2626</v>
      </c>
      <c r="BC111" s="37" t="s">
        <v>2627</v>
      </c>
      <c r="BD111" s="37"/>
      <c r="BE111" s="37" t="s">
        <v>503</v>
      </c>
      <c r="BF111" s="37" t="s">
        <v>334</v>
      </c>
      <c r="BG111" s="37" t="s">
        <v>2628</v>
      </c>
      <c r="BH111" s="37" t="str">
        <f aca="false">HYPERLINK("https%3A%2F%2Fwww.webofscience.com%2Fwos%2Fwoscc%2Ffull-record%2FWOS:000872207500001","View Full Record in Web of Science")</f>
        <v>View Full Record in Web of Science</v>
      </c>
      <c r="BI111" s="41" t="b">
        <f aca="false">TRUE()</f>
        <v>1</v>
      </c>
      <c r="BJ111" s="39"/>
      <c r="BK111" s="39"/>
      <c r="BL111" s="39"/>
      <c r="BM111" s="39"/>
      <c r="BN111" s="39"/>
      <c r="BO111" s="39"/>
      <c r="BP111" s="39"/>
      <c r="BQ111" s="39"/>
      <c r="BR111" s="41" t="b">
        <f aca="false">TRUE()</f>
        <v>1</v>
      </c>
      <c r="BS111" s="39"/>
      <c r="BT111" s="41" t="b">
        <f aca="false">TRUE()</f>
        <v>1</v>
      </c>
      <c r="BU111" s="39"/>
      <c r="BV111" s="39"/>
      <c r="BW111" s="39"/>
      <c r="BX111" s="39"/>
      <c r="BY111" s="41" t="b">
        <f aca="false">TRUE()</f>
        <v>1</v>
      </c>
      <c r="BZ111" s="39"/>
      <c r="CA111" s="39"/>
      <c r="CB111" s="39"/>
      <c r="CC111" s="39"/>
      <c r="CD111" s="39"/>
      <c r="CE111" s="39"/>
      <c r="CF111" s="39"/>
      <c r="CG111" s="39"/>
      <c r="CH111" s="39"/>
      <c r="CI111" s="41" t="b">
        <f aca="false">TRUE()</f>
        <v>1</v>
      </c>
      <c r="CJ111" s="39"/>
      <c r="CK111" s="39"/>
      <c r="CL111" s="39"/>
      <c r="CM111" s="39"/>
      <c r="CN111" s="39"/>
      <c r="CO111" s="39"/>
      <c r="CP111" s="39"/>
      <c r="CQ111" s="39"/>
      <c r="CR111" s="39"/>
      <c r="CS111" s="39"/>
      <c r="CT111" s="39"/>
      <c r="CU111" s="39"/>
      <c r="CV111" s="41" t="b">
        <f aca="false">TRUE()</f>
        <v>1</v>
      </c>
      <c r="CW111" s="39"/>
      <c r="CX111" s="39"/>
      <c r="CY111" s="39"/>
      <c r="CZ111" s="39"/>
      <c r="DA111" s="39"/>
      <c r="DB111" s="39"/>
      <c r="DC111" s="39"/>
      <c r="DD111" s="39"/>
      <c r="DE111" s="39"/>
      <c r="DF111" s="39"/>
      <c r="DG111" s="39"/>
      <c r="DH111" s="39"/>
      <c r="DI111" s="39"/>
      <c r="DJ111" s="39"/>
      <c r="DK111" s="39"/>
      <c r="DL111" s="39"/>
      <c r="DM111" s="41" t="b">
        <f aca="false">TRUE()</f>
        <v>1</v>
      </c>
      <c r="DN111" s="39"/>
      <c r="DO111" s="39"/>
      <c r="DP111" s="39"/>
      <c r="DQ111" s="39"/>
      <c r="DR111" s="39"/>
      <c r="DS111" s="39"/>
      <c r="DT111" s="39"/>
      <c r="DU111" s="39"/>
      <c r="DV111" s="39"/>
      <c r="DW111" s="39"/>
      <c r="DX111" s="39"/>
      <c r="DY111" s="39"/>
      <c r="DZ111" s="39"/>
      <c r="EA111" s="41" t="b">
        <f aca="false">TRUE()</f>
        <v>1</v>
      </c>
      <c r="EB111" s="39"/>
      <c r="EC111" s="39"/>
      <c r="ED111" s="39"/>
      <c r="EE111" s="39"/>
      <c r="EF111" s="39"/>
      <c r="EG111" s="39"/>
      <c r="EH111" s="39"/>
      <c r="EI111" s="39"/>
      <c r="EJ111" s="39"/>
      <c r="EK111" s="39"/>
      <c r="EL111" s="39"/>
      <c r="EM111" s="39"/>
      <c r="EN111" s="39"/>
      <c r="EO111" s="39"/>
      <c r="EP111" s="39"/>
      <c r="EQ111" s="39"/>
      <c r="ER111" s="39"/>
      <c r="ES111" s="39"/>
      <c r="ET111" s="39"/>
      <c r="EU111" s="39"/>
      <c r="EV111" s="39"/>
      <c r="EW111" s="39"/>
      <c r="EX111" s="41" t="b">
        <f aca="false">TRUE()</f>
        <v>1</v>
      </c>
      <c r="EY111" s="39"/>
      <c r="EZ111" s="39"/>
      <c r="FA111" s="39"/>
      <c r="FB111" s="39"/>
      <c r="FC111" s="41" t="b">
        <f aca="false">TRUE()</f>
        <v>1</v>
      </c>
      <c r="FD111" s="39"/>
      <c r="FE111" s="39"/>
      <c r="FF111" s="39"/>
      <c r="FG111" s="39"/>
      <c r="FH111" s="39"/>
      <c r="FI111" s="39"/>
      <c r="FJ111" s="39"/>
      <c r="FK111" s="39"/>
      <c r="FL111" s="39"/>
      <c r="FM111" s="39"/>
      <c r="FN111" s="39"/>
      <c r="FO111" s="39"/>
      <c r="FP111" s="39"/>
      <c r="FQ111" s="39"/>
      <c r="FR111" s="39"/>
      <c r="FS111" s="39"/>
      <c r="FT111" s="39"/>
      <c r="FU111" s="39"/>
      <c r="FV111" s="39"/>
      <c r="FW111" s="39"/>
      <c r="FX111" s="39"/>
      <c r="FY111" s="39"/>
      <c r="FZ111" s="39"/>
      <c r="GA111" s="39"/>
      <c r="GB111" s="39"/>
      <c r="GC111" s="39"/>
      <c r="GD111" s="39"/>
      <c r="GE111" s="39"/>
      <c r="GF111" s="39"/>
      <c r="GG111" s="39"/>
      <c r="GH111" s="39"/>
      <c r="GI111" s="39"/>
      <c r="GJ111" s="39"/>
      <c r="GK111" s="39"/>
      <c r="GL111" s="39"/>
      <c r="GM111" s="39"/>
      <c r="GN111" s="39"/>
      <c r="GO111" s="39"/>
      <c r="GP111" s="39"/>
      <c r="GQ111" s="39"/>
      <c r="GR111" s="39"/>
      <c r="GS111" s="39"/>
      <c r="GT111" s="39"/>
      <c r="GU111" s="39"/>
      <c r="GV111" s="39"/>
      <c r="GW111" s="39"/>
      <c r="GX111" s="39"/>
      <c r="GY111" s="39"/>
      <c r="GZ111" s="39"/>
      <c r="HA111" s="39"/>
      <c r="HB111" s="39"/>
      <c r="HC111" s="39"/>
      <c r="HD111" s="39"/>
      <c r="HE111" s="39"/>
      <c r="HF111" s="39"/>
      <c r="HG111" s="39"/>
      <c r="HH111" s="39"/>
      <c r="HI111" s="39"/>
      <c r="HJ111" s="39"/>
      <c r="HK111" s="39"/>
      <c r="HL111" s="39"/>
      <c r="HM111" s="39"/>
      <c r="HN111" s="39"/>
      <c r="HO111" s="39"/>
      <c r="HP111" s="39"/>
      <c r="HQ111" s="39"/>
      <c r="HR111" s="39"/>
      <c r="HS111" s="39"/>
      <c r="HT111" s="39"/>
      <c r="HU111" s="39"/>
      <c r="HV111" s="39"/>
      <c r="HW111" s="39"/>
      <c r="HX111" s="39"/>
      <c r="HY111" s="39"/>
      <c r="HZ111" s="39"/>
      <c r="IA111" s="39"/>
      <c r="IB111" s="39"/>
      <c r="IC111" s="39"/>
      <c r="ID111" s="39"/>
      <c r="IE111" s="39"/>
      <c r="IF111" s="39"/>
      <c r="IG111" s="39"/>
      <c r="IH111" s="39"/>
      <c r="II111" s="39"/>
      <c r="IJ111" s="39"/>
      <c r="IK111" s="39"/>
      <c r="IL111" s="39"/>
      <c r="IM111" s="39"/>
      <c r="IN111" s="39"/>
      <c r="IO111" s="39"/>
      <c r="IP111" s="39"/>
      <c r="IQ111" s="39"/>
      <c r="IR111" s="39"/>
      <c r="IS111" s="39"/>
      <c r="IT111" s="39"/>
      <c r="IU111" s="39"/>
      <c r="IV111" s="39"/>
      <c r="IW111" s="39"/>
      <c r="IX111" s="39"/>
      <c r="IY111" s="39"/>
      <c r="IZ111" s="39"/>
      <c r="JA111" s="39"/>
      <c r="JB111" s="39"/>
      <c r="JC111" s="39"/>
      <c r="JD111" s="39"/>
      <c r="JE111" s="39"/>
      <c r="JF111" s="39"/>
      <c r="JG111" s="41" t="b">
        <f aca="false">TRUE()</f>
        <v>1</v>
      </c>
      <c r="JH111" s="39"/>
      <c r="JI111" s="39"/>
      <c r="JJ111" s="39"/>
      <c r="JK111" s="39"/>
      <c r="JL111" s="39"/>
      <c r="JM111" s="39"/>
      <c r="JN111" s="39"/>
      <c r="JO111" s="39"/>
      <c r="JP111" s="39"/>
      <c r="JQ111" s="39"/>
      <c r="JR111" s="39"/>
      <c r="JS111" s="39"/>
      <c r="JT111" s="41" t="b">
        <f aca="false">TRUE()</f>
        <v>1</v>
      </c>
      <c r="JU111" s="41" t="b">
        <f aca="false">TRUE()</f>
        <v>1</v>
      </c>
      <c r="JV111" s="39"/>
      <c r="JW111" s="39"/>
      <c r="JX111" s="41" t="b">
        <f aca="false">TRUE()</f>
        <v>1</v>
      </c>
      <c r="JY111" s="39"/>
      <c r="JZ111" s="39"/>
      <c r="KA111" s="41" t="b">
        <f aca="false">TRUE()</f>
        <v>1</v>
      </c>
      <c r="KB111" s="39"/>
      <c r="KC111" s="39"/>
      <c r="KD111" s="39"/>
      <c r="KE111" s="39"/>
      <c r="KF111" s="39"/>
      <c r="KG111" s="39"/>
      <c r="KH111" s="39"/>
      <c r="KI111" s="39"/>
      <c r="KJ111" s="39"/>
      <c r="KK111" s="39"/>
      <c r="KL111" s="39"/>
      <c r="KM111" s="39"/>
      <c r="KN111" s="39"/>
      <c r="KO111" s="39"/>
      <c r="KP111" s="39"/>
      <c r="KQ111" s="41" t="b">
        <f aca="false">TRUE()</f>
        <v>1</v>
      </c>
      <c r="KR111" s="39"/>
      <c r="KS111" s="39"/>
      <c r="KT111" s="41" t="b">
        <f aca="false">TRUE()</f>
        <v>1</v>
      </c>
      <c r="KU111" s="39"/>
    </row>
    <row r="112" customFormat="false" ht="14.4" hidden="false" customHeight="false" outlineLevel="0" collapsed="false">
      <c r="A112" s="37" t="s">
        <v>305</v>
      </c>
      <c r="B112" s="37" t="s">
        <v>2629</v>
      </c>
      <c r="C112" s="37"/>
      <c r="D112" s="37"/>
      <c r="E112" s="37"/>
      <c r="F112" s="37" t="s">
        <v>2630</v>
      </c>
      <c r="G112" s="37" t="s">
        <v>2631</v>
      </c>
      <c r="H112" s="37" t="s">
        <v>1453</v>
      </c>
      <c r="I112" s="37" t="s">
        <v>310</v>
      </c>
      <c r="J112" s="37" t="s">
        <v>311</v>
      </c>
      <c r="K112" s="37"/>
      <c r="L112" s="37"/>
      <c r="M112" s="37"/>
      <c r="N112" s="37"/>
      <c r="O112" s="37" t="s">
        <v>2632</v>
      </c>
      <c r="P112" s="37" t="s">
        <v>2633</v>
      </c>
      <c r="Q112" s="37" t="s">
        <v>2634</v>
      </c>
      <c r="R112" s="37" t="s">
        <v>2635</v>
      </c>
      <c r="S112" s="37" t="s">
        <v>2636</v>
      </c>
      <c r="T112" s="37" t="s">
        <v>2637</v>
      </c>
      <c r="U112" s="37" t="s">
        <v>2638</v>
      </c>
      <c r="V112" s="37" t="s">
        <v>2639</v>
      </c>
      <c r="W112" s="37" t="s">
        <v>2640</v>
      </c>
      <c r="X112" s="37" t="s">
        <v>2641</v>
      </c>
      <c r="Y112" s="37" t="s">
        <v>2642</v>
      </c>
      <c r="Z112" s="37" t="s">
        <v>2643</v>
      </c>
      <c r="AA112" s="37" t="n">
        <v>39</v>
      </c>
      <c r="AB112" s="37" t="n">
        <v>0</v>
      </c>
      <c r="AC112" s="37" t="n">
        <v>0</v>
      </c>
      <c r="AD112" s="37" t="n">
        <v>1</v>
      </c>
      <c r="AE112" s="37" t="n">
        <v>14</v>
      </c>
      <c r="AF112" s="37" t="s">
        <v>546</v>
      </c>
      <c r="AG112" s="37" t="s">
        <v>547</v>
      </c>
      <c r="AH112" s="37" t="s">
        <v>2583</v>
      </c>
      <c r="AI112" s="37"/>
      <c r="AJ112" s="37" t="s">
        <v>1465</v>
      </c>
      <c r="AK112" s="37"/>
      <c r="AL112" s="37" t="s">
        <v>1466</v>
      </c>
      <c r="AM112" s="37" t="s">
        <v>1467</v>
      </c>
      <c r="AN112" s="37" t="s">
        <v>408</v>
      </c>
      <c r="AO112" s="37" t="n">
        <v>2021</v>
      </c>
      <c r="AP112" s="37" t="n">
        <v>13</v>
      </c>
      <c r="AQ112" s="37" t="n">
        <v>24</v>
      </c>
      <c r="AR112" s="37"/>
      <c r="AS112" s="37"/>
      <c r="AT112" s="37"/>
      <c r="AU112" s="37" t="n">
        <v>5003</v>
      </c>
      <c r="AV112" s="37" t="s">
        <v>2644</v>
      </c>
      <c r="AW112" s="37" t="str">
        <f aca="false">HYPERLINK("http://dx.doi.org/10.3390/rs13245003","http://dx.doi.org/10.3390/rs13245003")</f>
        <v>http://dx.doi.org/10.3390/rs13245003</v>
      </c>
      <c r="AX112" s="37"/>
      <c r="AY112" s="37" t="n">
        <v>21</v>
      </c>
      <c r="AZ112" s="37" t="s">
        <v>1469</v>
      </c>
      <c r="BA112" s="37" t="s">
        <v>331</v>
      </c>
      <c r="BB112" s="37" t="s">
        <v>1470</v>
      </c>
      <c r="BC112" s="37" t="s">
        <v>2645</v>
      </c>
      <c r="BD112" s="37"/>
      <c r="BE112" s="37" t="s">
        <v>503</v>
      </c>
      <c r="BF112" s="37" t="s">
        <v>334</v>
      </c>
      <c r="BG112" s="37" t="s">
        <v>2646</v>
      </c>
      <c r="BH112" s="37" t="str">
        <f aca="false">HYPERLINK("https%3A%2F%2Fwww.webofscience.com%2Fwos%2Fwoscc%2Ffull-record%2FWOS:000737208900001","View Full Record in Web of Science")</f>
        <v>View Full Record in Web of Science</v>
      </c>
      <c r="BI112" s="41" t="b">
        <f aca="false">TRUE()</f>
        <v>1</v>
      </c>
      <c r="BJ112" s="39"/>
      <c r="BK112" s="39"/>
      <c r="BL112" s="39"/>
      <c r="BM112" s="39"/>
      <c r="BN112" s="39"/>
      <c r="BO112" s="39"/>
      <c r="BP112" s="39"/>
      <c r="BQ112" s="39"/>
      <c r="BR112" s="41" t="b">
        <f aca="false">TRUE()</f>
        <v>1</v>
      </c>
      <c r="BS112" s="39"/>
      <c r="BT112" s="39"/>
      <c r="BU112" s="39"/>
      <c r="BV112" s="39"/>
      <c r="BW112" s="39"/>
      <c r="BX112" s="39"/>
      <c r="BY112" s="39"/>
      <c r="BZ112" s="39"/>
      <c r="CA112" s="39"/>
      <c r="CB112" s="39"/>
      <c r="CC112" s="39"/>
      <c r="CD112" s="41" t="b">
        <f aca="false">TRUE()</f>
        <v>1</v>
      </c>
      <c r="CE112" s="39"/>
      <c r="CF112" s="39"/>
      <c r="CG112" s="39"/>
      <c r="CH112" s="39"/>
      <c r="CI112" s="39"/>
      <c r="CJ112" s="39"/>
      <c r="CK112" s="39"/>
      <c r="CL112" s="39"/>
      <c r="CM112" s="39"/>
      <c r="CN112" s="39"/>
      <c r="CO112" s="39"/>
      <c r="CP112" s="39"/>
      <c r="CQ112" s="39"/>
      <c r="CR112" s="39"/>
      <c r="CS112" s="39"/>
      <c r="CT112" s="39"/>
      <c r="CU112" s="39"/>
      <c r="CV112" s="39"/>
      <c r="CW112" s="39"/>
      <c r="CX112" s="39"/>
      <c r="CY112" s="39"/>
      <c r="CZ112" s="39"/>
      <c r="DA112" s="39"/>
      <c r="DB112" s="39"/>
      <c r="DC112" s="39"/>
      <c r="DD112" s="39"/>
      <c r="DE112" s="39"/>
      <c r="DF112" s="39"/>
      <c r="DG112" s="39"/>
      <c r="DH112" s="39"/>
      <c r="DI112" s="39"/>
      <c r="DJ112" s="39"/>
      <c r="DK112" s="39"/>
      <c r="DL112" s="39"/>
      <c r="DM112" s="39"/>
      <c r="DN112" s="39"/>
      <c r="DO112" s="39"/>
      <c r="DP112" s="39"/>
      <c r="DQ112" s="39"/>
      <c r="DR112" s="39"/>
      <c r="DS112" s="39"/>
      <c r="DT112" s="39"/>
      <c r="DU112" s="39"/>
      <c r="DV112" s="39"/>
      <c r="DW112" s="39"/>
      <c r="DX112" s="39"/>
      <c r="DY112" s="39"/>
      <c r="DZ112" s="39"/>
      <c r="EA112" s="39"/>
      <c r="EB112" s="39"/>
      <c r="EC112" s="39"/>
      <c r="ED112" s="39"/>
      <c r="EE112" s="39"/>
      <c r="EF112" s="39"/>
      <c r="EG112" s="39"/>
      <c r="EH112" s="39"/>
      <c r="EI112" s="39"/>
      <c r="EJ112" s="39"/>
      <c r="EK112" s="39"/>
      <c r="EL112" s="39"/>
      <c r="EM112" s="39"/>
      <c r="EN112" s="39"/>
      <c r="EO112" s="39"/>
      <c r="EP112" s="39"/>
      <c r="EQ112" s="39"/>
      <c r="ER112" s="39"/>
      <c r="ES112" s="39"/>
      <c r="ET112" s="39"/>
      <c r="EU112" s="39"/>
      <c r="EV112" s="39"/>
      <c r="EW112" s="39"/>
      <c r="EX112" s="39"/>
      <c r="EY112" s="39"/>
      <c r="EZ112" s="39"/>
      <c r="FA112" s="39"/>
      <c r="FB112" s="39"/>
      <c r="FC112" s="39"/>
      <c r="FD112" s="39"/>
      <c r="FE112" s="39"/>
      <c r="FF112" s="39"/>
      <c r="FG112" s="39"/>
      <c r="FH112" s="39"/>
      <c r="FI112" s="39"/>
      <c r="FJ112" s="39"/>
      <c r="FK112" s="39"/>
      <c r="FL112" s="39"/>
      <c r="FM112" s="39"/>
      <c r="FN112" s="39"/>
      <c r="FO112" s="39"/>
      <c r="FP112" s="39"/>
      <c r="FQ112" s="39"/>
      <c r="FR112" s="39"/>
      <c r="FS112" s="39"/>
      <c r="FT112" s="39"/>
      <c r="FU112" s="39"/>
      <c r="FV112" s="39"/>
      <c r="FW112" s="39"/>
      <c r="FX112" s="39"/>
      <c r="FY112" s="39"/>
      <c r="FZ112" s="39"/>
      <c r="GA112" s="39"/>
      <c r="GB112" s="39"/>
      <c r="GC112" s="39"/>
      <c r="GD112" s="39"/>
      <c r="GE112" s="39"/>
      <c r="GF112" s="39"/>
      <c r="GG112" s="39"/>
      <c r="GH112" s="39"/>
      <c r="GI112" s="39"/>
      <c r="GJ112" s="39"/>
      <c r="GK112" s="39"/>
      <c r="GL112" s="39"/>
      <c r="GM112" s="39"/>
      <c r="GN112" s="39"/>
      <c r="GO112" s="39"/>
      <c r="GP112" s="39"/>
      <c r="GQ112" s="39"/>
      <c r="GR112" s="39"/>
      <c r="GS112" s="39"/>
      <c r="GT112" s="39"/>
      <c r="GU112" s="39"/>
      <c r="GV112" s="39"/>
      <c r="GW112" s="39"/>
      <c r="GX112" s="39"/>
      <c r="GY112" s="39"/>
      <c r="GZ112" s="39"/>
      <c r="HA112" s="39"/>
      <c r="HB112" s="39"/>
      <c r="HC112" s="39"/>
      <c r="HD112" s="39"/>
      <c r="HE112" s="39"/>
      <c r="HF112" s="39"/>
      <c r="HG112" s="39"/>
      <c r="HH112" s="39"/>
      <c r="HI112" s="39"/>
      <c r="HJ112" s="39"/>
      <c r="HK112" s="39"/>
      <c r="HL112" s="39"/>
      <c r="HM112" s="39"/>
      <c r="HN112" s="39"/>
      <c r="HO112" s="39"/>
      <c r="HP112" s="39"/>
      <c r="HQ112" s="39"/>
      <c r="HR112" s="39"/>
      <c r="HS112" s="39"/>
      <c r="HT112" s="39"/>
      <c r="HU112" s="39"/>
      <c r="HV112" s="39"/>
      <c r="HW112" s="39"/>
      <c r="HX112" s="39"/>
      <c r="HY112" s="39"/>
      <c r="HZ112" s="39"/>
      <c r="IA112" s="39"/>
      <c r="IB112" s="39"/>
      <c r="IC112" s="39"/>
      <c r="ID112" s="39"/>
      <c r="IE112" s="39"/>
      <c r="IF112" s="39"/>
      <c r="IG112" s="39"/>
      <c r="IH112" s="39"/>
      <c r="II112" s="39"/>
      <c r="IJ112" s="39"/>
      <c r="IK112" s="39"/>
      <c r="IL112" s="39"/>
      <c r="IM112" s="39"/>
      <c r="IN112" s="39"/>
      <c r="IO112" s="39"/>
      <c r="IP112" s="39"/>
      <c r="IQ112" s="39"/>
      <c r="IR112" s="39"/>
      <c r="IS112" s="39"/>
      <c r="IT112" s="39"/>
      <c r="IU112" s="39"/>
      <c r="IV112" s="39"/>
      <c r="IW112" s="39"/>
      <c r="IX112" s="39"/>
      <c r="IY112" s="39"/>
      <c r="IZ112" s="39"/>
      <c r="JA112" s="39"/>
      <c r="JB112" s="39"/>
      <c r="JC112" s="39"/>
      <c r="JD112" s="39"/>
      <c r="JE112" s="39"/>
      <c r="JF112" s="39"/>
      <c r="JG112" s="39"/>
      <c r="JH112" s="41" t="b">
        <f aca="false">TRUE()</f>
        <v>1</v>
      </c>
      <c r="JI112" s="39"/>
      <c r="JJ112" s="39"/>
      <c r="JK112" s="39"/>
      <c r="JL112" s="39"/>
      <c r="JM112" s="39"/>
      <c r="JN112" s="39"/>
      <c r="JO112" s="39"/>
      <c r="JP112" s="39"/>
      <c r="JQ112" s="39"/>
      <c r="JR112" s="39"/>
      <c r="JS112" s="39"/>
      <c r="JT112" s="41" t="b">
        <f aca="false">TRUE()</f>
        <v>1</v>
      </c>
      <c r="JU112" s="39"/>
      <c r="JV112" s="39"/>
      <c r="JW112" s="39"/>
      <c r="JX112" s="39"/>
      <c r="JY112" s="39"/>
      <c r="JZ112" s="39"/>
      <c r="KA112" s="39"/>
      <c r="KB112" s="39"/>
      <c r="KC112" s="39"/>
      <c r="KD112" s="39"/>
      <c r="KE112" s="39"/>
      <c r="KF112" s="39"/>
      <c r="KG112" s="39"/>
      <c r="KH112" s="39"/>
      <c r="KI112" s="39"/>
      <c r="KJ112" s="39"/>
      <c r="KK112" s="39"/>
      <c r="KL112" s="39"/>
      <c r="KM112" s="39"/>
      <c r="KN112" s="39"/>
      <c r="KO112" s="41" t="b">
        <f aca="false">TRUE()</f>
        <v>1</v>
      </c>
      <c r="KP112" s="39"/>
      <c r="KQ112" s="41" t="b">
        <f aca="false">TRUE()</f>
        <v>1</v>
      </c>
      <c r="KR112" s="39"/>
      <c r="KS112" s="39"/>
      <c r="KT112" s="39"/>
      <c r="KU112" s="41" t="b">
        <f aca="false">TRUE()</f>
        <v>1</v>
      </c>
    </row>
    <row r="113" customFormat="false" ht="14.4" hidden="false" customHeight="false" outlineLevel="0" collapsed="false">
      <c r="A113" s="37" t="s">
        <v>305</v>
      </c>
      <c r="B113" s="37" t="s">
        <v>2647</v>
      </c>
      <c r="C113" s="37"/>
      <c r="D113" s="37"/>
      <c r="E113" s="37"/>
      <c r="F113" s="37" t="s">
        <v>2648</v>
      </c>
      <c r="G113" s="37" t="s">
        <v>2649</v>
      </c>
      <c r="H113" s="37" t="s">
        <v>708</v>
      </c>
      <c r="I113" s="37" t="s">
        <v>310</v>
      </c>
      <c r="J113" s="37" t="s">
        <v>2650</v>
      </c>
      <c r="K113" s="37"/>
      <c r="L113" s="37"/>
      <c r="M113" s="37"/>
      <c r="N113" s="37"/>
      <c r="O113" s="37" t="s">
        <v>2651</v>
      </c>
      <c r="P113" s="37" t="s">
        <v>2652</v>
      </c>
      <c r="Q113" s="37" t="s">
        <v>2653</v>
      </c>
      <c r="R113" s="37" t="s">
        <v>2654</v>
      </c>
      <c r="S113" s="37" t="s">
        <v>2655</v>
      </c>
      <c r="T113" s="37" t="s">
        <v>2656</v>
      </c>
      <c r="U113" s="37" t="s">
        <v>2657</v>
      </c>
      <c r="V113" s="37"/>
      <c r="W113" s="37"/>
      <c r="X113" s="37" t="s">
        <v>2658</v>
      </c>
      <c r="Y113" s="37" t="s">
        <v>2659</v>
      </c>
      <c r="Z113" s="37" t="s">
        <v>2660</v>
      </c>
      <c r="AA113" s="37" t="n">
        <v>78</v>
      </c>
      <c r="AB113" s="37" t="n">
        <v>0</v>
      </c>
      <c r="AC113" s="37" t="n">
        <v>0</v>
      </c>
      <c r="AD113" s="37" t="n">
        <v>8</v>
      </c>
      <c r="AE113" s="37" t="n">
        <v>8</v>
      </c>
      <c r="AF113" s="37" t="s">
        <v>717</v>
      </c>
      <c r="AG113" s="37" t="s">
        <v>718</v>
      </c>
      <c r="AH113" s="37" t="s">
        <v>719</v>
      </c>
      <c r="AI113" s="37" t="s">
        <v>720</v>
      </c>
      <c r="AJ113" s="37" t="s">
        <v>721</v>
      </c>
      <c r="AK113" s="37"/>
      <c r="AL113" s="37" t="s">
        <v>722</v>
      </c>
      <c r="AM113" s="37" t="s">
        <v>723</v>
      </c>
      <c r="AN113" s="37" t="s">
        <v>2661</v>
      </c>
      <c r="AO113" s="37" t="n">
        <v>2024</v>
      </c>
      <c r="AP113" s="37"/>
      <c r="AQ113" s="37"/>
      <c r="AR113" s="37"/>
      <c r="AS113" s="37"/>
      <c r="AT113" s="37"/>
      <c r="AU113" s="37"/>
      <c r="AV113" s="37" t="s">
        <v>2662</v>
      </c>
      <c r="AW113" s="37" t="str">
        <f aca="false">HYPERLINK("http://dx.doi.org/10.1080/02626667.2024.2423050","http://dx.doi.org/10.1080/02626667.2024.2423050")</f>
        <v>http://dx.doi.org/10.1080/02626667.2024.2423050</v>
      </c>
      <c r="AX113" s="37" t="s">
        <v>1494</v>
      </c>
      <c r="AY113" s="37" t="n">
        <v>17</v>
      </c>
      <c r="AZ113" s="37" t="s">
        <v>727</v>
      </c>
      <c r="BA113" s="37" t="s">
        <v>331</v>
      </c>
      <c r="BB113" s="37" t="s">
        <v>727</v>
      </c>
      <c r="BC113" s="37" t="s">
        <v>2663</v>
      </c>
      <c r="BD113" s="37"/>
      <c r="BE113" s="37"/>
      <c r="BF113" s="37" t="s">
        <v>334</v>
      </c>
      <c r="BG113" s="37" t="s">
        <v>2664</v>
      </c>
      <c r="BH113" s="37" t="str">
        <f aca="false">HYPERLINK("https%3A%2F%2Fwww.webofscience.com%2Fwos%2Fwoscc%2Ffull-record%2FWOS:001364526100001","View Full Record in Web of Science")</f>
        <v>View Full Record in Web of Science</v>
      </c>
      <c r="BI113" s="39"/>
      <c r="BJ113" s="39"/>
      <c r="BK113" s="39"/>
      <c r="BL113" s="39"/>
      <c r="BM113" s="39"/>
      <c r="BN113" s="39"/>
      <c r="BO113" s="39"/>
      <c r="BP113" s="39"/>
      <c r="BQ113" s="39"/>
      <c r="BR113" s="41" t="b">
        <f aca="false">TRUE()</f>
        <v>1</v>
      </c>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41" t="b">
        <f aca="false">TRUE()</f>
        <v>1</v>
      </c>
      <c r="CX113" s="39"/>
      <c r="CY113" s="39"/>
      <c r="CZ113" s="41" t="b">
        <f aca="false">TRUE()</f>
        <v>1</v>
      </c>
      <c r="DA113" s="39"/>
      <c r="DB113" s="39"/>
      <c r="DC113" s="39"/>
      <c r="DD113" s="39"/>
      <c r="DE113" s="41" t="b">
        <f aca="false">TRUE()</f>
        <v>1</v>
      </c>
      <c r="DF113" s="39"/>
      <c r="DG113" s="39"/>
      <c r="DH113" s="39"/>
      <c r="DI113" s="39"/>
      <c r="DJ113" s="39"/>
      <c r="DK113" s="39"/>
      <c r="DL113" s="39"/>
      <c r="DM113" s="39"/>
      <c r="DN113" s="39"/>
      <c r="DO113" s="39"/>
      <c r="DP113" s="39"/>
      <c r="DQ113" s="39"/>
      <c r="DR113" s="39"/>
      <c r="DS113" s="39"/>
      <c r="DT113" s="39"/>
      <c r="DU113" s="39"/>
      <c r="DV113" s="39"/>
      <c r="DW113" s="39"/>
      <c r="DX113" s="39"/>
      <c r="DY113" s="39"/>
      <c r="DZ113" s="39"/>
      <c r="EA113" s="39"/>
      <c r="EB113" s="39"/>
      <c r="EC113" s="39"/>
      <c r="ED113" s="39"/>
      <c r="EE113" s="39"/>
      <c r="EF113" s="39"/>
      <c r="EG113" s="39"/>
      <c r="EH113" s="39"/>
      <c r="EI113" s="39"/>
      <c r="EJ113" s="39"/>
      <c r="EK113" s="39"/>
      <c r="EL113" s="39"/>
      <c r="EM113" s="39"/>
      <c r="EN113" s="39"/>
      <c r="EO113" s="39"/>
      <c r="EP113" s="39"/>
      <c r="EQ113" s="39"/>
      <c r="ER113" s="39"/>
      <c r="ES113" s="39"/>
      <c r="ET113" s="39"/>
      <c r="EU113" s="39"/>
      <c r="EV113" s="39"/>
      <c r="EW113" s="39"/>
      <c r="EX113" s="39"/>
      <c r="EY113" s="39"/>
      <c r="EZ113" s="39"/>
      <c r="FA113" s="39"/>
      <c r="FB113" s="39"/>
      <c r="FC113" s="39"/>
      <c r="FD113" s="39"/>
      <c r="FE113" s="39"/>
      <c r="FF113" s="39"/>
      <c r="FG113" s="39"/>
      <c r="FH113" s="39"/>
      <c r="FI113" s="39"/>
      <c r="FJ113" s="39"/>
      <c r="FK113" s="39"/>
      <c r="FL113" s="39"/>
      <c r="FM113" s="39"/>
      <c r="FN113" s="39"/>
      <c r="FO113" s="39"/>
      <c r="FP113" s="39"/>
      <c r="FQ113" s="39"/>
      <c r="FR113" s="39"/>
      <c r="FS113" s="39"/>
      <c r="FT113" s="39"/>
      <c r="FU113" s="39"/>
      <c r="FV113" s="39"/>
      <c r="FW113" s="39"/>
      <c r="FX113" s="39"/>
      <c r="FY113" s="39"/>
      <c r="FZ113" s="39"/>
      <c r="GA113" s="39"/>
      <c r="GB113" s="39"/>
      <c r="GC113" s="39"/>
      <c r="GD113" s="39"/>
      <c r="GE113" s="39"/>
      <c r="GF113" s="39"/>
      <c r="GG113" s="39"/>
      <c r="GH113" s="39"/>
      <c r="GI113" s="39"/>
      <c r="GJ113" s="39"/>
      <c r="GK113" s="39"/>
      <c r="GL113" s="39"/>
      <c r="GM113" s="39"/>
      <c r="GN113" s="39"/>
      <c r="GO113" s="39"/>
      <c r="GP113" s="39"/>
      <c r="GQ113" s="39"/>
      <c r="GR113" s="39"/>
      <c r="GS113" s="39"/>
      <c r="GT113" s="39"/>
      <c r="GU113" s="39"/>
      <c r="GV113" s="39"/>
      <c r="GW113" s="39"/>
      <c r="GX113" s="39"/>
      <c r="GY113" s="39"/>
      <c r="GZ113" s="39"/>
      <c r="HA113" s="39"/>
      <c r="HB113" s="39"/>
      <c r="HC113" s="39"/>
      <c r="HD113" s="39"/>
      <c r="HE113" s="39"/>
      <c r="HF113" s="39"/>
      <c r="HG113" s="39"/>
      <c r="HH113" s="39"/>
      <c r="HI113" s="39"/>
      <c r="HJ113" s="39"/>
      <c r="HK113" s="39"/>
      <c r="HL113" s="39"/>
      <c r="HM113" s="39"/>
      <c r="HN113" s="39"/>
      <c r="HO113" s="39"/>
      <c r="HP113" s="39"/>
      <c r="HQ113" s="39"/>
      <c r="HR113" s="39"/>
      <c r="HS113" s="39"/>
      <c r="HT113" s="39"/>
      <c r="HU113" s="39"/>
      <c r="HV113" s="39"/>
      <c r="HW113" s="39"/>
      <c r="HX113" s="39"/>
      <c r="HY113" s="39"/>
      <c r="HZ113" s="39"/>
      <c r="IA113" s="39"/>
      <c r="IB113" s="39"/>
      <c r="IC113" s="39"/>
      <c r="ID113" s="41" t="b">
        <f aca="false">TRUE()</f>
        <v>1</v>
      </c>
      <c r="IE113" s="39"/>
      <c r="IF113" s="39"/>
      <c r="IG113" s="39"/>
      <c r="IH113" s="39"/>
      <c r="II113" s="39"/>
      <c r="IJ113" s="39"/>
      <c r="IK113" s="39"/>
      <c r="IL113" s="39"/>
      <c r="IM113" s="39"/>
      <c r="IN113" s="39"/>
      <c r="IO113" s="39"/>
      <c r="IP113" s="39"/>
      <c r="IQ113" s="39"/>
      <c r="IR113" s="39"/>
      <c r="IS113" s="39"/>
      <c r="IT113" s="39"/>
      <c r="IU113" s="39"/>
      <c r="IV113" s="39"/>
      <c r="IW113" s="39"/>
      <c r="IX113" s="39"/>
      <c r="IY113" s="39"/>
      <c r="IZ113" s="39"/>
      <c r="JA113" s="39"/>
      <c r="JB113" s="39"/>
      <c r="JC113" s="39"/>
      <c r="JD113" s="39"/>
      <c r="JE113" s="39"/>
      <c r="JF113" s="39"/>
      <c r="JG113" s="39"/>
      <c r="JH113" s="39"/>
      <c r="JI113" s="39"/>
      <c r="JJ113" s="39"/>
      <c r="JK113" s="39"/>
      <c r="JL113" s="39"/>
      <c r="JM113" s="39"/>
      <c r="JN113" s="39"/>
      <c r="JO113" s="39"/>
      <c r="JP113" s="39"/>
      <c r="JQ113" s="39"/>
      <c r="JR113" s="39"/>
      <c r="JS113" s="39"/>
      <c r="JT113" s="41" t="b">
        <f aca="false">TRUE()</f>
        <v>1</v>
      </c>
      <c r="JU113" s="39"/>
      <c r="JV113" s="39"/>
      <c r="JW113" s="39"/>
      <c r="JX113" s="39"/>
      <c r="JY113" s="39"/>
      <c r="JZ113" s="39"/>
      <c r="KA113" s="39"/>
      <c r="KB113" s="39"/>
      <c r="KC113" s="39"/>
      <c r="KD113" s="39"/>
      <c r="KE113" s="41" t="b">
        <f aca="false">TRUE()</f>
        <v>1</v>
      </c>
      <c r="KF113" s="39"/>
      <c r="KG113" s="39"/>
      <c r="KH113" s="39"/>
      <c r="KI113" s="39"/>
      <c r="KJ113" s="39"/>
      <c r="KK113" s="39"/>
      <c r="KL113" s="39"/>
      <c r="KM113" s="39"/>
      <c r="KN113" s="39"/>
      <c r="KO113" s="39"/>
      <c r="KP113" s="39"/>
      <c r="KQ113" s="41" t="b">
        <f aca="false">TRUE()</f>
        <v>1</v>
      </c>
      <c r="KR113" s="39"/>
      <c r="KS113" s="39"/>
      <c r="KT113" s="41" t="b">
        <f aca="false">TRUE()</f>
        <v>1</v>
      </c>
      <c r="KU113" s="39"/>
    </row>
    <row r="114" customFormat="false" ht="14.4" hidden="false" customHeight="false" outlineLevel="0" collapsed="false">
      <c r="A114" s="37" t="s">
        <v>305</v>
      </c>
      <c r="B114" s="37" t="s">
        <v>2665</v>
      </c>
      <c r="C114" s="37"/>
      <c r="D114" s="37"/>
      <c r="E114" s="37"/>
      <c r="F114" s="37" t="s">
        <v>2666</v>
      </c>
      <c r="G114" s="37" t="s">
        <v>2667</v>
      </c>
      <c r="H114" s="37" t="s">
        <v>2668</v>
      </c>
      <c r="I114" s="37" t="s">
        <v>310</v>
      </c>
      <c r="J114" s="37" t="s">
        <v>311</v>
      </c>
      <c r="K114" s="37"/>
      <c r="L114" s="37"/>
      <c r="M114" s="37"/>
      <c r="N114" s="37"/>
      <c r="O114" s="37" t="s">
        <v>2669</v>
      </c>
      <c r="P114" s="37" t="s">
        <v>2670</v>
      </c>
      <c r="Q114" s="37" t="s">
        <v>2671</v>
      </c>
      <c r="R114" s="37" t="s">
        <v>2672</v>
      </c>
      <c r="S114" s="37" t="s">
        <v>2673</v>
      </c>
      <c r="T114" s="37" t="s">
        <v>2674</v>
      </c>
      <c r="U114" s="37" t="s">
        <v>2675</v>
      </c>
      <c r="V114" s="37" t="s">
        <v>2676</v>
      </c>
      <c r="W114" s="37" t="s">
        <v>2677</v>
      </c>
      <c r="X114" s="37"/>
      <c r="Y114" s="37"/>
      <c r="Z114" s="37"/>
      <c r="AA114" s="37" t="n">
        <v>25</v>
      </c>
      <c r="AB114" s="37" t="n">
        <v>4</v>
      </c>
      <c r="AC114" s="37" t="n">
        <v>4</v>
      </c>
      <c r="AD114" s="37" t="n">
        <v>3</v>
      </c>
      <c r="AE114" s="37" t="n">
        <v>11</v>
      </c>
      <c r="AF114" s="37" t="s">
        <v>353</v>
      </c>
      <c r="AG114" s="37" t="s">
        <v>354</v>
      </c>
      <c r="AH114" s="37" t="s">
        <v>355</v>
      </c>
      <c r="AI114" s="37" t="s">
        <v>2678</v>
      </c>
      <c r="AJ114" s="37"/>
      <c r="AK114" s="37"/>
      <c r="AL114" s="37" t="s">
        <v>2679</v>
      </c>
      <c r="AM114" s="37" t="s">
        <v>2680</v>
      </c>
      <c r="AN114" s="37" t="s">
        <v>572</v>
      </c>
      <c r="AO114" s="37" t="n">
        <v>2022</v>
      </c>
      <c r="AP114" s="37" t="n">
        <v>19</v>
      </c>
      <c r="AQ114" s="37"/>
      <c r="AR114" s="37"/>
      <c r="AS114" s="37"/>
      <c r="AT114" s="37"/>
      <c r="AU114" s="37" t="n">
        <v>100825</v>
      </c>
      <c r="AV114" s="37" t="s">
        <v>2681</v>
      </c>
      <c r="AW114" s="37" t="str">
        <f aca="false">HYPERLINK("http://dx.doi.org/10.1016/j.gsd.2022.100825","http://dx.doi.org/10.1016/j.gsd.2022.100825")</f>
        <v>http://dx.doi.org/10.1016/j.gsd.2022.100825</v>
      </c>
      <c r="AX114" s="37" t="s">
        <v>2682</v>
      </c>
      <c r="AY114" s="37" t="n">
        <v>11</v>
      </c>
      <c r="AZ114" s="37" t="s">
        <v>1866</v>
      </c>
      <c r="BA114" s="37" t="s">
        <v>575</v>
      </c>
      <c r="BB114" s="37" t="s">
        <v>1867</v>
      </c>
      <c r="BC114" s="37" t="s">
        <v>2683</v>
      </c>
      <c r="BD114" s="37"/>
      <c r="BE114" s="37"/>
      <c r="BF114" s="37" t="s">
        <v>334</v>
      </c>
      <c r="BG114" s="37" t="s">
        <v>2684</v>
      </c>
      <c r="BH114" s="37" t="str">
        <f aca="false">HYPERLINK("https%3A%2F%2Fwww.webofscience.com%2Fwos%2Fwoscc%2Ffull-record%2FWOS:000850462800005","View Full Record in Web of Science")</f>
        <v>View Full Record in Web of Science</v>
      </c>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41" t="b">
        <f aca="false">TRUE()</f>
        <v>1</v>
      </c>
      <c r="CJ114" s="39"/>
      <c r="CK114" s="39"/>
      <c r="CL114" s="39"/>
      <c r="CM114" s="39"/>
      <c r="CN114" s="39"/>
      <c r="CO114" s="39"/>
      <c r="CP114" s="39"/>
      <c r="CQ114" s="39"/>
      <c r="CR114" s="39"/>
      <c r="CS114" s="41" t="b">
        <f aca="false">TRUE()</f>
        <v>1</v>
      </c>
      <c r="CT114" s="39"/>
      <c r="CU114" s="39"/>
      <c r="CV114" s="39"/>
      <c r="CW114" s="41" t="b">
        <f aca="false">TRUE()</f>
        <v>1</v>
      </c>
      <c r="CX114" s="39"/>
      <c r="CY114" s="39"/>
      <c r="CZ114" s="39"/>
      <c r="DA114" s="39"/>
      <c r="DB114" s="39"/>
      <c r="DC114" s="39"/>
      <c r="DD114" s="39"/>
      <c r="DE114" s="41" t="b">
        <f aca="false">TRUE()</f>
        <v>1</v>
      </c>
      <c r="DF114" s="39"/>
      <c r="DG114" s="39"/>
      <c r="DH114" s="39"/>
      <c r="DI114" s="39"/>
      <c r="DJ114" s="39"/>
      <c r="DK114" s="39"/>
      <c r="DL114" s="39"/>
      <c r="DM114" s="39"/>
      <c r="DN114" s="39"/>
      <c r="DO114" s="39"/>
      <c r="DP114" s="39"/>
      <c r="DQ114" s="39"/>
      <c r="DR114" s="39"/>
      <c r="DS114" s="39"/>
      <c r="DT114" s="39"/>
      <c r="DU114" s="41" t="b">
        <f aca="false">TRUE()</f>
        <v>1</v>
      </c>
      <c r="DV114" s="39"/>
      <c r="DW114" s="39"/>
      <c r="DX114" s="39"/>
      <c r="DY114" s="39"/>
      <c r="DZ114" s="39"/>
      <c r="EA114" s="41" t="b">
        <f aca="false">TRUE()</f>
        <v>1</v>
      </c>
      <c r="EB114" s="41" t="b">
        <f aca="false">TRUE()</f>
        <v>1</v>
      </c>
      <c r="EC114" s="39"/>
      <c r="ED114" s="39"/>
      <c r="EE114" s="39"/>
      <c r="EF114" s="39"/>
      <c r="EG114" s="39"/>
      <c r="EH114" s="39"/>
      <c r="EI114" s="41" t="b">
        <f aca="false">TRUE()</f>
        <v>1</v>
      </c>
      <c r="EJ114" s="39"/>
      <c r="EK114" s="39"/>
      <c r="EL114" s="39"/>
      <c r="EM114" s="39"/>
      <c r="EN114" s="39"/>
      <c r="EO114" s="39"/>
      <c r="EP114" s="39"/>
      <c r="EQ114" s="39"/>
      <c r="ER114" s="39"/>
      <c r="ES114" s="39"/>
      <c r="ET114" s="39"/>
      <c r="EU114" s="39"/>
      <c r="EV114" s="39"/>
      <c r="EW114" s="39"/>
      <c r="EX114" s="39"/>
      <c r="EY114" s="41" t="b">
        <f aca="false">TRUE()</f>
        <v>1</v>
      </c>
      <c r="EZ114" s="39"/>
      <c r="FA114" s="39"/>
      <c r="FB114" s="39"/>
      <c r="FC114" s="41" t="b">
        <f aca="false">TRUE()</f>
        <v>1</v>
      </c>
      <c r="FD114" s="39"/>
      <c r="FE114" s="39"/>
      <c r="FF114" s="39"/>
      <c r="FG114" s="39"/>
      <c r="FH114" s="39"/>
      <c r="FI114" s="39"/>
      <c r="FJ114" s="39"/>
      <c r="FK114" s="39"/>
      <c r="FL114" s="39"/>
      <c r="FM114" s="39"/>
      <c r="FN114" s="39"/>
      <c r="FO114" s="39"/>
      <c r="FP114" s="39"/>
      <c r="FQ114" s="39"/>
      <c r="FR114" s="39"/>
      <c r="FS114" s="39"/>
      <c r="FT114" s="39"/>
      <c r="FU114" s="39"/>
      <c r="FV114" s="39"/>
      <c r="FW114" s="39"/>
      <c r="FX114" s="39"/>
      <c r="FY114" s="39"/>
      <c r="FZ114" s="39"/>
      <c r="GA114" s="39"/>
      <c r="GB114" s="39"/>
      <c r="GC114" s="39"/>
      <c r="GD114" s="39"/>
      <c r="GE114" s="39"/>
      <c r="GF114" s="39"/>
      <c r="GG114" s="39"/>
      <c r="GH114" s="39"/>
      <c r="GI114" s="39"/>
      <c r="GJ114" s="39"/>
      <c r="GK114" s="39"/>
      <c r="GL114" s="39"/>
      <c r="GM114" s="39"/>
      <c r="GN114" s="39"/>
      <c r="GO114" s="39"/>
      <c r="GP114" s="39"/>
      <c r="GQ114" s="39"/>
      <c r="GR114" s="39"/>
      <c r="GS114" s="39"/>
      <c r="GT114" s="39"/>
      <c r="GU114" s="39"/>
      <c r="GV114" s="39"/>
      <c r="GW114" s="39"/>
      <c r="GX114" s="39"/>
      <c r="GY114" s="39"/>
      <c r="GZ114" s="39"/>
      <c r="HA114" s="39"/>
      <c r="HB114" s="39"/>
      <c r="HC114" s="39"/>
      <c r="HD114" s="39"/>
      <c r="HE114" s="39"/>
      <c r="HF114" s="39"/>
      <c r="HG114" s="39"/>
      <c r="HH114" s="39"/>
      <c r="HI114" s="39"/>
      <c r="HJ114" s="39"/>
      <c r="HK114" s="41" t="b">
        <f aca="false">TRUE()</f>
        <v>1</v>
      </c>
      <c r="HL114" s="39"/>
      <c r="HM114" s="39"/>
      <c r="HN114" s="39"/>
      <c r="HO114" s="39"/>
      <c r="HP114" s="39"/>
      <c r="HQ114" s="39"/>
      <c r="HR114" s="39"/>
      <c r="HS114" s="39"/>
      <c r="HT114" s="39"/>
      <c r="HU114" s="39"/>
      <c r="HV114" s="39"/>
      <c r="HW114" s="39"/>
      <c r="HX114" s="39"/>
      <c r="HY114" s="39"/>
      <c r="HZ114" s="39"/>
      <c r="IA114" s="39"/>
      <c r="IB114" s="39"/>
      <c r="IC114" s="39"/>
      <c r="ID114" s="39"/>
      <c r="IE114" s="39"/>
      <c r="IF114" s="41" t="b">
        <f aca="false">TRUE()</f>
        <v>1</v>
      </c>
      <c r="IG114" s="39"/>
      <c r="IH114" s="39"/>
      <c r="II114" s="39"/>
      <c r="IJ114" s="39"/>
      <c r="IK114" s="39"/>
      <c r="IL114" s="39"/>
      <c r="IM114" s="39"/>
      <c r="IN114" s="39"/>
      <c r="IO114" s="39"/>
      <c r="IP114" s="39"/>
      <c r="IQ114" s="39"/>
      <c r="IR114" s="39"/>
      <c r="IS114" s="39"/>
      <c r="IT114" s="39"/>
      <c r="IU114" s="39"/>
      <c r="IV114" s="39"/>
      <c r="IW114" s="39"/>
      <c r="IX114" s="39"/>
      <c r="IY114" s="39"/>
      <c r="IZ114" s="39"/>
      <c r="JA114" s="39"/>
      <c r="JB114" s="39"/>
      <c r="JC114" s="39"/>
      <c r="JD114" s="39"/>
      <c r="JE114" s="39"/>
      <c r="JF114" s="39"/>
      <c r="JG114" s="39"/>
      <c r="JH114" s="39"/>
      <c r="JI114" s="39"/>
      <c r="JJ114" s="39"/>
      <c r="JK114" s="39"/>
      <c r="JL114" s="39"/>
      <c r="JM114" s="39"/>
      <c r="JN114" s="39"/>
      <c r="JO114" s="39"/>
      <c r="JP114" s="39"/>
      <c r="JQ114" s="39"/>
      <c r="JR114" s="39"/>
      <c r="JS114" s="39"/>
      <c r="JT114" s="41" t="b">
        <f aca="false">TRUE()</f>
        <v>1</v>
      </c>
      <c r="JU114" s="39"/>
      <c r="JV114" s="39"/>
      <c r="JW114" s="39"/>
      <c r="JX114" s="39"/>
      <c r="JY114" s="39"/>
      <c r="JZ114" s="39"/>
      <c r="KA114" s="39"/>
      <c r="KB114" s="39"/>
      <c r="KC114" s="39"/>
      <c r="KD114" s="39"/>
      <c r="KE114" s="39"/>
      <c r="KF114" s="39"/>
      <c r="KG114" s="39"/>
      <c r="KH114" s="39"/>
      <c r="KI114" s="39"/>
      <c r="KJ114" s="39"/>
      <c r="KK114" s="39"/>
      <c r="KL114" s="39"/>
      <c r="KM114" s="39"/>
      <c r="KN114" s="39"/>
      <c r="KO114" s="41" t="b">
        <f aca="false">TRUE()</f>
        <v>1</v>
      </c>
      <c r="KP114" s="39"/>
      <c r="KQ114" s="39"/>
      <c r="KR114" s="39"/>
      <c r="KS114" s="39"/>
      <c r="KT114" s="41" t="b">
        <f aca="false">TRUE()</f>
        <v>1</v>
      </c>
      <c r="KU114" s="39"/>
    </row>
    <row r="115" customFormat="false" ht="14.4" hidden="false" customHeight="false" outlineLevel="0" collapsed="false">
      <c r="A115" s="37" t="s">
        <v>305</v>
      </c>
      <c r="B115" s="37" t="s">
        <v>2685</v>
      </c>
      <c r="C115" s="37"/>
      <c r="D115" s="37"/>
      <c r="E115" s="37"/>
      <c r="F115" s="37" t="s">
        <v>2686</v>
      </c>
      <c r="G115" s="37" t="s">
        <v>2687</v>
      </c>
      <c r="H115" s="37" t="s">
        <v>1453</v>
      </c>
      <c r="I115" s="37" t="s">
        <v>310</v>
      </c>
      <c r="J115" s="37" t="s">
        <v>311</v>
      </c>
      <c r="K115" s="37"/>
      <c r="L115" s="37"/>
      <c r="M115" s="37"/>
      <c r="N115" s="37"/>
      <c r="O115" s="37" t="s">
        <v>2688</v>
      </c>
      <c r="P115" s="37" t="s">
        <v>2689</v>
      </c>
      <c r="Q115" s="37" t="s">
        <v>2690</v>
      </c>
      <c r="R115" s="37" t="s">
        <v>2691</v>
      </c>
      <c r="S115" s="37" t="s">
        <v>2692</v>
      </c>
      <c r="T115" s="37" t="s">
        <v>2693</v>
      </c>
      <c r="U115" s="37" t="s">
        <v>2694</v>
      </c>
      <c r="V115" s="37"/>
      <c r="W115" s="37"/>
      <c r="X115" s="37"/>
      <c r="Y115" s="37"/>
      <c r="Z115" s="37"/>
      <c r="AA115" s="37" t="n">
        <v>30</v>
      </c>
      <c r="AB115" s="37" t="n">
        <v>1</v>
      </c>
      <c r="AC115" s="37" t="n">
        <v>1</v>
      </c>
      <c r="AD115" s="37" t="n">
        <v>9</v>
      </c>
      <c r="AE115" s="37" t="n">
        <v>29</v>
      </c>
      <c r="AF115" s="37" t="s">
        <v>546</v>
      </c>
      <c r="AG115" s="37" t="s">
        <v>547</v>
      </c>
      <c r="AH115" s="37" t="s">
        <v>548</v>
      </c>
      <c r="AI115" s="37"/>
      <c r="AJ115" s="37" t="s">
        <v>1465</v>
      </c>
      <c r="AK115" s="37"/>
      <c r="AL115" s="37" t="s">
        <v>1466</v>
      </c>
      <c r="AM115" s="37" t="s">
        <v>1467</v>
      </c>
      <c r="AN115" s="37" t="s">
        <v>2054</v>
      </c>
      <c r="AO115" s="37" t="n">
        <v>2023</v>
      </c>
      <c r="AP115" s="37" t="n">
        <v>15</v>
      </c>
      <c r="AQ115" s="37" t="n">
        <v>14</v>
      </c>
      <c r="AR115" s="37"/>
      <c r="AS115" s="37"/>
      <c r="AT115" s="37"/>
      <c r="AU115" s="37" t="n">
        <v>3536</v>
      </c>
      <c r="AV115" s="37" t="s">
        <v>2695</v>
      </c>
      <c r="AW115" s="37" t="str">
        <f aca="false">HYPERLINK("http://dx.doi.org/10.3390/rs15143536","http://dx.doi.org/10.3390/rs15143536")</f>
        <v>http://dx.doi.org/10.3390/rs15143536</v>
      </c>
      <c r="AX115" s="37"/>
      <c r="AY115" s="37" t="n">
        <v>18</v>
      </c>
      <c r="AZ115" s="37" t="s">
        <v>1469</v>
      </c>
      <c r="BA115" s="37" t="s">
        <v>331</v>
      </c>
      <c r="BB115" s="37" t="s">
        <v>1470</v>
      </c>
      <c r="BC115" s="37" t="s">
        <v>2696</v>
      </c>
      <c r="BD115" s="37"/>
      <c r="BE115" s="37" t="s">
        <v>503</v>
      </c>
      <c r="BF115" s="37" t="s">
        <v>334</v>
      </c>
      <c r="BG115" s="37" t="s">
        <v>2697</v>
      </c>
      <c r="BH115" s="37" t="str">
        <f aca="false">HYPERLINK("https%3A%2F%2Fwww.webofscience.com%2Fwos%2Fwoscc%2Ffull-record%2FWOS:001036424700001","View Full Record in Web of Science")</f>
        <v>View Full Record in Web of Science</v>
      </c>
      <c r="BI115" s="39"/>
      <c r="BJ115" s="39"/>
      <c r="BK115" s="39"/>
      <c r="BL115" s="39"/>
      <c r="BM115" s="39"/>
      <c r="BN115" s="39"/>
      <c r="BO115" s="39"/>
      <c r="BP115" s="39"/>
      <c r="BQ115" s="39"/>
      <c r="BR115" s="41" t="b">
        <f aca="false">TRUE()</f>
        <v>1</v>
      </c>
      <c r="BS115" s="39"/>
      <c r="BT115" s="39"/>
      <c r="BU115" s="39"/>
      <c r="BV115" s="39"/>
      <c r="BW115" s="39"/>
      <c r="BX115" s="39"/>
      <c r="BY115" s="39"/>
      <c r="BZ115" s="39"/>
      <c r="CA115" s="39"/>
      <c r="CB115" s="39"/>
      <c r="CC115" s="39"/>
      <c r="CD115" s="39"/>
      <c r="CE115" s="39"/>
      <c r="CF115" s="39"/>
      <c r="CG115" s="39"/>
      <c r="CH115" s="39"/>
      <c r="CI115" s="39"/>
      <c r="CJ115" s="39"/>
      <c r="CK115" s="39"/>
      <c r="CL115" s="39"/>
      <c r="CM115" s="39"/>
      <c r="CN115" s="39"/>
      <c r="CO115" s="39"/>
      <c r="CP115" s="39"/>
      <c r="CQ115" s="39"/>
      <c r="CR115" s="39"/>
      <c r="CS115" s="39"/>
      <c r="CT115" s="39"/>
      <c r="CU115" s="39"/>
      <c r="CV115" s="39"/>
      <c r="CW115" s="39"/>
      <c r="CX115" s="39"/>
      <c r="CY115" s="39"/>
      <c r="CZ115" s="39"/>
      <c r="DA115" s="39"/>
      <c r="DB115" s="39"/>
      <c r="DC115" s="39"/>
      <c r="DD115" s="39"/>
      <c r="DE115" s="39"/>
      <c r="DF115" s="39"/>
      <c r="DG115" s="39"/>
      <c r="DH115" s="39"/>
      <c r="DI115" s="39"/>
      <c r="DJ115" s="39"/>
      <c r="DK115" s="39"/>
      <c r="DL115" s="39"/>
      <c r="DM115" s="39"/>
      <c r="DN115" s="39"/>
      <c r="DO115" s="39"/>
      <c r="DP115" s="39"/>
      <c r="DQ115" s="39"/>
      <c r="DR115" s="39"/>
      <c r="DS115" s="39"/>
      <c r="DT115" s="39"/>
      <c r="DU115" s="39"/>
      <c r="DV115" s="39"/>
      <c r="DW115" s="39"/>
      <c r="DX115" s="39"/>
      <c r="DY115" s="39"/>
      <c r="DZ115" s="39"/>
      <c r="EA115" s="41" t="b">
        <f aca="false">TRUE()</f>
        <v>1</v>
      </c>
      <c r="EB115" s="39"/>
      <c r="EC115" s="39"/>
      <c r="ED115" s="39"/>
      <c r="EE115" s="39"/>
      <c r="EF115" s="39"/>
      <c r="EG115" s="39"/>
      <c r="EH115" s="39"/>
      <c r="EI115" s="39"/>
      <c r="EJ115" s="39"/>
      <c r="EK115" s="39"/>
      <c r="EL115" s="39"/>
      <c r="EM115" s="39"/>
      <c r="EN115" s="39"/>
      <c r="EO115" s="39"/>
      <c r="EP115" s="39"/>
      <c r="EQ115" s="39"/>
      <c r="ER115" s="39"/>
      <c r="ES115" s="39"/>
      <c r="ET115" s="39"/>
      <c r="EU115" s="39"/>
      <c r="EV115" s="39"/>
      <c r="EW115" s="39"/>
      <c r="EX115" s="39"/>
      <c r="EY115" s="39"/>
      <c r="EZ115" s="39"/>
      <c r="FA115" s="41" t="b">
        <f aca="false">TRUE()</f>
        <v>1</v>
      </c>
      <c r="FB115" s="39"/>
      <c r="FC115" s="41" t="b">
        <f aca="false">TRUE()</f>
        <v>1</v>
      </c>
      <c r="FD115" s="39"/>
      <c r="FE115" s="39"/>
      <c r="FF115" s="39"/>
      <c r="FG115" s="39"/>
      <c r="FH115" s="39"/>
      <c r="FI115" s="39"/>
      <c r="FJ115" s="39"/>
      <c r="FK115" s="41" t="b">
        <f aca="false">TRUE()</f>
        <v>1</v>
      </c>
      <c r="FL115" s="39"/>
      <c r="FM115" s="39"/>
      <c r="FN115" s="39"/>
      <c r="FO115" s="39"/>
      <c r="FP115" s="39"/>
      <c r="FQ115" s="39"/>
      <c r="FR115" s="39"/>
      <c r="FS115" s="39"/>
      <c r="FT115" s="39"/>
      <c r="FU115" s="39"/>
      <c r="FV115" s="39"/>
      <c r="FW115" s="39"/>
      <c r="FX115" s="39"/>
      <c r="FY115" s="39"/>
      <c r="FZ115" s="39"/>
      <c r="GA115" s="39"/>
      <c r="GB115" s="39"/>
      <c r="GC115" s="39"/>
      <c r="GD115" s="39"/>
      <c r="GE115" s="41" t="b">
        <f aca="false">TRUE()</f>
        <v>1</v>
      </c>
      <c r="GF115" s="39"/>
      <c r="GG115" s="39"/>
      <c r="GH115" s="39"/>
      <c r="GI115" s="39"/>
      <c r="GJ115" s="39"/>
      <c r="GK115" s="39"/>
      <c r="GL115" s="39"/>
      <c r="GM115" s="39"/>
      <c r="GN115" s="39"/>
      <c r="GO115" s="39"/>
      <c r="GP115" s="39"/>
      <c r="GQ115" s="39"/>
      <c r="GR115" s="39"/>
      <c r="GS115" s="39"/>
      <c r="GT115" s="39"/>
      <c r="GU115" s="39"/>
      <c r="GV115" s="39"/>
      <c r="GW115" s="39"/>
      <c r="GX115" s="39"/>
      <c r="GY115" s="39"/>
      <c r="GZ115" s="39"/>
      <c r="HA115" s="39"/>
      <c r="HB115" s="39"/>
      <c r="HC115" s="39"/>
      <c r="HD115" s="39"/>
      <c r="HE115" s="41" t="b">
        <f aca="false">TRUE()</f>
        <v>1</v>
      </c>
      <c r="HF115" s="39"/>
      <c r="HG115" s="39"/>
      <c r="HH115" s="39"/>
      <c r="HI115" s="39"/>
      <c r="HJ115" s="39"/>
      <c r="HK115" s="39"/>
      <c r="HL115" s="39"/>
      <c r="HM115" s="39"/>
      <c r="HN115" s="39"/>
      <c r="HO115" s="39"/>
      <c r="HP115" s="39"/>
      <c r="HQ115" s="39"/>
      <c r="HR115" s="39"/>
      <c r="HS115" s="39"/>
      <c r="HT115" s="39"/>
      <c r="HU115" s="39"/>
      <c r="HV115" s="39"/>
      <c r="HW115" s="39"/>
      <c r="HX115" s="39"/>
      <c r="HY115" s="39"/>
      <c r="HZ115" s="39"/>
      <c r="IA115" s="39"/>
      <c r="IB115" s="39"/>
      <c r="IC115" s="41" t="b">
        <f aca="false">TRUE()</f>
        <v>1</v>
      </c>
      <c r="ID115" s="39"/>
      <c r="IE115" s="39"/>
      <c r="IF115" s="39"/>
      <c r="IG115" s="39"/>
      <c r="IH115" s="39"/>
      <c r="II115" s="39"/>
      <c r="IJ115" s="39"/>
      <c r="IK115" s="39"/>
      <c r="IL115" s="39"/>
      <c r="IM115" s="39"/>
      <c r="IN115" s="39"/>
      <c r="IO115" s="39"/>
      <c r="IP115" s="39"/>
      <c r="IQ115" s="39"/>
      <c r="IR115" s="39"/>
      <c r="IS115" s="39"/>
      <c r="IT115" s="39"/>
      <c r="IU115" s="39"/>
      <c r="IV115" s="39"/>
      <c r="IW115" s="39"/>
      <c r="IX115" s="39"/>
      <c r="IY115" s="39"/>
      <c r="IZ115" s="39"/>
      <c r="JA115" s="39"/>
      <c r="JB115" s="39"/>
      <c r="JC115" s="39"/>
      <c r="JD115" s="39"/>
      <c r="JE115" s="39"/>
      <c r="JF115" s="39"/>
      <c r="JG115" s="39"/>
      <c r="JH115" s="39"/>
      <c r="JI115" s="39"/>
      <c r="JJ115" s="39"/>
      <c r="JK115" s="39"/>
      <c r="JL115" s="39"/>
      <c r="JM115" s="39"/>
      <c r="JN115" s="39"/>
      <c r="JO115" s="39"/>
      <c r="JP115" s="39"/>
      <c r="JQ115" s="39"/>
      <c r="JR115" s="39"/>
      <c r="JS115" s="39"/>
      <c r="JT115" s="41" t="b">
        <f aca="false">TRUE()</f>
        <v>1</v>
      </c>
      <c r="JU115" s="39"/>
      <c r="JV115" s="39"/>
      <c r="JW115" s="39"/>
      <c r="JX115" s="39"/>
      <c r="JY115" s="39"/>
      <c r="JZ115" s="39"/>
      <c r="KA115" s="39"/>
      <c r="KB115" s="39"/>
      <c r="KC115" s="39"/>
      <c r="KD115" s="39"/>
      <c r="KE115" s="39"/>
      <c r="KF115" s="39"/>
      <c r="KG115" s="39"/>
      <c r="KH115" s="39"/>
      <c r="KI115" s="39"/>
      <c r="KJ115" s="39"/>
      <c r="KK115" s="39"/>
      <c r="KL115" s="39"/>
      <c r="KM115" s="39"/>
      <c r="KN115" s="39"/>
      <c r="KO115" s="39"/>
      <c r="KP115" s="39"/>
      <c r="KQ115" s="39"/>
      <c r="KR115" s="41" t="b">
        <f aca="false">TRUE()</f>
        <v>1</v>
      </c>
      <c r="KS115" s="39"/>
      <c r="KT115" s="41" t="b">
        <f aca="false">TRUE()</f>
        <v>1</v>
      </c>
      <c r="KU115" s="39"/>
    </row>
    <row r="116" customFormat="false" ht="14.4" hidden="false" customHeight="false" outlineLevel="0" collapsed="false">
      <c r="A116" s="37" t="s">
        <v>305</v>
      </c>
      <c r="B116" s="37" t="s">
        <v>2698</v>
      </c>
      <c r="C116" s="37"/>
      <c r="D116" s="37"/>
      <c r="E116" s="37"/>
      <c r="F116" s="37" t="s">
        <v>2699</v>
      </c>
      <c r="G116" s="37" t="s">
        <v>2700</v>
      </c>
      <c r="H116" s="37" t="s">
        <v>2701</v>
      </c>
      <c r="I116" s="37" t="s">
        <v>310</v>
      </c>
      <c r="J116" s="37" t="s">
        <v>311</v>
      </c>
      <c r="K116" s="37"/>
      <c r="L116" s="37"/>
      <c r="M116" s="37"/>
      <c r="N116" s="37"/>
      <c r="O116" s="37" t="s">
        <v>2702</v>
      </c>
      <c r="P116" s="37" t="s">
        <v>2703</v>
      </c>
      <c r="Q116" s="37" t="s">
        <v>2704</v>
      </c>
      <c r="R116" s="37" t="s">
        <v>2705</v>
      </c>
      <c r="S116" s="37" t="s">
        <v>2706</v>
      </c>
      <c r="T116" s="37" t="s">
        <v>2707</v>
      </c>
      <c r="U116" s="37" t="s">
        <v>2708</v>
      </c>
      <c r="V116" s="37" t="s">
        <v>2709</v>
      </c>
      <c r="W116" s="37"/>
      <c r="X116" s="37" t="s">
        <v>2710</v>
      </c>
      <c r="Y116" s="37" t="s">
        <v>2711</v>
      </c>
      <c r="Z116" s="37" t="s">
        <v>1642</v>
      </c>
      <c r="AA116" s="37" t="n">
        <v>70</v>
      </c>
      <c r="AB116" s="37" t="n">
        <v>0</v>
      </c>
      <c r="AC116" s="37" t="n">
        <v>0</v>
      </c>
      <c r="AD116" s="37" t="n">
        <v>6</v>
      </c>
      <c r="AE116" s="37" t="n">
        <v>6</v>
      </c>
      <c r="AF116" s="37" t="s">
        <v>2712</v>
      </c>
      <c r="AG116" s="37" t="s">
        <v>2713</v>
      </c>
      <c r="AH116" s="37" t="s">
        <v>2714</v>
      </c>
      <c r="AI116" s="37" t="s">
        <v>2715</v>
      </c>
      <c r="AJ116" s="37" t="s">
        <v>2716</v>
      </c>
      <c r="AK116" s="37"/>
      <c r="AL116" s="37" t="s">
        <v>2717</v>
      </c>
      <c r="AM116" s="37" t="s">
        <v>2718</v>
      </c>
      <c r="AN116" s="37"/>
      <c r="AO116" s="37" t="n">
        <v>2024</v>
      </c>
      <c r="AP116" s="37" t="n">
        <v>10</v>
      </c>
      <c r="AQ116" s="37" t="n">
        <v>3</v>
      </c>
      <c r="AR116" s="37"/>
      <c r="AS116" s="37"/>
      <c r="AT116" s="37"/>
      <c r="AU116" s="37"/>
      <c r="AV116" s="37" t="s">
        <v>2719</v>
      </c>
      <c r="AW116" s="37" t="str">
        <f aca="false">HYPERLINK("http://dx.doi.org/10.1504/IJSAMI.2024.139728","http://dx.doi.org/10.1504/IJSAMI.2024.139728")</f>
        <v>http://dx.doi.org/10.1504/IJSAMI.2024.139728</v>
      </c>
      <c r="AX116" s="37"/>
      <c r="AY116" s="37" t="n">
        <v>32</v>
      </c>
      <c r="AZ116" s="37" t="s">
        <v>2720</v>
      </c>
      <c r="BA116" s="37" t="s">
        <v>575</v>
      </c>
      <c r="BB116" s="37" t="s">
        <v>2721</v>
      </c>
      <c r="BC116" s="37" t="s">
        <v>2722</v>
      </c>
      <c r="BD116" s="37"/>
      <c r="BE116" s="37"/>
      <c r="BF116" s="37" t="s">
        <v>334</v>
      </c>
      <c r="BG116" s="37" t="s">
        <v>2723</v>
      </c>
      <c r="BH116" s="37" t="str">
        <f aca="false">HYPERLINK("https%3A%2F%2Fwww.webofscience.com%2Fwos%2Fwoscc%2Ffull-record%2FWOS:001268298100005","View Full Record in Web of Science")</f>
        <v>View Full Record in Web of Science</v>
      </c>
      <c r="BI116" s="39"/>
      <c r="BJ116" s="39"/>
      <c r="BK116" s="39"/>
      <c r="BL116" s="39"/>
      <c r="BM116" s="39"/>
      <c r="BN116" s="39"/>
      <c r="BO116" s="39"/>
      <c r="BP116" s="39"/>
      <c r="BQ116" s="39"/>
      <c r="BR116" s="41" t="b">
        <f aca="false">TRUE()</f>
        <v>1</v>
      </c>
      <c r="BS116" s="39"/>
      <c r="BT116" s="39"/>
      <c r="BU116" s="39"/>
      <c r="BV116" s="39"/>
      <c r="BW116" s="39"/>
      <c r="BX116" s="39"/>
      <c r="BY116" s="39"/>
      <c r="BZ116" s="39"/>
      <c r="CA116" s="39"/>
      <c r="CB116" s="39"/>
      <c r="CC116" s="39"/>
      <c r="CD116" s="39"/>
      <c r="CE116" s="39"/>
      <c r="CF116" s="39"/>
      <c r="CG116" s="39"/>
      <c r="CH116" s="39"/>
      <c r="CI116" s="39"/>
      <c r="CJ116" s="39"/>
      <c r="CK116" s="39"/>
      <c r="CL116" s="39"/>
      <c r="CM116" s="39"/>
      <c r="CN116" s="39"/>
      <c r="CO116" s="39"/>
      <c r="CP116" s="39"/>
      <c r="CQ116" s="39"/>
      <c r="CR116" s="39"/>
      <c r="CS116" s="39"/>
      <c r="CT116" s="39"/>
      <c r="CU116" s="39"/>
      <c r="CV116" s="41" t="b">
        <f aca="false">TRUE()</f>
        <v>1</v>
      </c>
      <c r="CW116" s="39"/>
      <c r="CX116" s="39"/>
      <c r="CY116" s="39"/>
      <c r="CZ116" s="39"/>
      <c r="DA116" s="39"/>
      <c r="DB116" s="39"/>
      <c r="DC116" s="39"/>
      <c r="DD116" s="39"/>
      <c r="DE116" s="39"/>
      <c r="DF116" s="39"/>
      <c r="DG116" s="39"/>
      <c r="DH116" s="39"/>
      <c r="DI116" s="39"/>
      <c r="DJ116" s="39"/>
      <c r="DK116" s="39"/>
      <c r="DL116" s="39"/>
      <c r="DM116" s="39"/>
      <c r="DN116" s="39"/>
      <c r="DO116" s="39"/>
      <c r="DP116" s="39"/>
      <c r="DQ116" s="39"/>
      <c r="DR116" s="39"/>
      <c r="DS116" s="39"/>
      <c r="DT116" s="39"/>
      <c r="DU116" s="39"/>
      <c r="DV116" s="39"/>
      <c r="DW116" s="39"/>
      <c r="DX116" s="39"/>
      <c r="DY116" s="39"/>
      <c r="DZ116" s="39"/>
      <c r="EA116" s="41" t="b">
        <f aca="false">TRUE()</f>
        <v>1</v>
      </c>
      <c r="EB116" s="39"/>
      <c r="EC116" s="39"/>
      <c r="ED116" s="39"/>
      <c r="EE116" s="39"/>
      <c r="EF116" s="39"/>
      <c r="EG116" s="39"/>
      <c r="EH116" s="39"/>
      <c r="EI116" s="39"/>
      <c r="EJ116" s="39"/>
      <c r="EK116" s="39"/>
      <c r="EL116" s="39"/>
      <c r="EM116" s="39"/>
      <c r="EN116" s="39"/>
      <c r="EO116" s="39"/>
      <c r="EP116" s="39"/>
      <c r="EQ116" s="39"/>
      <c r="ER116" s="39"/>
      <c r="ES116" s="39"/>
      <c r="ET116" s="39"/>
      <c r="EU116" s="39"/>
      <c r="EV116" s="39"/>
      <c r="EW116" s="39"/>
      <c r="EX116" s="39"/>
      <c r="EY116" s="39"/>
      <c r="EZ116" s="39"/>
      <c r="FA116" s="39"/>
      <c r="FB116" s="39"/>
      <c r="FC116" s="39"/>
      <c r="FD116" s="39"/>
      <c r="FE116" s="39"/>
      <c r="FF116" s="39"/>
      <c r="FG116" s="39"/>
      <c r="FH116" s="39"/>
      <c r="FI116" s="39"/>
      <c r="FJ116" s="39"/>
      <c r="FK116" s="39"/>
      <c r="FL116" s="39"/>
      <c r="FM116" s="39"/>
      <c r="FN116" s="39"/>
      <c r="FO116" s="39"/>
      <c r="FP116" s="39"/>
      <c r="FQ116" s="39"/>
      <c r="FR116" s="39"/>
      <c r="FS116" s="39"/>
      <c r="FT116" s="39"/>
      <c r="FU116" s="39"/>
      <c r="FV116" s="39"/>
      <c r="FW116" s="39"/>
      <c r="FX116" s="39"/>
      <c r="FY116" s="39"/>
      <c r="FZ116" s="39"/>
      <c r="GA116" s="39"/>
      <c r="GB116" s="39"/>
      <c r="GC116" s="39"/>
      <c r="GD116" s="39"/>
      <c r="GE116" s="39"/>
      <c r="GF116" s="39"/>
      <c r="GG116" s="39"/>
      <c r="GH116" s="39"/>
      <c r="GI116" s="39"/>
      <c r="GJ116" s="39"/>
      <c r="GK116" s="39"/>
      <c r="GL116" s="39"/>
      <c r="GM116" s="39"/>
      <c r="GN116" s="39"/>
      <c r="GO116" s="39"/>
      <c r="GP116" s="39"/>
      <c r="GQ116" s="39"/>
      <c r="GR116" s="39"/>
      <c r="GS116" s="39"/>
      <c r="GT116" s="39"/>
      <c r="GU116" s="39"/>
      <c r="GV116" s="39"/>
      <c r="GW116" s="39"/>
      <c r="GX116" s="39"/>
      <c r="GY116" s="39"/>
      <c r="GZ116" s="39"/>
      <c r="HA116" s="39"/>
      <c r="HB116" s="39"/>
      <c r="HC116" s="39"/>
      <c r="HD116" s="39"/>
      <c r="HE116" s="39"/>
      <c r="HF116" s="39"/>
      <c r="HG116" s="39"/>
      <c r="HH116" s="39"/>
      <c r="HI116" s="39"/>
      <c r="HJ116" s="39"/>
      <c r="HK116" s="39"/>
      <c r="HL116" s="39"/>
      <c r="HM116" s="39"/>
      <c r="HN116" s="39"/>
      <c r="HO116" s="39"/>
      <c r="HP116" s="39"/>
      <c r="HQ116" s="39"/>
      <c r="HR116" s="39"/>
      <c r="HS116" s="39"/>
      <c r="HT116" s="39"/>
      <c r="HU116" s="39"/>
      <c r="HV116" s="39"/>
      <c r="HW116" s="39"/>
      <c r="HX116" s="39"/>
      <c r="HY116" s="39"/>
      <c r="HZ116" s="39"/>
      <c r="IA116" s="39"/>
      <c r="IB116" s="39"/>
      <c r="IC116" s="39"/>
      <c r="ID116" s="39"/>
      <c r="IE116" s="39"/>
      <c r="IF116" s="39"/>
      <c r="IG116" s="39"/>
      <c r="IH116" s="39"/>
      <c r="II116" s="39"/>
      <c r="IJ116" s="39"/>
      <c r="IK116" s="39"/>
      <c r="IL116" s="39"/>
      <c r="IM116" s="39"/>
      <c r="IN116" s="39"/>
      <c r="IO116" s="39"/>
      <c r="IP116" s="39"/>
      <c r="IQ116" s="39"/>
      <c r="IR116" s="39"/>
      <c r="IS116" s="39"/>
      <c r="IT116" s="39"/>
      <c r="IU116" s="39"/>
      <c r="IV116" s="39"/>
      <c r="IW116" s="39"/>
      <c r="IX116" s="41" t="b">
        <f aca="false">TRUE()</f>
        <v>1</v>
      </c>
      <c r="IY116" s="39"/>
      <c r="IZ116" s="39"/>
      <c r="JA116" s="39"/>
      <c r="JB116" s="39"/>
      <c r="JC116" s="39"/>
      <c r="JD116" s="39"/>
      <c r="JE116" s="39"/>
      <c r="JF116" s="39"/>
      <c r="JG116" s="39"/>
      <c r="JH116" s="39"/>
      <c r="JI116" s="39"/>
      <c r="JJ116" s="39"/>
      <c r="JK116" s="39"/>
      <c r="JL116" s="39"/>
      <c r="JM116" s="39"/>
      <c r="JN116" s="39"/>
      <c r="JO116" s="39"/>
      <c r="JP116" s="39"/>
      <c r="JQ116" s="39"/>
      <c r="JR116" s="39"/>
      <c r="JS116" s="39"/>
      <c r="JT116" s="41" t="b">
        <f aca="false">TRUE()</f>
        <v>1</v>
      </c>
      <c r="JU116" s="39"/>
      <c r="JV116" s="39"/>
      <c r="JW116" s="39"/>
      <c r="JX116" s="39"/>
      <c r="JY116" s="39"/>
      <c r="JZ116" s="39"/>
      <c r="KA116" s="39"/>
      <c r="KB116" s="39"/>
      <c r="KC116" s="39"/>
      <c r="KD116" s="39"/>
      <c r="KE116" s="39"/>
      <c r="KF116" s="39"/>
      <c r="KG116" s="39"/>
      <c r="KH116" s="39"/>
      <c r="KI116" s="39"/>
      <c r="KJ116" s="39"/>
      <c r="KK116" s="39"/>
      <c r="KL116" s="39"/>
      <c r="KM116" s="39"/>
      <c r="KN116" s="39"/>
      <c r="KO116" s="39"/>
      <c r="KP116" s="41" t="b">
        <f aca="false">TRUE()</f>
        <v>1</v>
      </c>
      <c r="KQ116" s="39"/>
      <c r="KR116" s="39"/>
      <c r="KS116" s="39"/>
      <c r="KT116" s="41" t="b">
        <f aca="false">TRUE()</f>
        <v>1</v>
      </c>
      <c r="KU116" s="39"/>
    </row>
    <row r="117" customFormat="false" ht="14.4" hidden="false" customHeight="false" outlineLevel="0" collapsed="false">
      <c r="A117" s="37" t="s">
        <v>305</v>
      </c>
      <c r="B117" s="37" t="s">
        <v>2724</v>
      </c>
      <c r="C117" s="37"/>
      <c r="D117" s="37"/>
      <c r="E117" s="37"/>
      <c r="F117" s="37" t="s">
        <v>2725</v>
      </c>
      <c r="G117" s="37" t="s">
        <v>2726</v>
      </c>
      <c r="H117" s="37" t="s">
        <v>1570</v>
      </c>
      <c r="I117" s="37" t="s">
        <v>310</v>
      </c>
      <c r="J117" s="37" t="s">
        <v>311</v>
      </c>
      <c r="K117" s="37"/>
      <c r="L117" s="37"/>
      <c r="M117" s="37"/>
      <c r="N117" s="37"/>
      <c r="O117" s="37"/>
      <c r="P117" s="37" t="s">
        <v>2727</v>
      </c>
      <c r="Q117" s="37" t="s">
        <v>2728</v>
      </c>
      <c r="R117" s="37" t="s">
        <v>2729</v>
      </c>
      <c r="S117" s="37" t="s">
        <v>2730</v>
      </c>
      <c r="T117" s="37" t="s">
        <v>2731</v>
      </c>
      <c r="U117" s="37" t="s">
        <v>2732</v>
      </c>
      <c r="V117" s="37"/>
      <c r="W117" s="37" t="s">
        <v>2733</v>
      </c>
      <c r="X117" s="37" t="s">
        <v>2734</v>
      </c>
      <c r="Y117" s="37" t="s">
        <v>2735</v>
      </c>
      <c r="Z117" s="37" t="s">
        <v>2736</v>
      </c>
      <c r="AA117" s="37" t="n">
        <v>116</v>
      </c>
      <c r="AB117" s="37" t="n">
        <v>11</v>
      </c>
      <c r="AC117" s="37" t="n">
        <v>11</v>
      </c>
      <c r="AD117" s="37" t="n">
        <v>13</v>
      </c>
      <c r="AE117" s="37" t="n">
        <v>32</v>
      </c>
      <c r="AF117" s="37" t="s">
        <v>1582</v>
      </c>
      <c r="AG117" s="37" t="s">
        <v>1583</v>
      </c>
      <c r="AH117" s="37" t="s">
        <v>1584</v>
      </c>
      <c r="AI117" s="37" t="s">
        <v>1585</v>
      </c>
      <c r="AJ117" s="37" t="s">
        <v>1586</v>
      </c>
      <c r="AK117" s="37"/>
      <c r="AL117" s="37" t="s">
        <v>1587</v>
      </c>
      <c r="AM117" s="37" t="s">
        <v>1588</v>
      </c>
      <c r="AN117" s="37" t="s">
        <v>2737</v>
      </c>
      <c r="AO117" s="37" t="n">
        <v>2024</v>
      </c>
      <c r="AP117" s="37" t="n">
        <v>28</v>
      </c>
      <c r="AQ117" s="37" t="n">
        <v>3</v>
      </c>
      <c r="AR117" s="37"/>
      <c r="AS117" s="37" t="n">
        <v>479</v>
      </c>
      <c r="AT117" s="37" t="n">
        <v>503</v>
      </c>
      <c r="AU117" s="37"/>
      <c r="AV117" s="37" t="s">
        <v>2738</v>
      </c>
      <c r="AW117" s="37" t="str">
        <f aca="false">HYPERLINK("http://dx.doi.org/10.5194/hess-28-479-2024","http://dx.doi.org/10.5194/hess-28-479-2024")</f>
        <v>http://dx.doi.org/10.5194/hess-28-479-2024</v>
      </c>
      <c r="AX117" s="37"/>
      <c r="AY117" s="37" t="n">
        <v>25</v>
      </c>
      <c r="AZ117" s="37" t="s">
        <v>1591</v>
      </c>
      <c r="BA117" s="37" t="s">
        <v>331</v>
      </c>
      <c r="BB117" s="37" t="s">
        <v>1592</v>
      </c>
      <c r="BC117" s="37" t="s">
        <v>2739</v>
      </c>
      <c r="BD117" s="37"/>
      <c r="BE117" s="37" t="s">
        <v>503</v>
      </c>
      <c r="BF117" s="37" t="s">
        <v>334</v>
      </c>
      <c r="BG117" s="37" t="s">
        <v>2740</v>
      </c>
      <c r="BH117" s="37" t="str">
        <f aca="false">HYPERLINK("https%3A%2F%2Fwww.webofscience.com%2Fwos%2Fwoscc%2Ffull-record%2FWOS:001190493200001","View Full Record in Web of Science")</f>
        <v>View Full Record in Web of Science</v>
      </c>
      <c r="BI117" s="39"/>
      <c r="BJ117" s="39"/>
      <c r="BK117" s="39"/>
      <c r="BL117" s="39"/>
      <c r="BM117" s="39"/>
      <c r="BN117" s="39"/>
      <c r="BO117" s="39"/>
      <c r="BP117" s="39"/>
      <c r="BQ117" s="39"/>
      <c r="BR117" s="41" t="b">
        <f aca="false">TRUE()</f>
        <v>1</v>
      </c>
      <c r="BS117" s="39"/>
      <c r="BT117" s="39"/>
      <c r="BU117" s="39"/>
      <c r="BV117" s="39"/>
      <c r="BW117" s="39"/>
      <c r="BX117" s="39"/>
      <c r="BY117" s="39"/>
      <c r="BZ117" s="39"/>
      <c r="CA117" s="39"/>
      <c r="CB117" s="39"/>
      <c r="CC117" s="39"/>
      <c r="CD117" s="39"/>
      <c r="CE117" s="39"/>
      <c r="CF117" s="39"/>
      <c r="CG117" s="39"/>
      <c r="CH117" s="39"/>
      <c r="CI117" s="39"/>
      <c r="CJ117" s="39"/>
      <c r="CK117" s="39"/>
      <c r="CL117" s="39"/>
      <c r="CM117" s="39"/>
      <c r="CN117" s="39"/>
      <c r="CO117" s="39"/>
      <c r="CP117" s="39"/>
      <c r="CQ117" s="39"/>
      <c r="CR117" s="39"/>
      <c r="CS117" s="39"/>
      <c r="CT117" s="39"/>
      <c r="CU117" s="39"/>
      <c r="CV117" s="39"/>
      <c r="CW117" s="39"/>
      <c r="CX117" s="39"/>
      <c r="CY117" s="39"/>
      <c r="CZ117" s="39"/>
      <c r="DA117" s="39"/>
      <c r="DB117" s="39"/>
      <c r="DC117" s="39"/>
      <c r="DD117" s="39"/>
      <c r="DE117" s="39"/>
      <c r="DF117" s="39"/>
      <c r="DG117" s="39"/>
      <c r="DH117" s="39"/>
      <c r="DI117" s="39"/>
      <c r="DJ117" s="39"/>
      <c r="DK117" s="39"/>
      <c r="DL117" s="39"/>
      <c r="DM117" s="39"/>
      <c r="DN117" s="39"/>
      <c r="DO117" s="39"/>
      <c r="DP117" s="39"/>
      <c r="DQ117" s="39"/>
      <c r="DR117" s="39"/>
      <c r="DS117" s="39"/>
      <c r="DT117" s="39"/>
      <c r="DU117" s="39"/>
      <c r="DV117" s="39"/>
      <c r="DW117" s="39"/>
      <c r="DX117" s="39"/>
      <c r="DY117" s="39"/>
      <c r="DZ117" s="39"/>
      <c r="EA117" s="39"/>
      <c r="EB117" s="41" t="b">
        <f aca="false">TRUE()</f>
        <v>1</v>
      </c>
      <c r="EC117" s="39"/>
      <c r="ED117" s="39"/>
      <c r="EE117" s="39"/>
      <c r="EF117" s="39"/>
      <c r="EG117" s="39"/>
      <c r="EH117" s="39"/>
      <c r="EI117" s="39"/>
      <c r="EJ117" s="39"/>
      <c r="EK117" s="39"/>
      <c r="EL117" s="39"/>
      <c r="EM117" s="39"/>
      <c r="EN117" s="39"/>
      <c r="EO117" s="39"/>
      <c r="EP117" s="39"/>
      <c r="EQ117" s="41" t="b">
        <f aca="false">TRUE()</f>
        <v>1</v>
      </c>
      <c r="ER117" s="39"/>
      <c r="ES117" s="39"/>
      <c r="ET117" s="39"/>
      <c r="EU117" s="39"/>
      <c r="EV117" s="39"/>
      <c r="EW117" s="39"/>
      <c r="EX117" s="39"/>
      <c r="EY117" s="39"/>
      <c r="EZ117" s="39"/>
      <c r="FA117" s="39"/>
      <c r="FB117" s="41" t="b">
        <f aca="false">TRUE()</f>
        <v>1</v>
      </c>
      <c r="FC117" s="41" t="b">
        <f aca="false">TRUE()</f>
        <v>1</v>
      </c>
      <c r="FD117" s="39"/>
      <c r="FE117" s="39"/>
      <c r="FF117" s="39"/>
      <c r="FG117" s="39"/>
      <c r="FH117" s="39"/>
      <c r="FI117" s="39"/>
      <c r="FJ117" s="39"/>
      <c r="FK117" s="39"/>
      <c r="FL117" s="39"/>
      <c r="FM117" s="39"/>
      <c r="FN117" s="39"/>
      <c r="FO117" s="39"/>
      <c r="FP117" s="39"/>
      <c r="FQ117" s="39"/>
      <c r="FR117" s="39"/>
      <c r="FS117" s="39"/>
      <c r="FT117" s="39"/>
      <c r="FU117" s="39"/>
      <c r="FV117" s="39"/>
      <c r="FW117" s="39"/>
      <c r="FX117" s="39"/>
      <c r="FY117" s="39"/>
      <c r="FZ117" s="39"/>
      <c r="GA117" s="39"/>
      <c r="GB117" s="39"/>
      <c r="GC117" s="39"/>
      <c r="GD117" s="39"/>
      <c r="GE117" s="39"/>
      <c r="GF117" s="39"/>
      <c r="GG117" s="39"/>
      <c r="GH117" s="39"/>
      <c r="GI117" s="39"/>
      <c r="GJ117" s="39"/>
      <c r="GK117" s="39"/>
      <c r="GL117" s="39"/>
      <c r="GM117" s="39"/>
      <c r="GN117" s="39"/>
      <c r="GO117" s="39"/>
      <c r="GP117" s="41" t="b">
        <f aca="false">TRUE()</f>
        <v>1</v>
      </c>
      <c r="GQ117" s="39"/>
      <c r="GR117" s="39"/>
      <c r="GS117" s="39"/>
      <c r="GT117" s="39"/>
      <c r="GU117" s="39"/>
      <c r="GV117" s="39"/>
      <c r="GW117" s="39"/>
      <c r="GX117" s="39"/>
      <c r="GY117" s="39"/>
      <c r="GZ117" s="39"/>
      <c r="HA117" s="39"/>
      <c r="HB117" s="39"/>
      <c r="HC117" s="39"/>
      <c r="HD117" s="39"/>
      <c r="HE117" s="39"/>
      <c r="HF117" s="39"/>
      <c r="HG117" s="39"/>
      <c r="HH117" s="39"/>
      <c r="HI117" s="39"/>
      <c r="HJ117" s="39"/>
      <c r="HK117" s="39"/>
      <c r="HL117" s="39"/>
      <c r="HM117" s="39"/>
      <c r="HN117" s="41" t="b">
        <f aca="false">TRUE()</f>
        <v>1</v>
      </c>
      <c r="HO117" s="39"/>
      <c r="HP117" s="39"/>
      <c r="HQ117" s="39"/>
      <c r="HR117" s="39"/>
      <c r="HS117" s="39"/>
      <c r="HT117" s="39"/>
      <c r="HU117" s="41" t="b">
        <f aca="false">TRUE()</f>
        <v>1</v>
      </c>
      <c r="HV117" s="41" t="b">
        <f aca="false">TRUE()</f>
        <v>1</v>
      </c>
      <c r="HW117" s="39"/>
      <c r="HX117" s="39"/>
      <c r="HY117" s="39"/>
      <c r="HZ117" s="39"/>
      <c r="IA117" s="39"/>
      <c r="IB117" s="39"/>
      <c r="IC117" s="41" t="b">
        <f aca="false">TRUE()</f>
        <v>1</v>
      </c>
      <c r="ID117" s="39"/>
      <c r="IE117" s="39"/>
      <c r="IF117" s="39"/>
      <c r="IG117" s="39"/>
      <c r="IH117" s="39"/>
      <c r="II117" s="39"/>
      <c r="IJ117" s="39"/>
      <c r="IK117" s="39"/>
      <c r="IL117" s="39"/>
      <c r="IM117" s="39"/>
      <c r="IN117" s="39"/>
      <c r="IO117" s="39"/>
      <c r="IP117" s="39"/>
      <c r="IQ117" s="39"/>
      <c r="IR117" s="39"/>
      <c r="IS117" s="39"/>
      <c r="IT117" s="39"/>
      <c r="IU117" s="39"/>
      <c r="IV117" s="39"/>
      <c r="IW117" s="39"/>
      <c r="IX117" s="39"/>
      <c r="IY117" s="39"/>
      <c r="IZ117" s="39"/>
      <c r="JA117" s="39"/>
      <c r="JB117" s="39"/>
      <c r="JC117" s="39"/>
      <c r="JD117" s="39"/>
      <c r="JE117" s="39"/>
      <c r="JF117" s="39"/>
      <c r="JG117" s="39"/>
      <c r="JH117" s="39"/>
      <c r="JI117" s="39"/>
      <c r="JJ117" s="39"/>
      <c r="JK117" s="39"/>
      <c r="JL117" s="39"/>
      <c r="JM117" s="39"/>
      <c r="JN117" s="39"/>
      <c r="JO117" s="39"/>
      <c r="JP117" s="39"/>
      <c r="JQ117" s="39"/>
      <c r="JR117" s="39"/>
      <c r="JS117" s="39"/>
      <c r="JT117" s="41" t="b">
        <f aca="false">TRUE()</f>
        <v>1</v>
      </c>
      <c r="JU117" s="41" t="b">
        <f aca="false">TRUE()</f>
        <v>1</v>
      </c>
      <c r="JV117" s="39"/>
      <c r="JW117" s="39"/>
      <c r="JX117" s="39"/>
      <c r="JY117" s="39"/>
      <c r="JZ117" s="39"/>
      <c r="KA117" s="39"/>
      <c r="KB117" s="39"/>
      <c r="KC117" s="39"/>
      <c r="KD117" s="39"/>
      <c r="KE117" s="39"/>
      <c r="KF117" s="39"/>
      <c r="KG117" s="39"/>
      <c r="KH117" s="39"/>
      <c r="KI117" s="39"/>
      <c r="KJ117" s="39"/>
      <c r="KK117" s="39"/>
      <c r="KL117" s="39"/>
      <c r="KM117" s="39"/>
      <c r="KN117" s="39"/>
      <c r="KO117" s="39"/>
      <c r="KP117" s="39"/>
      <c r="KQ117" s="41" t="b">
        <f aca="false">TRUE()</f>
        <v>1</v>
      </c>
      <c r="KR117" s="41" t="b">
        <f aca="false">TRUE()</f>
        <v>1</v>
      </c>
      <c r="KS117" s="39"/>
      <c r="KT117" s="41" t="b">
        <f aca="false">TRUE()</f>
        <v>1</v>
      </c>
      <c r="KU117" s="39"/>
    </row>
    <row r="118" customFormat="false" ht="14.4" hidden="false" customHeight="false" outlineLevel="0" collapsed="false">
      <c r="A118" s="37" t="s">
        <v>305</v>
      </c>
      <c r="B118" s="37" t="s">
        <v>2741</v>
      </c>
      <c r="C118" s="37"/>
      <c r="D118" s="37"/>
      <c r="E118" s="37"/>
      <c r="F118" s="37" t="s">
        <v>2742</v>
      </c>
      <c r="G118" s="37" t="s">
        <v>2743</v>
      </c>
      <c r="H118" s="37" t="s">
        <v>783</v>
      </c>
      <c r="I118" s="37" t="s">
        <v>310</v>
      </c>
      <c r="J118" s="37" t="s">
        <v>311</v>
      </c>
      <c r="K118" s="37"/>
      <c r="L118" s="37"/>
      <c r="M118" s="37"/>
      <c r="N118" s="37"/>
      <c r="O118" s="37" t="s">
        <v>2744</v>
      </c>
      <c r="P118" s="37" t="s">
        <v>2745</v>
      </c>
      <c r="Q118" s="37" t="s">
        <v>2746</v>
      </c>
      <c r="R118" s="37" t="s">
        <v>2747</v>
      </c>
      <c r="S118" s="37" t="s">
        <v>2748</v>
      </c>
      <c r="T118" s="37" t="s">
        <v>2749</v>
      </c>
      <c r="U118" s="37" t="s">
        <v>2750</v>
      </c>
      <c r="V118" s="37" t="s">
        <v>2751</v>
      </c>
      <c r="W118" s="37"/>
      <c r="X118" s="37" t="s">
        <v>2752</v>
      </c>
      <c r="Y118" s="37" t="s">
        <v>2752</v>
      </c>
      <c r="Z118" s="37" t="s">
        <v>2753</v>
      </c>
      <c r="AA118" s="37" t="n">
        <v>66</v>
      </c>
      <c r="AB118" s="37" t="n">
        <v>1</v>
      </c>
      <c r="AC118" s="37" t="n">
        <v>1</v>
      </c>
      <c r="AD118" s="37" t="n">
        <v>2</v>
      </c>
      <c r="AE118" s="37" t="n">
        <v>14</v>
      </c>
      <c r="AF118" s="37" t="s">
        <v>795</v>
      </c>
      <c r="AG118" s="37" t="s">
        <v>525</v>
      </c>
      <c r="AH118" s="37" t="s">
        <v>796</v>
      </c>
      <c r="AI118" s="37" t="s">
        <v>797</v>
      </c>
      <c r="AJ118" s="37" t="s">
        <v>798</v>
      </c>
      <c r="AK118" s="37"/>
      <c r="AL118" s="37" t="s">
        <v>799</v>
      </c>
      <c r="AM118" s="37" t="s">
        <v>800</v>
      </c>
      <c r="AN118" s="37" t="s">
        <v>328</v>
      </c>
      <c r="AO118" s="37" t="n">
        <v>2024</v>
      </c>
      <c r="AP118" s="37" t="n">
        <v>297</v>
      </c>
      <c r="AQ118" s="37"/>
      <c r="AR118" s="37"/>
      <c r="AS118" s="37"/>
      <c r="AT118" s="37"/>
      <c r="AU118" s="37" t="n">
        <v>107107</v>
      </c>
      <c r="AV118" s="37" t="s">
        <v>2754</v>
      </c>
      <c r="AW118" s="37" t="str">
        <f aca="false">HYPERLINK("http://dx.doi.org/10.1016/j.atmosres.2023.107107","http://dx.doi.org/10.1016/j.atmosres.2023.107107")</f>
        <v>http://dx.doi.org/10.1016/j.atmosres.2023.107107</v>
      </c>
      <c r="AX118" s="37" t="s">
        <v>410</v>
      </c>
      <c r="AY118" s="37" t="n">
        <v>16</v>
      </c>
      <c r="AZ118" s="37" t="s">
        <v>804</v>
      </c>
      <c r="BA118" s="37" t="s">
        <v>331</v>
      </c>
      <c r="BB118" s="37" t="s">
        <v>804</v>
      </c>
      <c r="BC118" s="37" t="s">
        <v>2755</v>
      </c>
      <c r="BD118" s="37"/>
      <c r="BE118" s="37" t="s">
        <v>1986</v>
      </c>
      <c r="BF118" s="37" t="s">
        <v>334</v>
      </c>
      <c r="BG118" s="37" t="s">
        <v>2756</v>
      </c>
      <c r="BH118" s="37" t="str">
        <f aca="false">HYPERLINK("https%3A%2F%2Fwww.webofscience.com%2Fwos%2Fwoscc%2Ffull-record%2FWOS:001118536600001","View Full Record in Web of Science")</f>
        <v>View Full Record in Web of Science</v>
      </c>
      <c r="BI118" s="39"/>
      <c r="BJ118" s="39"/>
      <c r="BK118" s="39"/>
      <c r="BL118" s="39"/>
      <c r="BM118" s="39"/>
      <c r="BN118" s="39"/>
      <c r="BO118" s="39"/>
      <c r="BP118" s="39"/>
      <c r="BQ118" s="39"/>
      <c r="BR118" s="39"/>
      <c r="BS118" s="39"/>
      <c r="BT118" s="39"/>
      <c r="BU118" s="39"/>
      <c r="BV118" s="39"/>
      <c r="BW118" s="39"/>
      <c r="BX118" s="39"/>
      <c r="BY118" s="41" t="b">
        <f aca="false">TRUE()</f>
        <v>1</v>
      </c>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c r="DA118" s="39"/>
      <c r="DB118" s="39"/>
      <c r="DC118" s="39"/>
      <c r="DD118" s="39"/>
      <c r="DE118" s="39"/>
      <c r="DF118" s="39"/>
      <c r="DG118" s="39"/>
      <c r="DH118" s="39"/>
      <c r="DI118" s="39"/>
      <c r="DJ118" s="39"/>
      <c r="DK118" s="39"/>
      <c r="DL118" s="39"/>
      <c r="DM118" s="39"/>
      <c r="DN118" s="39"/>
      <c r="DO118" s="39"/>
      <c r="DP118" s="39"/>
      <c r="DQ118" s="39"/>
      <c r="DR118" s="39"/>
      <c r="DS118" s="39"/>
      <c r="DT118" s="39"/>
      <c r="DU118" s="39"/>
      <c r="DV118" s="39"/>
      <c r="DW118" s="39"/>
      <c r="DX118" s="39"/>
      <c r="DY118" s="39"/>
      <c r="DZ118" s="39"/>
      <c r="EA118" s="41" t="b">
        <f aca="false">TRUE()</f>
        <v>1</v>
      </c>
      <c r="EB118" s="39"/>
      <c r="EC118" s="39"/>
      <c r="ED118" s="39"/>
      <c r="EE118" s="39"/>
      <c r="EF118" s="39"/>
      <c r="EG118" s="39"/>
      <c r="EH118" s="39"/>
      <c r="EI118" s="41" t="b">
        <f aca="false">TRUE()</f>
        <v>1</v>
      </c>
      <c r="EJ118" s="39"/>
      <c r="EK118" s="39"/>
      <c r="EL118" s="39"/>
      <c r="EM118" s="39"/>
      <c r="EN118" s="41" t="b">
        <f aca="false">TRUE()</f>
        <v>1</v>
      </c>
      <c r="EO118" s="39"/>
      <c r="EP118" s="39"/>
      <c r="EQ118" s="39"/>
      <c r="ER118" s="39"/>
      <c r="ES118" s="39"/>
      <c r="ET118" s="39"/>
      <c r="EU118" s="39"/>
      <c r="EV118" s="39"/>
      <c r="EW118" s="39"/>
      <c r="EX118" s="39"/>
      <c r="EY118" s="41" t="b">
        <f aca="false">TRUE()</f>
        <v>1</v>
      </c>
      <c r="EZ118" s="39"/>
      <c r="FA118" s="39"/>
      <c r="FB118" s="39"/>
      <c r="FC118" s="39"/>
      <c r="FD118" s="39"/>
      <c r="FE118" s="39"/>
      <c r="FF118" s="39"/>
      <c r="FG118" s="39"/>
      <c r="FH118" s="39"/>
      <c r="FI118" s="39"/>
      <c r="FJ118" s="39"/>
      <c r="FK118" s="41" t="b">
        <f aca="false">TRUE()</f>
        <v>1</v>
      </c>
      <c r="FL118" s="39"/>
      <c r="FM118" s="39"/>
      <c r="FN118" s="39"/>
      <c r="FO118" s="39"/>
      <c r="FP118" s="39"/>
      <c r="FQ118" s="39"/>
      <c r="FR118" s="39"/>
      <c r="FS118" s="39"/>
      <c r="FT118" s="39"/>
      <c r="FU118" s="39"/>
      <c r="FV118" s="39"/>
      <c r="FW118" s="39"/>
      <c r="FX118" s="39"/>
      <c r="FY118" s="39"/>
      <c r="FZ118" s="39"/>
      <c r="GA118" s="41" t="b">
        <f aca="false">TRUE()</f>
        <v>1</v>
      </c>
      <c r="GB118" s="39"/>
      <c r="GC118" s="39"/>
      <c r="GD118" s="39"/>
      <c r="GE118" s="39"/>
      <c r="GF118" s="39"/>
      <c r="GG118" s="39"/>
      <c r="GH118" s="39"/>
      <c r="GI118" s="39"/>
      <c r="GJ118" s="39"/>
      <c r="GK118" s="39"/>
      <c r="GL118" s="39"/>
      <c r="GM118" s="39"/>
      <c r="GN118" s="39"/>
      <c r="GO118" s="39"/>
      <c r="GP118" s="39"/>
      <c r="GQ118" s="39"/>
      <c r="GR118" s="39"/>
      <c r="GS118" s="39"/>
      <c r="GT118" s="39"/>
      <c r="GU118" s="39"/>
      <c r="GV118" s="39"/>
      <c r="GW118" s="39"/>
      <c r="GX118" s="39"/>
      <c r="GY118" s="39"/>
      <c r="GZ118" s="39"/>
      <c r="HA118" s="39"/>
      <c r="HB118" s="39"/>
      <c r="HC118" s="39"/>
      <c r="HD118" s="39"/>
      <c r="HE118" s="39"/>
      <c r="HF118" s="39"/>
      <c r="HG118" s="39"/>
      <c r="HH118" s="39"/>
      <c r="HI118" s="39"/>
      <c r="HJ118" s="39"/>
      <c r="HK118" s="39"/>
      <c r="HL118" s="39"/>
      <c r="HM118" s="39"/>
      <c r="HN118" s="39"/>
      <c r="HO118" s="39"/>
      <c r="HP118" s="39"/>
      <c r="HQ118" s="39"/>
      <c r="HR118" s="39"/>
      <c r="HS118" s="39"/>
      <c r="HT118" s="41" t="b">
        <f aca="false">TRUE()</f>
        <v>1</v>
      </c>
      <c r="HU118" s="39"/>
      <c r="HV118" s="39"/>
      <c r="HW118" s="39"/>
      <c r="HX118" s="39"/>
      <c r="HY118" s="39"/>
      <c r="HZ118" s="39"/>
      <c r="IA118" s="39"/>
      <c r="IB118" s="39"/>
      <c r="IC118" s="41" t="b">
        <f aca="false">TRUE()</f>
        <v>1</v>
      </c>
      <c r="ID118" s="39"/>
      <c r="IE118" s="39"/>
      <c r="IF118" s="39"/>
      <c r="IG118" s="39"/>
      <c r="IH118" s="39"/>
      <c r="II118" s="39"/>
      <c r="IJ118" s="39"/>
      <c r="IK118" s="39"/>
      <c r="IL118" s="39"/>
      <c r="IM118" s="39"/>
      <c r="IN118" s="39"/>
      <c r="IO118" s="39"/>
      <c r="IP118" s="39"/>
      <c r="IQ118" s="39"/>
      <c r="IR118" s="39"/>
      <c r="IS118" s="39"/>
      <c r="IT118" s="39"/>
      <c r="IU118" s="39"/>
      <c r="IV118" s="39"/>
      <c r="IW118" s="39"/>
      <c r="IX118" s="39"/>
      <c r="IY118" s="39"/>
      <c r="IZ118" s="39"/>
      <c r="JA118" s="39"/>
      <c r="JB118" s="39"/>
      <c r="JC118" s="39"/>
      <c r="JD118" s="39"/>
      <c r="JE118" s="39"/>
      <c r="JF118" s="39"/>
      <c r="JG118" s="39"/>
      <c r="JH118" s="39"/>
      <c r="JI118" s="39"/>
      <c r="JJ118" s="39"/>
      <c r="JK118" s="39"/>
      <c r="JL118" s="39"/>
      <c r="JM118" s="39"/>
      <c r="JN118" s="39"/>
      <c r="JO118" s="39"/>
      <c r="JP118" s="39"/>
      <c r="JQ118" s="39"/>
      <c r="JR118" s="39"/>
      <c r="JS118" s="39"/>
      <c r="JT118" s="41" t="b">
        <f aca="false">TRUE()</f>
        <v>1</v>
      </c>
      <c r="JU118" s="39"/>
      <c r="JV118" s="39"/>
      <c r="JW118" s="41" t="b">
        <f aca="false">TRUE()</f>
        <v>1</v>
      </c>
      <c r="JX118" s="39"/>
      <c r="JY118" s="39"/>
      <c r="JZ118" s="39"/>
      <c r="KA118" s="39"/>
      <c r="KB118" s="39"/>
      <c r="KC118" s="39"/>
      <c r="KD118" s="39"/>
      <c r="KE118" s="39"/>
      <c r="KF118" s="39"/>
      <c r="KG118" s="39"/>
      <c r="KH118" s="39"/>
      <c r="KI118" s="39"/>
      <c r="KJ118" s="39"/>
      <c r="KK118" s="39"/>
      <c r="KL118" s="39"/>
      <c r="KM118" s="39"/>
      <c r="KN118" s="39"/>
      <c r="KO118" s="39"/>
      <c r="KP118" s="39"/>
      <c r="KQ118" s="41" t="b">
        <f aca="false">TRUE()</f>
        <v>1</v>
      </c>
      <c r="KR118" s="39"/>
      <c r="KS118" s="39"/>
      <c r="KT118" s="41" t="b">
        <f aca="false">TRUE()</f>
        <v>1</v>
      </c>
      <c r="KU118" s="39"/>
    </row>
    <row r="119" customFormat="false" ht="14.4" hidden="false" customHeight="false" outlineLevel="0" collapsed="false">
      <c r="A119" s="37" t="s">
        <v>305</v>
      </c>
      <c r="B119" s="37" t="s">
        <v>2757</v>
      </c>
      <c r="C119" s="37"/>
      <c r="D119" s="37"/>
      <c r="E119" s="37"/>
      <c r="F119" s="37" t="s">
        <v>2758</v>
      </c>
      <c r="G119" s="37" t="s">
        <v>2759</v>
      </c>
      <c r="H119" s="37" t="s">
        <v>2760</v>
      </c>
      <c r="I119" s="37" t="s">
        <v>310</v>
      </c>
      <c r="J119" s="37" t="s">
        <v>311</v>
      </c>
      <c r="K119" s="37"/>
      <c r="L119" s="37"/>
      <c r="M119" s="37"/>
      <c r="N119" s="37"/>
      <c r="O119" s="37"/>
      <c r="P119" s="37" t="s">
        <v>2761</v>
      </c>
      <c r="Q119" s="37" t="s">
        <v>2762</v>
      </c>
      <c r="R119" s="37" t="s">
        <v>2763</v>
      </c>
      <c r="S119" s="37" t="s">
        <v>2764</v>
      </c>
      <c r="T119" s="37" t="s">
        <v>2765</v>
      </c>
      <c r="U119" s="37" t="s">
        <v>2766</v>
      </c>
      <c r="V119" s="37" t="s">
        <v>2767</v>
      </c>
      <c r="W119" s="37" t="s">
        <v>2768</v>
      </c>
      <c r="X119" s="37" t="s">
        <v>2769</v>
      </c>
      <c r="Y119" s="37" t="s">
        <v>2770</v>
      </c>
      <c r="Z119" s="37" t="s">
        <v>2771</v>
      </c>
      <c r="AA119" s="37" t="n">
        <v>65</v>
      </c>
      <c r="AB119" s="37" t="n">
        <v>167</v>
      </c>
      <c r="AC119" s="37" t="n">
        <v>189</v>
      </c>
      <c r="AD119" s="37" t="n">
        <v>28</v>
      </c>
      <c r="AE119" s="37" t="n">
        <v>217</v>
      </c>
      <c r="AF119" s="37" t="s">
        <v>672</v>
      </c>
      <c r="AG119" s="37" t="s">
        <v>673</v>
      </c>
      <c r="AH119" s="37" t="s">
        <v>674</v>
      </c>
      <c r="AI119" s="37" t="s">
        <v>2772</v>
      </c>
      <c r="AJ119" s="37" t="s">
        <v>2773</v>
      </c>
      <c r="AK119" s="37"/>
      <c r="AL119" s="37" t="s">
        <v>2774</v>
      </c>
      <c r="AM119" s="37" t="s">
        <v>2775</v>
      </c>
      <c r="AN119" s="37" t="s">
        <v>2776</v>
      </c>
      <c r="AO119" s="37" t="n">
        <v>2018</v>
      </c>
      <c r="AP119" s="37" t="n">
        <v>123</v>
      </c>
      <c r="AQ119" s="37" t="n">
        <v>16</v>
      </c>
      <c r="AR119" s="37"/>
      <c r="AS119" s="37" t="n">
        <v>8674</v>
      </c>
      <c r="AT119" s="37" t="n">
        <v>8690</v>
      </c>
      <c r="AU119" s="37"/>
      <c r="AV119" s="37" t="s">
        <v>2777</v>
      </c>
      <c r="AW119" s="37" t="str">
        <f aca="false">HYPERLINK("http://dx.doi.org/10.1029/2018JD028447","http://dx.doi.org/10.1029/2018JD028447")</f>
        <v>http://dx.doi.org/10.1029/2018JD028447</v>
      </c>
      <c r="AX119" s="37"/>
      <c r="AY119" s="37" t="n">
        <v>17</v>
      </c>
      <c r="AZ119" s="37" t="s">
        <v>804</v>
      </c>
      <c r="BA119" s="37" t="s">
        <v>331</v>
      </c>
      <c r="BB119" s="37" t="s">
        <v>804</v>
      </c>
      <c r="BC119" s="37" t="s">
        <v>2778</v>
      </c>
      <c r="BD119" s="37"/>
      <c r="BE119" s="37" t="s">
        <v>365</v>
      </c>
      <c r="BF119" s="37" t="s">
        <v>334</v>
      </c>
      <c r="BG119" s="37" t="s">
        <v>2779</v>
      </c>
      <c r="BH119" s="37" t="str">
        <f aca="false">HYPERLINK("https%3A%2F%2Fwww.webofscience.com%2Fwos%2Fwoscc%2Ffull-record%2FWOS:000445331900018","View Full Record in Web of Science")</f>
        <v>View Full Record in Web of Science</v>
      </c>
      <c r="BI119" s="41" t="b">
        <f aca="false">TRUE()</f>
        <v>1</v>
      </c>
      <c r="BJ119" s="39"/>
      <c r="BK119" s="39"/>
      <c r="BL119" s="39"/>
      <c r="BM119" s="39"/>
      <c r="BN119" s="41" t="b">
        <f aca="false">TRUE()</f>
        <v>1</v>
      </c>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41" t="b">
        <f aca="false">TRUE()</f>
        <v>1</v>
      </c>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41" t="b">
        <f aca="false">TRUE()</f>
        <v>1</v>
      </c>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c r="EQ119" s="39"/>
      <c r="ER119" s="39"/>
      <c r="ES119" s="39"/>
      <c r="ET119" s="39"/>
      <c r="EU119" s="39"/>
      <c r="EV119" s="39"/>
      <c r="EW119" s="39"/>
      <c r="EX119" s="39"/>
      <c r="EY119" s="39"/>
      <c r="EZ119" s="39"/>
      <c r="FA119" s="39"/>
      <c r="FB119" s="39"/>
      <c r="FC119" s="39"/>
      <c r="FD119" s="39"/>
      <c r="FE119" s="39"/>
      <c r="FF119" s="39"/>
      <c r="FG119" s="39"/>
      <c r="FH119" s="39"/>
      <c r="FI119" s="39"/>
      <c r="FJ119" s="39"/>
      <c r="FK119" s="39"/>
      <c r="FL119" s="39"/>
      <c r="FM119" s="39"/>
      <c r="FN119" s="39"/>
      <c r="FO119" s="39"/>
      <c r="FP119" s="39"/>
      <c r="FQ119" s="39"/>
      <c r="FR119" s="39"/>
      <c r="FS119" s="39"/>
      <c r="FT119" s="39"/>
      <c r="FU119" s="39"/>
      <c r="FV119" s="39"/>
      <c r="FW119" s="39"/>
      <c r="FX119" s="39"/>
      <c r="FY119" s="41" t="b">
        <f aca="false">TRUE()</f>
        <v>1</v>
      </c>
      <c r="FZ119" s="39"/>
      <c r="GA119" s="39"/>
      <c r="GB119" s="39"/>
      <c r="GC119" s="39"/>
      <c r="GD119" s="39"/>
      <c r="GE119" s="39"/>
      <c r="GF119" s="39"/>
      <c r="GG119" s="39"/>
      <c r="GH119" s="39"/>
      <c r="GI119" s="39"/>
      <c r="GJ119" s="39"/>
      <c r="GK119" s="39"/>
      <c r="GL119" s="39"/>
      <c r="GM119" s="39"/>
      <c r="GN119" s="39"/>
      <c r="GO119" s="39"/>
      <c r="GP119" s="39"/>
      <c r="GQ119" s="39"/>
      <c r="GR119" s="39"/>
      <c r="GS119" s="39"/>
      <c r="GT119" s="39"/>
      <c r="GU119" s="39"/>
      <c r="GV119" s="39"/>
      <c r="GW119" s="39"/>
      <c r="GX119" s="39"/>
      <c r="GY119" s="39"/>
      <c r="GZ119" s="39"/>
      <c r="HA119" s="39"/>
      <c r="HB119" s="39"/>
      <c r="HC119" s="39"/>
      <c r="HD119" s="39"/>
      <c r="HE119" s="39"/>
      <c r="HF119" s="39"/>
      <c r="HG119" s="39"/>
      <c r="HH119" s="39"/>
      <c r="HI119" s="39"/>
      <c r="HJ119" s="39"/>
      <c r="HK119" s="41" t="b">
        <f aca="false">TRUE()</f>
        <v>1</v>
      </c>
      <c r="HL119" s="39"/>
      <c r="HM119" s="41" t="b">
        <f aca="false">TRUE()</f>
        <v>1</v>
      </c>
      <c r="HN119" s="39"/>
      <c r="HO119" s="39"/>
      <c r="HP119" s="39"/>
      <c r="HQ119" s="39"/>
      <c r="HR119" s="39"/>
      <c r="HS119" s="39"/>
      <c r="HT119" s="39"/>
      <c r="HU119" s="39"/>
      <c r="HV119" s="39"/>
      <c r="HW119" s="39"/>
      <c r="HX119" s="39"/>
      <c r="HY119" s="39"/>
      <c r="HZ119" s="39"/>
      <c r="IA119" s="39"/>
      <c r="IB119" s="39"/>
      <c r="IC119" s="39"/>
      <c r="ID119" s="41" t="b">
        <f aca="false">TRUE()</f>
        <v>1</v>
      </c>
      <c r="IE119" s="39"/>
      <c r="IF119" s="39"/>
      <c r="IG119" s="39"/>
      <c r="IH119" s="39"/>
      <c r="II119" s="39"/>
      <c r="IJ119" s="39"/>
      <c r="IK119" s="39"/>
      <c r="IL119" s="39"/>
      <c r="IM119" s="39"/>
      <c r="IN119" s="39"/>
      <c r="IO119" s="39"/>
      <c r="IP119" s="39"/>
      <c r="IQ119" s="39"/>
      <c r="IR119" s="39"/>
      <c r="IS119" s="39"/>
      <c r="IT119" s="39"/>
      <c r="IU119" s="39"/>
      <c r="IV119" s="39"/>
      <c r="IW119" s="39"/>
      <c r="IX119" s="39"/>
      <c r="IY119" s="39"/>
      <c r="IZ119" s="39"/>
      <c r="JA119" s="39"/>
      <c r="JB119" s="39"/>
      <c r="JC119" s="39"/>
      <c r="JD119" s="39"/>
      <c r="JE119" s="39"/>
      <c r="JF119" s="39"/>
      <c r="JG119" s="39"/>
      <c r="JH119" s="39"/>
      <c r="JI119" s="39"/>
      <c r="JJ119" s="39"/>
      <c r="JK119" s="39"/>
      <c r="JL119" s="39"/>
      <c r="JM119" s="39"/>
      <c r="JN119" s="39"/>
      <c r="JO119" s="39"/>
      <c r="JP119" s="39"/>
      <c r="JQ119" s="39"/>
      <c r="JR119" s="39"/>
      <c r="JS119" s="39"/>
      <c r="JT119" s="41" t="b">
        <f aca="false">TRUE()</f>
        <v>1</v>
      </c>
      <c r="JU119" s="39"/>
      <c r="JV119" s="39"/>
      <c r="JW119" s="39"/>
      <c r="JX119" s="39"/>
      <c r="JY119" s="39"/>
      <c r="JZ119" s="39"/>
      <c r="KA119" s="39"/>
      <c r="KB119" s="39"/>
      <c r="KC119" s="39"/>
      <c r="KD119" s="39"/>
      <c r="KE119" s="39"/>
      <c r="KF119" s="39"/>
      <c r="KG119" s="39"/>
      <c r="KH119" s="39"/>
      <c r="KI119" s="39"/>
      <c r="KJ119" s="39"/>
      <c r="KK119" s="39"/>
      <c r="KL119" s="39"/>
      <c r="KM119" s="39"/>
      <c r="KN119" s="39"/>
      <c r="KO119" s="39"/>
      <c r="KP119" s="39"/>
      <c r="KQ119" s="41" t="b">
        <f aca="false">TRUE()</f>
        <v>1</v>
      </c>
      <c r="KR119" s="39"/>
      <c r="KS119" s="39"/>
      <c r="KT119" s="41" t="b">
        <f aca="false">TRUE()</f>
        <v>1</v>
      </c>
      <c r="KU119" s="39"/>
    </row>
    <row r="120" customFormat="false" ht="14.4" hidden="false" customHeight="false" outlineLevel="0" collapsed="false">
      <c r="A120" s="37" t="s">
        <v>305</v>
      </c>
      <c r="B120" s="37" t="s">
        <v>2780</v>
      </c>
      <c r="C120" s="37"/>
      <c r="D120" s="37"/>
      <c r="E120" s="37"/>
      <c r="F120" s="37" t="s">
        <v>2781</v>
      </c>
      <c r="G120" s="37" t="s">
        <v>2782</v>
      </c>
      <c r="H120" s="37" t="s">
        <v>2783</v>
      </c>
      <c r="I120" s="37" t="s">
        <v>310</v>
      </c>
      <c r="J120" s="37" t="s">
        <v>311</v>
      </c>
      <c r="K120" s="37"/>
      <c r="L120" s="37"/>
      <c r="M120" s="37"/>
      <c r="N120" s="37"/>
      <c r="O120" s="37" t="s">
        <v>2784</v>
      </c>
      <c r="P120" s="37" t="s">
        <v>2785</v>
      </c>
      <c r="Q120" s="37" t="s">
        <v>2786</v>
      </c>
      <c r="R120" s="37" t="s">
        <v>2787</v>
      </c>
      <c r="S120" s="37" t="s">
        <v>2788</v>
      </c>
      <c r="T120" s="37" t="s">
        <v>2789</v>
      </c>
      <c r="U120" s="37" t="s">
        <v>2790</v>
      </c>
      <c r="V120" s="37" t="s">
        <v>2791</v>
      </c>
      <c r="W120" s="37" t="s">
        <v>2792</v>
      </c>
      <c r="X120" s="37" t="s">
        <v>2793</v>
      </c>
      <c r="Y120" s="37" t="s">
        <v>2793</v>
      </c>
      <c r="Z120" s="37" t="s">
        <v>2794</v>
      </c>
      <c r="AA120" s="37" t="n">
        <v>71</v>
      </c>
      <c r="AB120" s="37" t="n">
        <v>0</v>
      </c>
      <c r="AC120" s="37" t="n">
        <v>0</v>
      </c>
      <c r="AD120" s="37" t="n">
        <v>1</v>
      </c>
      <c r="AE120" s="37" t="n">
        <v>1</v>
      </c>
      <c r="AF120" s="37" t="s">
        <v>353</v>
      </c>
      <c r="AG120" s="37" t="s">
        <v>354</v>
      </c>
      <c r="AH120" s="37" t="s">
        <v>355</v>
      </c>
      <c r="AI120" s="37" t="s">
        <v>2795</v>
      </c>
      <c r="AJ120" s="37"/>
      <c r="AK120" s="37"/>
      <c r="AL120" s="37" t="s">
        <v>2796</v>
      </c>
      <c r="AM120" s="37" t="s">
        <v>2797</v>
      </c>
      <c r="AN120" s="37" t="s">
        <v>700</v>
      </c>
      <c r="AO120" s="37" t="n">
        <v>2025</v>
      </c>
      <c r="AP120" s="37" t="n">
        <v>25</v>
      </c>
      <c r="AQ120" s="37"/>
      <c r="AR120" s="37"/>
      <c r="AS120" s="37"/>
      <c r="AT120" s="37"/>
      <c r="AU120" s="37" t="n">
        <v>104254</v>
      </c>
      <c r="AV120" s="37" t="s">
        <v>2798</v>
      </c>
      <c r="AW120" s="37" t="str">
        <f aca="false">HYPERLINK("http://dx.doi.org/10.1016/j.rineng.2025.104254","http://dx.doi.org/10.1016/j.rineng.2025.104254")</f>
        <v>http://dx.doi.org/10.1016/j.rineng.2025.104254</v>
      </c>
      <c r="AX120" s="37"/>
      <c r="AY120" s="37" t="n">
        <v>14</v>
      </c>
      <c r="AZ120" s="37" t="s">
        <v>2799</v>
      </c>
      <c r="BA120" s="37" t="s">
        <v>575</v>
      </c>
      <c r="BB120" s="37" t="s">
        <v>1355</v>
      </c>
      <c r="BC120" s="37" t="s">
        <v>2800</v>
      </c>
      <c r="BD120" s="37"/>
      <c r="BE120" s="37"/>
      <c r="BF120" s="37" t="s">
        <v>334</v>
      </c>
      <c r="BG120" s="37" t="s">
        <v>2801</v>
      </c>
      <c r="BH120" s="37" t="str">
        <f aca="false">HYPERLINK("https%3A%2F%2Fwww.webofscience.com%2Fwos%2Fwoscc%2Ffull-record%2FWOS:001425262100001","View Full Record in Web of Science")</f>
        <v>View Full Record in Web of Science</v>
      </c>
      <c r="BI120" s="41" t="b">
        <f aca="false">TRUE()</f>
        <v>1</v>
      </c>
      <c r="BJ120" s="39"/>
      <c r="BK120" s="39"/>
      <c r="BL120" s="39"/>
      <c r="BM120" s="39"/>
      <c r="BN120" s="39"/>
      <c r="BO120" s="39"/>
      <c r="BP120" s="39"/>
      <c r="BQ120" s="39"/>
      <c r="BR120" s="41" t="b">
        <f aca="false">TRUE()</f>
        <v>1</v>
      </c>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41" t="b">
        <f aca="false">TRUE()</f>
        <v>1</v>
      </c>
      <c r="CX120" s="39"/>
      <c r="CY120" s="39"/>
      <c r="CZ120" s="39"/>
      <c r="DA120" s="41" t="b">
        <f aca="false">TRUE()</f>
        <v>1</v>
      </c>
      <c r="DB120" s="39"/>
      <c r="DC120" s="39"/>
      <c r="DD120" s="39"/>
      <c r="DE120" s="39"/>
      <c r="DF120" s="39"/>
      <c r="DG120" s="39"/>
      <c r="DH120" s="39"/>
      <c r="DI120" s="39"/>
      <c r="DJ120" s="39"/>
      <c r="DK120" s="39"/>
      <c r="DL120" s="39"/>
      <c r="DM120" s="39"/>
      <c r="DN120" s="39"/>
      <c r="DO120" s="39"/>
      <c r="DP120" s="39"/>
      <c r="DQ120" s="39"/>
      <c r="DR120" s="39"/>
      <c r="DS120" s="39"/>
      <c r="DT120" s="39"/>
      <c r="DU120" s="39"/>
      <c r="DV120" s="39"/>
      <c r="DW120" s="39"/>
      <c r="DX120" s="39"/>
      <c r="DY120" s="39"/>
      <c r="DZ120" s="39"/>
      <c r="EA120" s="41" t="b">
        <f aca="false">TRUE()</f>
        <v>1</v>
      </c>
      <c r="EB120" s="39"/>
      <c r="EC120" s="39"/>
      <c r="ED120" s="39"/>
      <c r="EE120" s="39"/>
      <c r="EF120" s="39"/>
      <c r="EG120" s="39"/>
      <c r="EH120" s="39"/>
      <c r="EI120" s="39"/>
      <c r="EJ120" s="39"/>
      <c r="EK120" s="39"/>
      <c r="EL120" s="39"/>
      <c r="EM120" s="39"/>
      <c r="EN120" s="39"/>
      <c r="EO120" s="39"/>
      <c r="EP120" s="39"/>
      <c r="EQ120" s="39"/>
      <c r="ER120" s="39"/>
      <c r="ES120" s="39"/>
      <c r="ET120" s="39"/>
      <c r="EU120" s="39"/>
      <c r="EV120" s="39"/>
      <c r="EW120" s="39"/>
      <c r="EX120" s="39"/>
      <c r="EY120" s="41" t="b">
        <f aca="false">TRUE()</f>
        <v>1</v>
      </c>
      <c r="EZ120" s="39"/>
      <c r="FA120" s="39"/>
      <c r="FB120" s="39"/>
      <c r="FC120" s="39"/>
      <c r="FD120" s="39"/>
      <c r="FE120" s="39"/>
      <c r="FF120" s="39"/>
      <c r="FG120" s="39"/>
      <c r="FH120" s="39"/>
      <c r="FI120" s="39"/>
      <c r="FJ120" s="39"/>
      <c r="FK120" s="39"/>
      <c r="FL120" s="39"/>
      <c r="FM120" s="39"/>
      <c r="FN120" s="39"/>
      <c r="FO120" s="39"/>
      <c r="FP120" s="39"/>
      <c r="FQ120" s="39"/>
      <c r="FR120" s="39"/>
      <c r="FS120" s="39"/>
      <c r="FT120" s="39"/>
      <c r="FU120" s="39"/>
      <c r="FV120" s="39"/>
      <c r="FW120" s="39"/>
      <c r="FX120" s="39"/>
      <c r="FY120" s="39"/>
      <c r="FZ120" s="39"/>
      <c r="GA120" s="39"/>
      <c r="GB120" s="39"/>
      <c r="GC120" s="39"/>
      <c r="GD120" s="39"/>
      <c r="GE120" s="39"/>
      <c r="GF120" s="39"/>
      <c r="GG120" s="39"/>
      <c r="GH120" s="39"/>
      <c r="GI120" s="39"/>
      <c r="GJ120" s="39"/>
      <c r="GK120" s="39"/>
      <c r="GL120" s="39"/>
      <c r="GM120" s="39"/>
      <c r="GN120" s="39"/>
      <c r="GO120" s="39"/>
      <c r="GP120" s="39"/>
      <c r="GQ120" s="39"/>
      <c r="GR120" s="39"/>
      <c r="GS120" s="39"/>
      <c r="GT120" s="39"/>
      <c r="GU120" s="39"/>
      <c r="GV120" s="39"/>
      <c r="GW120" s="39"/>
      <c r="GX120" s="39"/>
      <c r="GY120" s="39"/>
      <c r="GZ120" s="39"/>
      <c r="HA120" s="39"/>
      <c r="HB120" s="39"/>
      <c r="HC120" s="39"/>
      <c r="HD120" s="39"/>
      <c r="HE120" s="39"/>
      <c r="HF120" s="39"/>
      <c r="HG120" s="39"/>
      <c r="HH120" s="39"/>
      <c r="HI120" s="39"/>
      <c r="HJ120" s="39"/>
      <c r="HK120" s="41" t="b">
        <f aca="false">TRUE()</f>
        <v>1</v>
      </c>
      <c r="HL120" s="39"/>
      <c r="HM120" s="39"/>
      <c r="HN120" s="39"/>
      <c r="HO120" s="39"/>
      <c r="HP120" s="39"/>
      <c r="HQ120" s="39"/>
      <c r="HR120" s="39"/>
      <c r="HS120" s="39"/>
      <c r="HT120" s="39"/>
      <c r="HU120" s="39"/>
      <c r="HV120" s="39"/>
      <c r="HW120" s="39"/>
      <c r="HX120" s="39"/>
      <c r="HY120" s="39"/>
      <c r="HZ120" s="39"/>
      <c r="IA120" s="39"/>
      <c r="IB120" s="39"/>
      <c r="IC120" s="39"/>
      <c r="ID120" s="39"/>
      <c r="IE120" s="39"/>
      <c r="IF120" s="39"/>
      <c r="IG120" s="39"/>
      <c r="IH120" s="39"/>
      <c r="II120" s="39"/>
      <c r="IJ120" s="39"/>
      <c r="IK120" s="39"/>
      <c r="IL120" s="39"/>
      <c r="IM120" s="39"/>
      <c r="IN120" s="39"/>
      <c r="IO120" s="39"/>
      <c r="IP120" s="41" t="b">
        <f aca="false">TRUE()</f>
        <v>1</v>
      </c>
      <c r="IQ120" s="39"/>
      <c r="IR120" s="39"/>
      <c r="IS120" s="39"/>
      <c r="IT120" s="39"/>
      <c r="IU120" s="39"/>
      <c r="IV120" s="39"/>
      <c r="IW120" s="39"/>
      <c r="IX120" s="39"/>
      <c r="IY120" s="39"/>
      <c r="IZ120" s="39"/>
      <c r="JA120" s="39"/>
      <c r="JB120" s="39"/>
      <c r="JC120" s="39"/>
      <c r="JD120" s="39"/>
      <c r="JE120" s="39"/>
      <c r="JF120" s="39"/>
      <c r="JG120" s="39"/>
      <c r="JH120" s="39"/>
      <c r="JI120" s="39"/>
      <c r="JJ120" s="39"/>
      <c r="JK120" s="39"/>
      <c r="JL120" s="39"/>
      <c r="JM120" s="39"/>
      <c r="JN120" s="39"/>
      <c r="JO120" s="39"/>
      <c r="JP120" s="39"/>
      <c r="JQ120" s="39"/>
      <c r="JR120" s="39"/>
      <c r="JS120" s="39"/>
      <c r="JT120" s="41" t="b">
        <f aca="false">TRUE()</f>
        <v>1</v>
      </c>
      <c r="JU120" s="39"/>
      <c r="JV120" s="39"/>
      <c r="JW120" s="39"/>
      <c r="JX120" s="39"/>
      <c r="JY120" s="39"/>
      <c r="JZ120" s="39"/>
      <c r="KA120" s="39"/>
      <c r="KB120" s="41" t="b">
        <f aca="false">TRUE()</f>
        <v>1</v>
      </c>
      <c r="KC120" s="39"/>
      <c r="KD120" s="39"/>
      <c r="KE120" s="39"/>
      <c r="KF120" s="39"/>
      <c r="KG120" s="39"/>
      <c r="KH120" s="39"/>
      <c r="KI120" s="39"/>
      <c r="KJ120" s="39"/>
      <c r="KK120" s="39"/>
      <c r="KL120" s="39"/>
      <c r="KM120" s="39"/>
      <c r="KN120" s="39"/>
      <c r="KO120" s="39"/>
      <c r="KP120" s="39"/>
      <c r="KQ120" s="41" t="b">
        <f aca="false">TRUE()</f>
        <v>1</v>
      </c>
      <c r="KR120" s="39"/>
      <c r="KS120" s="39"/>
      <c r="KT120" s="41" t="b">
        <f aca="false">TRUE()</f>
        <v>1</v>
      </c>
      <c r="KU120" s="39"/>
    </row>
    <row r="121" customFormat="false" ht="14.4" hidden="false" customHeight="false" outlineLevel="0" collapsed="false">
      <c r="A121" s="37" t="s">
        <v>305</v>
      </c>
      <c r="B121" s="37" t="s">
        <v>2802</v>
      </c>
      <c r="C121" s="37"/>
      <c r="D121" s="37"/>
      <c r="E121" s="37"/>
      <c r="F121" s="37" t="s">
        <v>2803</v>
      </c>
      <c r="G121" s="37" t="s">
        <v>2804</v>
      </c>
      <c r="H121" s="37" t="s">
        <v>619</v>
      </c>
      <c r="I121" s="37" t="s">
        <v>310</v>
      </c>
      <c r="J121" s="37" t="s">
        <v>311</v>
      </c>
      <c r="K121" s="37"/>
      <c r="L121" s="37"/>
      <c r="M121" s="37"/>
      <c r="N121" s="37"/>
      <c r="O121" s="37" t="s">
        <v>2805</v>
      </c>
      <c r="P121" s="37" t="s">
        <v>2806</v>
      </c>
      <c r="Q121" s="37" t="s">
        <v>2807</v>
      </c>
      <c r="R121" s="37" t="s">
        <v>2808</v>
      </c>
      <c r="S121" s="37" t="s">
        <v>2809</v>
      </c>
      <c r="T121" s="37" t="s">
        <v>2810</v>
      </c>
      <c r="U121" s="37" t="s">
        <v>2811</v>
      </c>
      <c r="V121" s="37" t="s">
        <v>2812</v>
      </c>
      <c r="W121" s="37" t="s">
        <v>2813</v>
      </c>
      <c r="X121" s="37" t="s">
        <v>2814</v>
      </c>
      <c r="Y121" s="37" t="s">
        <v>2814</v>
      </c>
      <c r="Z121" s="37" t="s">
        <v>2108</v>
      </c>
      <c r="AA121" s="37" t="n">
        <v>53</v>
      </c>
      <c r="AB121" s="37" t="n">
        <v>2</v>
      </c>
      <c r="AC121" s="37" t="n">
        <v>2</v>
      </c>
      <c r="AD121" s="37" t="n">
        <v>3</v>
      </c>
      <c r="AE121" s="37" t="n">
        <v>7</v>
      </c>
      <c r="AF121" s="37" t="s">
        <v>546</v>
      </c>
      <c r="AG121" s="37" t="s">
        <v>547</v>
      </c>
      <c r="AH121" s="37" t="s">
        <v>2583</v>
      </c>
      <c r="AI121" s="37"/>
      <c r="AJ121" s="37" t="s">
        <v>629</v>
      </c>
      <c r="AK121" s="37"/>
      <c r="AL121" s="37" t="s">
        <v>630</v>
      </c>
      <c r="AM121" s="37" t="s">
        <v>631</v>
      </c>
      <c r="AN121" s="37" t="s">
        <v>328</v>
      </c>
      <c r="AO121" s="37" t="n">
        <v>2024</v>
      </c>
      <c r="AP121" s="37" t="n">
        <v>16</v>
      </c>
      <c r="AQ121" s="37" t="n">
        <v>2</v>
      </c>
      <c r="AR121" s="37"/>
      <c r="AS121" s="37"/>
      <c r="AT121" s="37"/>
      <c r="AU121" s="37" t="n">
        <v>335</v>
      </c>
      <c r="AV121" s="37" t="s">
        <v>2815</v>
      </c>
      <c r="AW121" s="37" t="str">
        <f aca="false">HYPERLINK("http://dx.doi.org/10.3390/w16020335","http://dx.doi.org/10.3390/w16020335")</f>
        <v>http://dx.doi.org/10.3390/w16020335</v>
      </c>
      <c r="AX121" s="37"/>
      <c r="AY121" s="37" t="n">
        <v>20</v>
      </c>
      <c r="AZ121" s="37" t="s">
        <v>633</v>
      </c>
      <c r="BA121" s="37" t="s">
        <v>331</v>
      </c>
      <c r="BB121" s="37" t="s">
        <v>634</v>
      </c>
      <c r="BC121" s="37" t="s">
        <v>2816</v>
      </c>
      <c r="BD121" s="37"/>
      <c r="BE121" s="37" t="s">
        <v>503</v>
      </c>
      <c r="BF121" s="37" t="s">
        <v>334</v>
      </c>
      <c r="BG121" s="37" t="s">
        <v>2817</v>
      </c>
      <c r="BH121" s="37" t="str">
        <f aca="false">HYPERLINK("https%3A%2F%2Fwww.webofscience.com%2Fwos%2Fwoscc%2Ffull-record%2FWOS:001151328200001","View Full Record in Web of Science")</f>
        <v>View Full Record in Web of Science</v>
      </c>
      <c r="BI121" s="39"/>
      <c r="BJ121" s="39"/>
      <c r="BK121" s="39"/>
      <c r="BL121" s="39"/>
      <c r="BM121" s="39"/>
      <c r="BN121" s="39"/>
      <c r="BO121" s="39"/>
      <c r="BP121" s="39"/>
      <c r="BQ121" s="39"/>
      <c r="BR121" s="39"/>
      <c r="BS121" s="39"/>
      <c r="BT121" s="39"/>
      <c r="BU121" s="39"/>
      <c r="BV121" s="39"/>
      <c r="BW121" s="39"/>
      <c r="BX121" s="39"/>
      <c r="BY121" s="41" t="b">
        <f aca="false">TRUE()</f>
        <v>1</v>
      </c>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c r="DZ121" s="39"/>
      <c r="EA121" s="41" t="b">
        <f aca="false">TRUE()</f>
        <v>1</v>
      </c>
      <c r="EB121" s="39"/>
      <c r="EC121" s="39"/>
      <c r="ED121" s="39"/>
      <c r="EE121" s="39"/>
      <c r="EF121" s="39"/>
      <c r="EG121" s="39"/>
      <c r="EH121" s="39"/>
      <c r="EI121" s="39"/>
      <c r="EJ121" s="39"/>
      <c r="EK121" s="39"/>
      <c r="EL121" s="39"/>
      <c r="EM121" s="39"/>
      <c r="EN121" s="39"/>
      <c r="EO121" s="39"/>
      <c r="EP121" s="39"/>
      <c r="EQ121" s="39"/>
      <c r="ER121" s="39"/>
      <c r="ES121" s="39"/>
      <c r="ET121" s="39"/>
      <c r="EU121" s="39"/>
      <c r="EV121" s="39"/>
      <c r="EW121" s="39"/>
      <c r="EX121" s="39"/>
      <c r="EY121" s="41" t="b">
        <f aca="false">TRUE()</f>
        <v>1</v>
      </c>
      <c r="EZ121" s="39"/>
      <c r="FA121" s="39"/>
      <c r="FB121" s="39"/>
      <c r="FC121" s="39"/>
      <c r="FD121" s="39"/>
      <c r="FE121" s="39"/>
      <c r="FF121" s="39"/>
      <c r="FG121" s="39"/>
      <c r="FH121" s="39"/>
      <c r="FI121" s="39"/>
      <c r="FJ121" s="39"/>
      <c r="FK121" s="39"/>
      <c r="FL121" s="39"/>
      <c r="FM121" s="39"/>
      <c r="FN121" s="39"/>
      <c r="FO121" s="39"/>
      <c r="FP121" s="39"/>
      <c r="FQ121" s="39"/>
      <c r="FR121" s="39"/>
      <c r="FS121" s="39"/>
      <c r="FT121" s="39"/>
      <c r="FU121" s="39"/>
      <c r="FV121" s="39"/>
      <c r="FW121" s="39"/>
      <c r="FX121" s="39"/>
      <c r="FY121" s="39"/>
      <c r="FZ121" s="39"/>
      <c r="GA121" s="39"/>
      <c r="GB121" s="39"/>
      <c r="GC121" s="39"/>
      <c r="GD121" s="39"/>
      <c r="GE121" s="39"/>
      <c r="GF121" s="39"/>
      <c r="GG121" s="39"/>
      <c r="GH121" s="39"/>
      <c r="GI121" s="39"/>
      <c r="GJ121" s="39"/>
      <c r="GK121" s="39"/>
      <c r="GL121" s="39"/>
      <c r="GM121" s="39"/>
      <c r="GN121" s="39"/>
      <c r="GO121" s="39"/>
      <c r="GP121" s="39"/>
      <c r="GQ121" s="39"/>
      <c r="GR121" s="39"/>
      <c r="GS121" s="39"/>
      <c r="GT121" s="39"/>
      <c r="GU121" s="39"/>
      <c r="GV121" s="39"/>
      <c r="GW121" s="39"/>
      <c r="GX121" s="39"/>
      <c r="GY121" s="39"/>
      <c r="GZ121" s="39"/>
      <c r="HA121" s="39"/>
      <c r="HB121" s="39"/>
      <c r="HC121" s="39"/>
      <c r="HD121" s="39"/>
      <c r="HE121" s="39"/>
      <c r="HF121" s="39"/>
      <c r="HG121" s="39"/>
      <c r="HH121" s="39"/>
      <c r="HI121" s="39"/>
      <c r="HJ121" s="39"/>
      <c r="HK121" s="39"/>
      <c r="HL121" s="39"/>
      <c r="HM121" s="39"/>
      <c r="HN121" s="39"/>
      <c r="HO121" s="39"/>
      <c r="HP121" s="39"/>
      <c r="HQ121" s="39"/>
      <c r="HR121" s="39"/>
      <c r="HS121" s="39"/>
      <c r="HT121" s="39"/>
      <c r="HU121" s="39"/>
      <c r="HV121" s="39"/>
      <c r="HW121" s="39"/>
      <c r="HX121" s="39"/>
      <c r="HY121" s="39"/>
      <c r="HZ121" s="39"/>
      <c r="IA121" s="39"/>
      <c r="IB121" s="39"/>
      <c r="IC121" s="39"/>
      <c r="ID121" s="39"/>
      <c r="IE121" s="39"/>
      <c r="IF121" s="39"/>
      <c r="IG121" s="39"/>
      <c r="IH121" s="39"/>
      <c r="II121" s="39"/>
      <c r="IJ121" s="39"/>
      <c r="IK121" s="39"/>
      <c r="IL121" s="39"/>
      <c r="IM121" s="39"/>
      <c r="IN121" s="39"/>
      <c r="IO121" s="39"/>
      <c r="IP121" s="39"/>
      <c r="IQ121" s="39"/>
      <c r="IR121" s="39"/>
      <c r="IS121" s="39"/>
      <c r="IT121" s="39"/>
      <c r="IU121" s="39"/>
      <c r="IV121" s="39"/>
      <c r="IW121" s="39"/>
      <c r="IX121" s="39"/>
      <c r="IY121" s="39"/>
      <c r="IZ121" s="39"/>
      <c r="JA121" s="39"/>
      <c r="JB121" s="39"/>
      <c r="JC121" s="39"/>
      <c r="JD121" s="39"/>
      <c r="JE121" s="39"/>
      <c r="JF121" s="39"/>
      <c r="JG121" s="39"/>
      <c r="JH121" s="41" t="b">
        <f aca="false">TRUE()</f>
        <v>1</v>
      </c>
      <c r="JI121" s="39"/>
      <c r="JJ121" s="39"/>
      <c r="JK121" s="39"/>
      <c r="JL121" s="39"/>
      <c r="JM121" s="39"/>
      <c r="JN121" s="39"/>
      <c r="JO121" s="39"/>
      <c r="JP121" s="39"/>
      <c r="JQ121" s="39"/>
      <c r="JR121" s="39"/>
      <c r="JS121" s="39"/>
      <c r="JT121" s="41" t="b">
        <f aca="false">TRUE()</f>
        <v>1</v>
      </c>
      <c r="JU121" s="39"/>
      <c r="JV121" s="39"/>
      <c r="JW121" s="39"/>
      <c r="JX121" s="39"/>
      <c r="JY121" s="39"/>
      <c r="JZ121" s="39"/>
      <c r="KA121" s="39"/>
      <c r="KB121" s="39"/>
      <c r="KC121" s="39"/>
      <c r="KD121" s="39"/>
      <c r="KE121" s="39"/>
      <c r="KF121" s="39"/>
      <c r="KG121" s="41" t="b">
        <f aca="false">TRUE()</f>
        <v>1</v>
      </c>
      <c r="KH121" s="39"/>
      <c r="KI121" s="39"/>
      <c r="KJ121" s="39"/>
      <c r="KK121" s="39"/>
      <c r="KL121" s="39"/>
      <c r="KM121" s="39"/>
      <c r="KN121" s="39"/>
      <c r="KO121" s="39"/>
      <c r="KP121" s="39"/>
      <c r="KQ121" s="41" t="b">
        <f aca="false">TRUE()</f>
        <v>1</v>
      </c>
      <c r="KR121" s="39"/>
      <c r="KS121" s="39"/>
      <c r="KT121" s="39"/>
      <c r="KU121" s="41" t="b">
        <f aca="false">TRUE()</f>
        <v>1</v>
      </c>
    </row>
    <row r="122" customFormat="false" ht="14.4" hidden="false" customHeight="false" outlineLevel="0" collapsed="false">
      <c r="A122" s="37" t="s">
        <v>305</v>
      </c>
      <c r="B122" s="37" t="s">
        <v>2818</v>
      </c>
      <c r="C122" s="37"/>
      <c r="D122" s="37"/>
      <c r="E122" s="37"/>
      <c r="F122" s="37" t="s">
        <v>2819</v>
      </c>
      <c r="G122" s="37" t="s">
        <v>2820</v>
      </c>
      <c r="H122" s="37" t="s">
        <v>1337</v>
      </c>
      <c r="I122" s="37" t="s">
        <v>310</v>
      </c>
      <c r="J122" s="37" t="s">
        <v>311</v>
      </c>
      <c r="K122" s="37"/>
      <c r="L122" s="37"/>
      <c r="M122" s="37"/>
      <c r="N122" s="37"/>
      <c r="O122" s="37" t="s">
        <v>2821</v>
      </c>
      <c r="P122" s="37" t="s">
        <v>2822</v>
      </c>
      <c r="Q122" s="37" t="s">
        <v>2823</v>
      </c>
      <c r="R122" s="37" t="s">
        <v>2824</v>
      </c>
      <c r="S122" s="37" t="s">
        <v>2825</v>
      </c>
      <c r="T122" s="37" t="s">
        <v>2826</v>
      </c>
      <c r="U122" s="37" t="s">
        <v>2827</v>
      </c>
      <c r="V122" s="37" t="s">
        <v>2828</v>
      </c>
      <c r="W122" s="37" t="s">
        <v>2829</v>
      </c>
      <c r="X122" s="37"/>
      <c r="Y122" s="37"/>
      <c r="Z122" s="37"/>
      <c r="AA122" s="37" t="n">
        <v>67</v>
      </c>
      <c r="AB122" s="37" t="n">
        <v>44</v>
      </c>
      <c r="AC122" s="37" t="n">
        <v>44</v>
      </c>
      <c r="AD122" s="37" t="n">
        <v>1</v>
      </c>
      <c r="AE122" s="37" t="n">
        <v>17</v>
      </c>
      <c r="AF122" s="37" t="s">
        <v>1345</v>
      </c>
      <c r="AG122" s="37" t="s">
        <v>1346</v>
      </c>
      <c r="AH122" s="37" t="s">
        <v>1347</v>
      </c>
      <c r="AI122" s="37" t="s">
        <v>1348</v>
      </c>
      <c r="AJ122" s="37" t="s">
        <v>1349</v>
      </c>
      <c r="AK122" s="37"/>
      <c r="AL122" s="37" t="s">
        <v>1350</v>
      </c>
      <c r="AM122" s="37" t="s">
        <v>1351</v>
      </c>
      <c r="AN122" s="37" t="s">
        <v>942</v>
      </c>
      <c r="AO122" s="37" t="n">
        <v>2021</v>
      </c>
      <c r="AP122" s="37" t="n">
        <v>8</v>
      </c>
      <c r="AQ122" s="37" t="n">
        <v>2</v>
      </c>
      <c r="AR122" s="37"/>
      <c r="AS122" s="37" t="n">
        <v>911</v>
      </c>
      <c r="AT122" s="37" t="n">
        <v>941</v>
      </c>
      <c r="AU122" s="37"/>
      <c r="AV122" s="37" t="s">
        <v>2830</v>
      </c>
      <c r="AW122" s="37" t="str">
        <f aca="false">HYPERLINK("http://dx.doi.org/10.1007/s40710-021-00512-4","http://dx.doi.org/10.1007/s40710-021-00512-4")</f>
        <v>http://dx.doi.org/10.1007/s40710-021-00512-4</v>
      </c>
      <c r="AX122" s="37" t="s">
        <v>2831</v>
      </c>
      <c r="AY122" s="37" t="n">
        <v>31</v>
      </c>
      <c r="AZ122" s="37" t="s">
        <v>1354</v>
      </c>
      <c r="BA122" s="37" t="s">
        <v>575</v>
      </c>
      <c r="BB122" s="37" t="s">
        <v>1355</v>
      </c>
      <c r="BC122" s="37" t="s">
        <v>2832</v>
      </c>
      <c r="BD122" s="37"/>
      <c r="BE122" s="37"/>
      <c r="BF122" s="37" t="s">
        <v>334</v>
      </c>
      <c r="BG122" s="37" t="s">
        <v>2833</v>
      </c>
      <c r="BH122" s="37" t="str">
        <f aca="false">HYPERLINK("https%3A%2F%2Fwww.webofscience.com%2Fwos%2Fwoscc%2Ffull-record%2FWOS:000639059200001","View Full Record in Web of Science")</f>
        <v>View Full Record in Web of Science</v>
      </c>
      <c r="BI122" s="39"/>
      <c r="BJ122" s="39"/>
      <c r="BK122" s="39"/>
      <c r="BL122" s="39"/>
      <c r="BM122" s="39"/>
      <c r="BN122" s="39"/>
      <c r="BO122" s="39"/>
      <c r="BP122" s="39"/>
      <c r="BQ122" s="39"/>
      <c r="BR122" s="41" t="b">
        <f aca="false">TRUE()</f>
        <v>1</v>
      </c>
      <c r="BS122" s="41" t="b">
        <f aca="false">TRUE()</f>
        <v>1</v>
      </c>
      <c r="BT122" s="39"/>
      <c r="BU122" s="39"/>
      <c r="BV122" s="41" t="b">
        <f aca="false">TRUE()</f>
        <v>1</v>
      </c>
      <c r="BW122" s="39"/>
      <c r="BX122" s="39"/>
      <c r="BY122" s="39"/>
      <c r="BZ122" s="39"/>
      <c r="CA122" s="39"/>
      <c r="CB122" s="39"/>
      <c r="CC122" s="39"/>
      <c r="CD122" s="39"/>
      <c r="CE122" s="39"/>
      <c r="CF122" s="39"/>
      <c r="CG122" s="39"/>
      <c r="CH122" s="39"/>
      <c r="CI122" s="41" t="b">
        <f aca="false">TRUE()</f>
        <v>1</v>
      </c>
      <c r="CJ122" s="39"/>
      <c r="CK122" s="39"/>
      <c r="CL122" s="39"/>
      <c r="CM122" s="39"/>
      <c r="CN122" s="39"/>
      <c r="CO122" s="39"/>
      <c r="CP122" s="39"/>
      <c r="CQ122" s="39"/>
      <c r="CR122" s="39"/>
      <c r="CS122" s="39"/>
      <c r="CT122" s="39"/>
      <c r="CU122" s="39"/>
      <c r="CV122" s="39"/>
      <c r="CW122" s="39"/>
      <c r="CX122" s="39"/>
      <c r="CY122" s="39"/>
      <c r="CZ122" s="39"/>
      <c r="DA122" s="39"/>
      <c r="DB122" s="39"/>
      <c r="DC122" s="39"/>
      <c r="DD122" s="39"/>
      <c r="DE122" s="39"/>
      <c r="DF122" s="39"/>
      <c r="DG122" s="39"/>
      <c r="DH122" s="39"/>
      <c r="DI122" s="39"/>
      <c r="DJ122" s="39"/>
      <c r="DK122" s="39"/>
      <c r="DL122" s="39"/>
      <c r="DM122" s="39"/>
      <c r="DN122" s="39"/>
      <c r="DO122" s="39"/>
      <c r="DP122" s="39"/>
      <c r="DQ122" s="39"/>
      <c r="DR122" s="39"/>
      <c r="DS122" s="39"/>
      <c r="DT122" s="39"/>
      <c r="DU122" s="39"/>
      <c r="DV122" s="39"/>
      <c r="DW122" s="39"/>
      <c r="DX122" s="39"/>
      <c r="DY122" s="39"/>
      <c r="DZ122" s="39"/>
      <c r="EA122" s="39"/>
      <c r="EB122" s="39"/>
      <c r="EC122" s="39"/>
      <c r="ED122" s="39"/>
      <c r="EE122" s="39"/>
      <c r="EF122" s="39"/>
      <c r="EG122" s="39"/>
      <c r="EH122" s="39"/>
      <c r="EI122" s="41" t="b">
        <f aca="false">TRUE()</f>
        <v>1</v>
      </c>
      <c r="EJ122" s="39"/>
      <c r="EK122" s="41" t="b">
        <f aca="false">TRUE()</f>
        <v>1</v>
      </c>
      <c r="EL122" s="39"/>
      <c r="EM122" s="39"/>
      <c r="EN122" s="39"/>
      <c r="EO122" s="39"/>
      <c r="EP122" s="39"/>
      <c r="EQ122" s="39"/>
      <c r="ER122" s="39"/>
      <c r="ES122" s="39"/>
      <c r="ET122" s="41" t="b">
        <f aca="false">TRUE()</f>
        <v>1</v>
      </c>
      <c r="EU122" s="39"/>
      <c r="EV122" s="39"/>
      <c r="EW122" s="39"/>
      <c r="EX122" s="41" t="b">
        <f aca="false">TRUE()</f>
        <v>1</v>
      </c>
      <c r="EY122" s="39"/>
      <c r="EZ122" s="41" t="b">
        <f aca="false">TRUE()</f>
        <v>1</v>
      </c>
      <c r="FA122" s="39"/>
      <c r="FB122" s="39"/>
      <c r="FC122" s="41" t="b">
        <f aca="false">TRUE()</f>
        <v>1</v>
      </c>
      <c r="FD122" s="39"/>
      <c r="FE122" s="41" t="b">
        <f aca="false">TRUE()</f>
        <v>1</v>
      </c>
      <c r="FF122" s="39"/>
      <c r="FG122" s="39"/>
      <c r="FH122" s="39"/>
      <c r="FI122" s="39"/>
      <c r="FJ122" s="39"/>
      <c r="FK122" s="39"/>
      <c r="FL122" s="39"/>
      <c r="FM122" s="39"/>
      <c r="FN122" s="39"/>
      <c r="FO122" s="39"/>
      <c r="FP122" s="39"/>
      <c r="FQ122" s="39"/>
      <c r="FR122" s="39"/>
      <c r="FS122" s="39"/>
      <c r="FT122" s="39"/>
      <c r="FU122" s="39"/>
      <c r="FV122" s="39"/>
      <c r="FW122" s="39"/>
      <c r="FX122" s="39"/>
      <c r="FY122" s="39"/>
      <c r="FZ122" s="39"/>
      <c r="GA122" s="39"/>
      <c r="GB122" s="39"/>
      <c r="GC122" s="39"/>
      <c r="GD122" s="39"/>
      <c r="GE122" s="39"/>
      <c r="GF122" s="39"/>
      <c r="GG122" s="39"/>
      <c r="GH122" s="39"/>
      <c r="GI122" s="39"/>
      <c r="GJ122" s="39"/>
      <c r="GK122" s="39"/>
      <c r="GL122" s="39"/>
      <c r="GM122" s="39"/>
      <c r="GN122" s="39"/>
      <c r="GO122" s="39"/>
      <c r="GP122" s="39"/>
      <c r="GQ122" s="39"/>
      <c r="GR122" s="39"/>
      <c r="GS122" s="39"/>
      <c r="GT122" s="39"/>
      <c r="GU122" s="39"/>
      <c r="GV122" s="39"/>
      <c r="GW122" s="39"/>
      <c r="GX122" s="39"/>
      <c r="GY122" s="39"/>
      <c r="GZ122" s="39"/>
      <c r="HA122" s="39"/>
      <c r="HB122" s="39"/>
      <c r="HC122" s="39"/>
      <c r="HD122" s="39"/>
      <c r="HE122" s="39"/>
      <c r="HF122" s="39"/>
      <c r="HG122" s="39"/>
      <c r="HH122" s="39"/>
      <c r="HI122" s="39"/>
      <c r="HJ122" s="39"/>
      <c r="HK122" s="41" t="b">
        <f aca="false">TRUE()</f>
        <v>1</v>
      </c>
      <c r="HL122" s="39"/>
      <c r="HM122" s="39"/>
      <c r="HN122" s="39"/>
      <c r="HO122" s="39"/>
      <c r="HP122" s="39"/>
      <c r="HQ122" s="39"/>
      <c r="HR122" s="39"/>
      <c r="HS122" s="39"/>
      <c r="HT122" s="39"/>
      <c r="HU122" s="39"/>
      <c r="HV122" s="39"/>
      <c r="HW122" s="39"/>
      <c r="HX122" s="39"/>
      <c r="HY122" s="39"/>
      <c r="HZ122" s="39"/>
      <c r="IA122" s="39"/>
      <c r="IB122" s="39"/>
      <c r="IC122" s="39"/>
      <c r="ID122" s="39"/>
      <c r="IE122" s="39"/>
      <c r="IF122" s="39"/>
      <c r="IG122" s="39"/>
      <c r="IH122" s="39"/>
      <c r="II122" s="41" t="b">
        <f aca="false">TRUE()</f>
        <v>1</v>
      </c>
      <c r="IJ122" s="39"/>
      <c r="IK122" s="39"/>
      <c r="IL122" s="39"/>
      <c r="IM122" s="39"/>
      <c r="IN122" s="39"/>
      <c r="IO122" s="39"/>
      <c r="IP122" s="39"/>
      <c r="IQ122" s="39"/>
      <c r="IR122" s="39"/>
      <c r="IS122" s="39"/>
      <c r="IT122" s="39"/>
      <c r="IU122" s="39"/>
      <c r="IV122" s="39"/>
      <c r="IW122" s="39"/>
      <c r="IX122" s="39"/>
      <c r="IY122" s="39"/>
      <c r="IZ122" s="39"/>
      <c r="JA122" s="39"/>
      <c r="JB122" s="39"/>
      <c r="JC122" s="39"/>
      <c r="JD122" s="39"/>
      <c r="JE122" s="39"/>
      <c r="JF122" s="39"/>
      <c r="JG122" s="39"/>
      <c r="JH122" s="39"/>
      <c r="JI122" s="39"/>
      <c r="JJ122" s="39"/>
      <c r="JK122" s="39"/>
      <c r="JL122" s="39"/>
      <c r="JM122" s="39"/>
      <c r="JN122" s="39"/>
      <c r="JO122" s="39"/>
      <c r="JP122" s="39"/>
      <c r="JQ122" s="39"/>
      <c r="JR122" s="39"/>
      <c r="JS122" s="39"/>
      <c r="JT122" s="41" t="b">
        <f aca="false">TRUE()</f>
        <v>1</v>
      </c>
      <c r="JU122" s="39"/>
      <c r="JV122" s="39"/>
      <c r="JW122" s="39"/>
      <c r="JX122" s="39"/>
      <c r="JY122" s="39"/>
      <c r="JZ122" s="39"/>
      <c r="KA122" s="39"/>
      <c r="KB122" s="39"/>
      <c r="KC122" s="39"/>
      <c r="KD122" s="39"/>
      <c r="KE122" s="39"/>
      <c r="KF122" s="39"/>
      <c r="KG122" s="39"/>
      <c r="KH122" s="39"/>
      <c r="KI122" s="39"/>
      <c r="KJ122" s="39"/>
      <c r="KK122" s="39"/>
      <c r="KL122" s="39"/>
      <c r="KM122" s="39"/>
      <c r="KN122" s="39"/>
      <c r="KO122" s="39"/>
      <c r="KP122" s="41" t="b">
        <f aca="false">TRUE()</f>
        <v>1</v>
      </c>
      <c r="KQ122" s="39"/>
      <c r="KR122" s="39"/>
      <c r="KS122" s="39"/>
      <c r="KT122" s="41" t="b">
        <f aca="false">TRUE()</f>
        <v>1</v>
      </c>
      <c r="KU122" s="39"/>
    </row>
    <row r="123" customFormat="false" ht="14.4" hidden="false" customHeight="false" outlineLevel="0" collapsed="false">
      <c r="A123" s="37" t="s">
        <v>305</v>
      </c>
      <c r="B123" s="37" t="s">
        <v>2834</v>
      </c>
      <c r="C123" s="37"/>
      <c r="D123" s="37"/>
      <c r="E123" s="37"/>
      <c r="F123" s="37" t="s">
        <v>2835</v>
      </c>
      <c r="G123" s="37" t="s">
        <v>2836</v>
      </c>
      <c r="H123" s="37" t="s">
        <v>2837</v>
      </c>
      <c r="I123" s="37" t="s">
        <v>310</v>
      </c>
      <c r="J123" s="37" t="s">
        <v>311</v>
      </c>
      <c r="K123" s="37"/>
      <c r="L123" s="37"/>
      <c r="M123" s="37"/>
      <c r="N123" s="37"/>
      <c r="O123" s="37" t="s">
        <v>2838</v>
      </c>
      <c r="P123" s="37"/>
      <c r="Q123" s="37" t="s">
        <v>2839</v>
      </c>
      <c r="R123" s="37" t="s">
        <v>2840</v>
      </c>
      <c r="S123" s="37" t="s">
        <v>2841</v>
      </c>
      <c r="T123" s="37" t="s">
        <v>2842</v>
      </c>
      <c r="U123" s="37" t="s">
        <v>2843</v>
      </c>
      <c r="V123" s="37" t="s">
        <v>2844</v>
      </c>
      <c r="W123" s="37"/>
      <c r="X123" s="37"/>
      <c r="Y123" s="37"/>
      <c r="Z123" s="37"/>
      <c r="AA123" s="37" t="n">
        <v>21</v>
      </c>
      <c r="AB123" s="37" t="n">
        <v>0</v>
      </c>
      <c r="AC123" s="37" t="n">
        <v>0</v>
      </c>
      <c r="AD123" s="37" t="n">
        <v>0</v>
      </c>
      <c r="AE123" s="37" t="n">
        <v>0</v>
      </c>
      <c r="AF123" s="37" t="s">
        <v>2845</v>
      </c>
      <c r="AG123" s="37" t="s">
        <v>2846</v>
      </c>
      <c r="AH123" s="37" t="s">
        <v>2847</v>
      </c>
      <c r="AI123" s="37" t="s">
        <v>2848</v>
      </c>
      <c r="AJ123" s="37"/>
      <c r="AK123" s="37"/>
      <c r="AL123" s="37" t="s">
        <v>2849</v>
      </c>
      <c r="AM123" s="37" t="s">
        <v>2850</v>
      </c>
      <c r="AN123" s="37" t="s">
        <v>408</v>
      </c>
      <c r="AO123" s="37" t="n">
        <v>2024</v>
      </c>
      <c r="AP123" s="37" t="n">
        <v>16</v>
      </c>
      <c r="AQ123" s="37" t="n">
        <v>4</v>
      </c>
      <c r="AR123" s="37"/>
      <c r="AS123" s="37" t="n">
        <v>87</v>
      </c>
      <c r="AT123" s="37" t="n">
        <v>97</v>
      </c>
      <c r="AU123" s="37"/>
      <c r="AV123" s="37" t="s">
        <v>2851</v>
      </c>
      <c r="AW123" s="37" t="str">
        <f aca="false">HYPERLINK("http://dx.doi.org/10.7160/aol.2024.160407","http://dx.doi.org/10.7160/aol.2024.160407")</f>
        <v>http://dx.doi.org/10.7160/aol.2024.160407</v>
      </c>
      <c r="AX123" s="37"/>
      <c r="AY123" s="37" t="n">
        <v>11</v>
      </c>
      <c r="AZ123" s="37" t="s">
        <v>2852</v>
      </c>
      <c r="BA123" s="37" t="s">
        <v>575</v>
      </c>
      <c r="BB123" s="37" t="s">
        <v>553</v>
      </c>
      <c r="BC123" s="37" t="s">
        <v>2853</v>
      </c>
      <c r="BD123" s="37"/>
      <c r="BE123" s="37"/>
      <c r="BF123" s="37" t="s">
        <v>334</v>
      </c>
      <c r="BG123" s="37" t="s">
        <v>2854</v>
      </c>
      <c r="BH123" s="37" t="str">
        <f aca="false">HYPERLINK("https%3A%2F%2Fwww.webofscience.com%2Fwos%2Fwoscc%2Ffull-record%2FWOS:001409176400007","View Full Record in Web of Science")</f>
        <v>View Full Record in Web of Science</v>
      </c>
      <c r="BI123" s="39"/>
      <c r="BJ123" s="39"/>
      <c r="BK123" s="39"/>
      <c r="BL123" s="39"/>
      <c r="BM123" s="39"/>
      <c r="BN123" s="39"/>
      <c r="BO123" s="39"/>
      <c r="BP123" s="41" t="b">
        <f aca="false">TRUE()</f>
        <v>1</v>
      </c>
      <c r="BQ123" s="39"/>
      <c r="BR123" s="39"/>
      <c r="BS123" s="39"/>
      <c r="BT123" s="39"/>
      <c r="BU123" s="39"/>
      <c r="BV123" s="39"/>
      <c r="BW123" s="39"/>
      <c r="BX123" s="39"/>
      <c r="BY123" s="39"/>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c r="CV123" s="39"/>
      <c r="CW123" s="41" t="b">
        <f aca="false">TRUE()</f>
        <v>1</v>
      </c>
      <c r="CX123" s="39"/>
      <c r="CY123" s="39"/>
      <c r="CZ123" s="39"/>
      <c r="DA123" s="39"/>
      <c r="DB123" s="39"/>
      <c r="DC123" s="39"/>
      <c r="DD123" s="39"/>
      <c r="DE123" s="39"/>
      <c r="DF123" s="39"/>
      <c r="DG123" s="39"/>
      <c r="DH123" s="39"/>
      <c r="DI123" s="39"/>
      <c r="DJ123" s="39"/>
      <c r="DK123" s="39"/>
      <c r="DL123" s="39"/>
      <c r="DM123" s="39"/>
      <c r="DN123" s="39"/>
      <c r="DO123" s="39"/>
      <c r="DP123" s="39"/>
      <c r="DQ123" s="39"/>
      <c r="DR123" s="39"/>
      <c r="DS123" s="39"/>
      <c r="DT123" s="39"/>
      <c r="DU123" s="39"/>
      <c r="DV123" s="39"/>
      <c r="DW123" s="39"/>
      <c r="DX123" s="39"/>
      <c r="DY123" s="39"/>
      <c r="DZ123" s="39"/>
      <c r="EA123" s="41" t="b">
        <f aca="false">TRUE()</f>
        <v>1</v>
      </c>
      <c r="EB123" s="39"/>
      <c r="EC123" s="39"/>
      <c r="ED123" s="39"/>
      <c r="EE123" s="39"/>
      <c r="EF123" s="39"/>
      <c r="EG123" s="39"/>
      <c r="EH123" s="39"/>
      <c r="EI123" s="41" t="b">
        <f aca="false">TRUE()</f>
        <v>1</v>
      </c>
      <c r="EJ123" s="39"/>
      <c r="EK123" s="39"/>
      <c r="EL123" s="39"/>
      <c r="EM123" s="39"/>
      <c r="EN123" s="39"/>
      <c r="EO123" s="39"/>
      <c r="EP123" s="39"/>
      <c r="EQ123" s="39"/>
      <c r="ER123" s="39"/>
      <c r="ES123" s="39"/>
      <c r="ET123" s="39"/>
      <c r="EU123" s="39"/>
      <c r="EV123" s="39"/>
      <c r="EW123" s="39"/>
      <c r="EX123" s="39"/>
      <c r="EY123" s="41" t="b">
        <f aca="false">TRUE()</f>
        <v>1</v>
      </c>
      <c r="EZ123" s="39"/>
      <c r="FA123" s="39"/>
      <c r="FB123" s="39"/>
      <c r="FC123" s="39"/>
      <c r="FD123" s="39"/>
      <c r="FE123" s="39"/>
      <c r="FF123" s="39"/>
      <c r="FG123" s="39"/>
      <c r="FH123" s="39"/>
      <c r="FI123" s="39"/>
      <c r="FJ123" s="39"/>
      <c r="FK123" s="39"/>
      <c r="FL123" s="39"/>
      <c r="FM123" s="39"/>
      <c r="FN123" s="39"/>
      <c r="FO123" s="39"/>
      <c r="FP123" s="39"/>
      <c r="FQ123" s="39"/>
      <c r="FR123" s="39"/>
      <c r="FS123" s="39"/>
      <c r="FT123" s="39"/>
      <c r="FU123" s="39"/>
      <c r="FV123" s="39"/>
      <c r="FW123" s="39"/>
      <c r="FX123" s="39"/>
      <c r="FY123" s="39"/>
      <c r="FZ123" s="39"/>
      <c r="GA123" s="39"/>
      <c r="GB123" s="39"/>
      <c r="GC123" s="39"/>
      <c r="GD123" s="39"/>
      <c r="GE123" s="39"/>
      <c r="GF123" s="39"/>
      <c r="GG123" s="39"/>
      <c r="GH123" s="39"/>
      <c r="GI123" s="39"/>
      <c r="GJ123" s="39"/>
      <c r="GK123" s="39"/>
      <c r="GL123" s="39"/>
      <c r="GM123" s="39"/>
      <c r="GN123" s="39"/>
      <c r="GO123" s="39"/>
      <c r="GP123" s="39"/>
      <c r="GQ123" s="39"/>
      <c r="GR123" s="39"/>
      <c r="GS123" s="39"/>
      <c r="GT123" s="39"/>
      <c r="GU123" s="39"/>
      <c r="GV123" s="39"/>
      <c r="GW123" s="39"/>
      <c r="GX123" s="39"/>
      <c r="GY123" s="39"/>
      <c r="GZ123" s="39"/>
      <c r="HA123" s="39"/>
      <c r="HB123" s="39"/>
      <c r="HC123" s="39"/>
      <c r="HD123" s="39"/>
      <c r="HE123" s="39"/>
      <c r="HF123" s="39"/>
      <c r="HG123" s="39"/>
      <c r="HH123" s="39"/>
      <c r="HI123" s="39"/>
      <c r="HJ123" s="39"/>
      <c r="HK123" s="39"/>
      <c r="HL123" s="39"/>
      <c r="HM123" s="39"/>
      <c r="HN123" s="39"/>
      <c r="HO123" s="39"/>
      <c r="HP123" s="39"/>
      <c r="HQ123" s="39"/>
      <c r="HR123" s="39"/>
      <c r="HS123" s="39"/>
      <c r="HT123" s="39"/>
      <c r="HU123" s="39"/>
      <c r="HV123" s="39"/>
      <c r="HW123" s="39"/>
      <c r="HX123" s="39"/>
      <c r="HY123" s="39"/>
      <c r="HZ123" s="39"/>
      <c r="IA123" s="39"/>
      <c r="IB123" s="39"/>
      <c r="IC123" s="39"/>
      <c r="ID123" s="39"/>
      <c r="IE123" s="39"/>
      <c r="IF123" s="39"/>
      <c r="IG123" s="39"/>
      <c r="IH123" s="39"/>
      <c r="II123" s="39"/>
      <c r="IJ123" s="39"/>
      <c r="IK123" s="39"/>
      <c r="IL123" s="39"/>
      <c r="IM123" s="39"/>
      <c r="IN123" s="39"/>
      <c r="IO123" s="39"/>
      <c r="IP123" s="39"/>
      <c r="IQ123" s="39"/>
      <c r="IR123" s="39"/>
      <c r="IS123" s="39"/>
      <c r="IT123" s="39"/>
      <c r="IU123" s="39"/>
      <c r="IV123" s="39"/>
      <c r="IW123" s="39"/>
      <c r="IX123" s="39"/>
      <c r="IY123" s="41" t="b">
        <f aca="false">TRUE()</f>
        <v>1</v>
      </c>
      <c r="IZ123" s="39"/>
      <c r="JA123" s="39"/>
      <c r="JB123" s="39"/>
      <c r="JC123" s="39"/>
      <c r="JD123" s="39"/>
      <c r="JE123" s="39"/>
      <c r="JF123" s="39"/>
      <c r="JG123" s="39"/>
      <c r="JH123" s="39"/>
      <c r="JI123" s="39"/>
      <c r="JJ123" s="39"/>
      <c r="JK123" s="39"/>
      <c r="JL123" s="39"/>
      <c r="JM123" s="39"/>
      <c r="JN123" s="39"/>
      <c r="JO123" s="39"/>
      <c r="JP123" s="39"/>
      <c r="JQ123" s="39"/>
      <c r="JR123" s="39"/>
      <c r="JS123" s="39"/>
      <c r="JT123" s="41" t="b">
        <f aca="false">TRUE()</f>
        <v>1</v>
      </c>
      <c r="JU123" s="39"/>
      <c r="JV123" s="39"/>
      <c r="JW123" s="39"/>
      <c r="JX123" s="39"/>
      <c r="JY123" s="39"/>
      <c r="JZ123" s="39"/>
      <c r="KA123" s="39"/>
      <c r="KB123" s="39"/>
      <c r="KC123" s="39"/>
      <c r="KD123" s="39"/>
      <c r="KE123" s="39"/>
      <c r="KF123" s="39"/>
      <c r="KG123" s="39"/>
      <c r="KH123" s="39"/>
      <c r="KI123" s="39"/>
      <c r="KJ123" s="39"/>
      <c r="KK123" s="39"/>
      <c r="KL123" s="39"/>
      <c r="KM123" s="39"/>
      <c r="KN123" s="39"/>
      <c r="KO123" s="39"/>
      <c r="KP123" s="39"/>
      <c r="KQ123" s="41" t="b">
        <f aca="false">TRUE()</f>
        <v>1</v>
      </c>
      <c r="KR123" s="39"/>
      <c r="KS123" s="39"/>
      <c r="KT123" s="41" t="b">
        <f aca="false">TRUE()</f>
        <v>1</v>
      </c>
      <c r="KU123" s="39"/>
    </row>
    <row r="124" customFormat="false" ht="14.4" hidden="false" customHeight="false" outlineLevel="0" collapsed="false">
      <c r="A124" s="37" t="s">
        <v>305</v>
      </c>
      <c r="B124" s="37" t="s">
        <v>2855</v>
      </c>
      <c r="C124" s="37"/>
      <c r="D124" s="37"/>
      <c r="E124" s="37"/>
      <c r="F124" s="37" t="s">
        <v>2856</v>
      </c>
      <c r="G124" s="37" t="s">
        <v>2857</v>
      </c>
      <c r="H124" s="37" t="s">
        <v>2858</v>
      </c>
      <c r="I124" s="37" t="s">
        <v>310</v>
      </c>
      <c r="J124" s="37" t="s">
        <v>311</v>
      </c>
      <c r="K124" s="37"/>
      <c r="L124" s="37"/>
      <c r="M124" s="37"/>
      <c r="N124" s="37"/>
      <c r="O124" s="37" t="s">
        <v>2859</v>
      </c>
      <c r="P124" s="37" t="s">
        <v>2860</v>
      </c>
      <c r="Q124" s="37" t="s">
        <v>2861</v>
      </c>
      <c r="R124" s="37" t="s">
        <v>2862</v>
      </c>
      <c r="S124" s="37" t="s">
        <v>2863</v>
      </c>
      <c r="T124" s="37" t="s">
        <v>2864</v>
      </c>
      <c r="U124" s="37" t="s">
        <v>2865</v>
      </c>
      <c r="V124" s="37" t="s">
        <v>2866</v>
      </c>
      <c r="W124" s="37"/>
      <c r="X124" s="37"/>
      <c r="Y124" s="37"/>
      <c r="Z124" s="37"/>
      <c r="AA124" s="37" t="n">
        <v>60</v>
      </c>
      <c r="AB124" s="37" t="n">
        <v>1</v>
      </c>
      <c r="AC124" s="37" t="n">
        <v>2</v>
      </c>
      <c r="AD124" s="37" t="n">
        <v>0</v>
      </c>
      <c r="AE124" s="37" t="n">
        <v>13</v>
      </c>
      <c r="AF124" s="37" t="s">
        <v>717</v>
      </c>
      <c r="AG124" s="37" t="s">
        <v>718</v>
      </c>
      <c r="AH124" s="37" t="s">
        <v>719</v>
      </c>
      <c r="AI124" s="37" t="s">
        <v>2867</v>
      </c>
      <c r="AJ124" s="37" t="s">
        <v>2868</v>
      </c>
      <c r="AK124" s="37"/>
      <c r="AL124" s="37" t="s">
        <v>2869</v>
      </c>
      <c r="AM124" s="37" t="s">
        <v>2870</v>
      </c>
      <c r="AN124" s="37" t="s">
        <v>2871</v>
      </c>
      <c r="AO124" s="37" t="n">
        <v>2023</v>
      </c>
      <c r="AP124" s="37" t="n">
        <v>24</v>
      </c>
      <c r="AQ124" s="37" t="n">
        <v>10</v>
      </c>
      <c r="AR124" s="37"/>
      <c r="AS124" s="37" t="n">
        <v>2504</v>
      </c>
      <c r="AT124" s="37" t="n">
        <v>2521</v>
      </c>
      <c r="AU124" s="37"/>
      <c r="AV124" s="37" t="s">
        <v>2872</v>
      </c>
      <c r="AW124" s="37" t="str">
        <f aca="false">HYPERLINK("http://dx.doi.org/10.1080/14680629.2022.2150276","http://dx.doi.org/10.1080/14680629.2022.2150276")</f>
        <v>http://dx.doi.org/10.1080/14680629.2022.2150276</v>
      </c>
      <c r="AX124" s="37" t="s">
        <v>2873</v>
      </c>
      <c r="AY124" s="37" t="n">
        <v>18</v>
      </c>
      <c r="AZ124" s="37" t="s">
        <v>2874</v>
      </c>
      <c r="BA124" s="37" t="s">
        <v>331</v>
      </c>
      <c r="BB124" s="37" t="s">
        <v>2875</v>
      </c>
      <c r="BC124" s="37" t="s">
        <v>2876</v>
      </c>
      <c r="BD124" s="37"/>
      <c r="BE124" s="37"/>
      <c r="BF124" s="37" t="s">
        <v>334</v>
      </c>
      <c r="BG124" s="37" t="s">
        <v>2877</v>
      </c>
      <c r="BH124" s="37" t="str">
        <f aca="false">HYPERLINK("https%3A%2F%2Fwww.webofscience.com%2Fwos%2Fwoscc%2Ffull-record%2FWOS:000894948500001","View Full Record in Web of Science")</f>
        <v>View Full Record in Web of Science</v>
      </c>
      <c r="BI124" s="39"/>
      <c r="BJ124" s="39"/>
      <c r="BK124" s="39"/>
      <c r="BL124" s="39"/>
      <c r="BM124" s="39"/>
      <c r="BN124" s="39"/>
      <c r="BO124" s="41" t="b">
        <f aca="false">TRUE()</f>
        <v>1</v>
      </c>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c r="CW124" s="39"/>
      <c r="CX124" s="39"/>
      <c r="CY124" s="39"/>
      <c r="CZ124" s="39"/>
      <c r="DA124" s="39"/>
      <c r="DB124" s="39"/>
      <c r="DC124" s="39"/>
      <c r="DD124" s="39"/>
      <c r="DE124" s="41" t="b">
        <f aca="false">TRUE()</f>
        <v>1</v>
      </c>
      <c r="DF124" s="39"/>
      <c r="DG124" s="39"/>
      <c r="DH124" s="39"/>
      <c r="DI124" s="39"/>
      <c r="DJ124" s="39"/>
      <c r="DK124" s="39"/>
      <c r="DL124" s="39"/>
      <c r="DM124" s="39"/>
      <c r="DN124" s="39"/>
      <c r="DO124" s="39"/>
      <c r="DP124" s="39"/>
      <c r="DQ124" s="39"/>
      <c r="DR124" s="39"/>
      <c r="DS124" s="39"/>
      <c r="DT124" s="39"/>
      <c r="DU124" s="39"/>
      <c r="DV124" s="39"/>
      <c r="DW124" s="39"/>
      <c r="DX124" s="39"/>
      <c r="DY124" s="39"/>
      <c r="DZ124" s="39"/>
      <c r="EA124" s="39"/>
      <c r="EB124" s="39"/>
      <c r="EC124" s="39"/>
      <c r="ED124" s="39"/>
      <c r="EE124" s="39"/>
      <c r="EF124" s="39"/>
      <c r="EG124" s="39"/>
      <c r="EH124" s="39"/>
      <c r="EI124" s="39"/>
      <c r="EJ124" s="39"/>
      <c r="EK124" s="39"/>
      <c r="EL124" s="39"/>
      <c r="EM124" s="39"/>
      <c r="EN124" s="39"/>
      <c r="EO124" s="39"/>
      <c r="EP124" s="39"/>
      <c r="EQ124" s="39"/>
      <c r="ER124" s="39"/>
      <c r="ES124" s="39"/>
      <c r="ET124" s="39"/>
      <c r="EU124" s="39"/>
      <c r="EV124" s="39"/>
      <c r="EW124" s="39"/>
      <c r="EX124" s="39"/>
      <c r="EY124" s="39"/>
      <c r="EZ124" s="39"/>
      <c r="FA124" s="39"/>
      <c r="FB124" s="39"/>
      <c r="FC124" s="39"/>
      <c r="FD124" s="39"/>
      <c r="FE124" s="39"/>
      <c r="FF124" s="39"/>
      <c r="FG124" s="39"/>
      <c r="FH124" s="39"/>
      <c r="FI124" s="39"/>
      <c r="FJ124" s="39"/>
      <c r="FK124" s="41" t="b">
        <f aca="false">TRUE()</f>
        <v>1</v>
      </c>
      <c r="FL124" s="39"/>
      <c r="FM124" s="39"/>
      <c r="FN124" s="39"/>
      <c r="FO124" s="39"/>
      <c r="FP124" s="41" t="b">
        <f aca="false">TRUE()</f>
        <v>1</v>
      </c>
      <c r="FQ124" s="39"/>
      <c r="FR124" s="39"/>
      <c r="FS124" s="39"/>
      <c r="FT124" s="39"/>
      <c r="FU124" s="39"/>
      <c r="FV124" s="39"/>
      <c r="FW124" s="39"/>
      <c r="FX124" s="39"/>
      <c r="FY124" s="39"/>
      <c r="FZ124" s="39"/>
      <c r="GA124" s="39"/>
      <c r="GB124" s="39"/>
      <c r="GC124" s="41" t="b">
        <f aca="false">TRUE()</f>
        <v>1</v>
      </c>
      <c r="GD124" s="39"/>
      <c r="GE124" s="39"/>
      <c r="GF124" s="39"/>
      <c r="GG124" s="39"/>
      <c r="GH124" s="39"/>
      <c r="GI124" s="39"/>
      <c r="GJ124" s="39"/>
      <c r="GK124" s="39"/>
      <c r="GL124" s="39"/>
      <c r="GM124" s="39"/>
      <c r="GN124" s="39"/>
      <c r="GO124" s="39"/>
      <c r="GP124" s="39"/>
      <c r="GQ124" s="39"/>
      <c r="GR124" s="39"/>
      <c r="GS124" s="39"/>
      <c r="GT124" s="39"/>
      <c r="GU124" s="39"/>
      <c r="GV124" s="39"/>
      <c r="GW124" s="39"/>
      <c r="GX124" s="39"/>
      <c r="GY124" s="39"/>
      <c r="GZ124" s="39"/>
      <c r="HA124" s="39"/>
      <c r="HB124" s="39"/>
      <c r="HC124" s="39"/>
      <c r="HD124" s="39"/>
      <c r="HE124" s="39"/>
      <c r="HF124" s="39"/>
      <c r="HG124" s="39"/>
      <c r="HH124" s="39"/>
      <c r="HI124" s="39"/>
      <c r="HJ124" s="39"/>
      <c r="HK124" s="39"/>
      <c r="HL124" s="39"/>
      <c r="HM124" s="39"/>
      <c r="HN124" s="39"/>
      <c r="HO124" s="39"/>
      <c r="HP124" s="39"/>
      <c r="HQ124" s="39"/>
      <c r="HR124" s="39"/>
      <c r="HS124" s="39"/>
      <c r="HT124" s="39"/>
      <c r="HU124" s="39"/>
      <c r="HV124" s="39"/>
      <c r="HW124" s="39"/>
      <c r="HX124" s="39"/>
      <c r="HY124" s="39"/>
      <c r="HZ124" s="39"/>
      <c r="IA124" s="39"/>
      <c r="IB124" s="39"/>
      <c r="IC124" s="39"/>
      <c r="ID124" s="39"/>
      <c r="IE124" s="39"/>
      <c r="IF124" s="39"/>
      <c r="IG124" s="39"/>
      <c r="IH124" s="39"/>
      <c r="II124" s="39"/>
      <c r="IJ124" s="39"/>
      <c r="IK124" s="39"/>
      <c r="IL124" s="39"/>
      <c r="IM124" s="39"/>
      <c r="IN124" s="39"/>
      <c r="IO124" s="39"/>
      <c r="IP124" s="39"/>
      <c r="IQ124" s="39"/>
      <c r="IR124" s="39"/>
      <c r="IS124" s="39"/>
      <c r="IT124" s="39"/>
      <c r="IU124" s="39"/>
      <c r="IV124" s="39"/>
      <c r="IW124" s="39"/>
      <c r="IX124" s="39"/>
      <c r="IY124" s="39"/>
      <c r="IZ124" s="39"/>
      <c r="JA124" s="39"/>
      <c r="JB124" s="39"/>
      <c r="JC124" s="39"/>
      <c r="JD124" s="39"/>
      <c r="JE124" s="39"/>
      <c r="JF124" s="39"/>
      <c r="JG124" s="39"/>
      <c r="JH124" s="41" t="b">
        <f aca="false">TRUE()</f>
        <v>1</v>
      </c>
      <c r="JI124" s="39"/>
      <c r="JJ124" s="39"/>
      <c r="JK124" s="39"/>
      <c r="JL124" s="39"/>
      <c r="JM124" s="39"/>
      <c r="JN124" s="39"/>
      <c r="JO124" s="39"/>
      <c r="JP124" s="39"/>
      <c r="JQ124" s="39"/>
      <c r="JR124" s="39"/>
      <c r="JS124" s="39"/>
      <c r="JT124" s="41" t="b">
        <f aca="false">TRUE()</f>
        <v>1</v>
      </c>
      <c r="JU124" s="41" t="b">
        <f aca="false">TRUE()</f>
        <v>1</v>
      </c>
      <c r="JV124" s="39"/>
      <c r="JW124" s="39"/>
      <c r="JX124" s="39"/>
      <c r="JY124" s="39"/>
      <c r="JZ124" s="39"/>
      <c r="KA124" s="39"/>
      <c r="KB124" s="39"/>
      <c r="KC124" s="39"/>
      <c r="KD124" s="39"/>
      <c r="KE124" s="39"/>
      <c r="KF124" s="39"/>
      <c r="KG124" s="39"/>
      <c r="KH124" s="39"/>
      <c r="KI124" s="39"/>
      <c r="KJ124" s="39"/>
      <c r="KK124" s="39"/>
      <c r="KL124" s="39"/>
      <c r="KM124" s="39"/>
      <c r="KN124" s="39"/>
      <c r="KO124" s="39"/>
      <c r="KP124" s="39"/>
      <c r="KQ124" s="39"/>
      <c r="KR124" s="41" t="b">
        <f aca="false">TRUE()</f>
        <v>1</v>
      </c>
      <c r="KS124" s="39"/>
      <c r="KT124" s="39"/>
      <c r="KU124" s="41" t="b">
        <f aca="false">TRUE()</f>
        <v>1</v>
      </c>
    </row>
    <row r="125" customFormat="false" ht="14.4" hidden="false" customHeight="false" outlineLevel="0" collapsed="false">
      <c r="A125" s="37" t="s">
        <v>305</v>
      </c>
      <c r="B125" s="37" t="s">
        <v>2878</v>
      </c>
      <c r="C125" s="37"/>
      <c r="D125" s="37"/>
      <c r="E125" s="37"/>
      <c r="F125" s="37" t="s">
        <v>2879</v>
      </c>
      <c r="G125" s="37" t="s">
        <v>2880</v>
      </c>
      <c r="H125" s="37" t="s">
        <v>708</v>
      </c>
      <c r="I125" s="37" t="s">
        <v>310</v>
      </c>
      <c r="J125" s="37" t="s">
        <v>311</v>
      </c>
      <c r="K125" s="37"/>
      <c r="L125" s="37"/>
      <c r="M125" s="37"/>
      <c r="N125" s="37"/>
      <c r="O125" s="37" t="s">
        <v>2881</v>
      </c>
      <c r="P125" s="37" t="s">
        <v>2882</v>
      </c>
      <c r="Q125" s="37" t="s">
        <v>2883</v>
      </c>
      <c r="R125" s="37" t="s">
        <v>2884</v>
      </c>
      <c r="S125" s="37" t="s">
        <v>2885</v>
      </c>
      <c r="T125" s="37" t="s">
        <v>2886</v>
      </c>
      <c r="U125" s="37" t="s">
        <v>2887</v>
      </c>
      <c r="V125" s="37" t="s">
        <v>2888</v>
      </c>
      <c r="W125" s="37" t="s">
        <v>2889</v>
      </c>
      <c r="X125" s="37"/>
      <c r="Y125" s="37"/>
      <c r="Z125" s="37"/>
      <c r="AA125" s="37" t="n">
        <v>82</v>
      </c>
      <c r="AB125" s="37" t="n">
        <v>20</v>
      </c>
      <c r="AC125" s="37" t="n">
        <v>20</v>
      </c>
      <c r="AD125" s="37" t="n">
        <v>5</v>
      </c>
      <c r="AE125" s="37" t="n">
        <v>23</v>
      </c>
      <c r="AF125" s="37" t="s">
        <v>717</v>
      </c>
      <c r="AG125" s="37" t="s">
        <v>718</v>
      </c>
      <c r="AH125" s="37" t="s">
        <v>719</v>
      </c>
      <c r="AI125" s="37" t="s">
        <v>720</v>
      </c>
      <c r="AJ125" s="37" t="s">
        <v>721</v>
      </c>
      <c r="AK125" s="37"/>
      <c r="AL125" s="37" t="s">
        <v>722</v>
      </c>
      <c r="AM125" s="37" t="s">
        <v>723</v>
      </c>
      <c r="AN125" s="37" t="s">
        <v>2890</v>
      </c>
      <c r="AO125" s="37" t="n">
        <v>2022</v>
      </c>
      <c r="AP125" s="37" t="n">
        <v>67</v>
      </c>
      <c r="AQ125" s="37" t="n">
        <v>9</v>
      </c>
      <c r="AR125" s="37"/>
      <c r="AS125" s="37" t="n">
        <v>1309</v>
      </c>
      <c r="AT125" s="37" t="n">
        <v>1327</v>
      </c>
      <c r="AU125" s="37"/>
      <c r="AV125" s="37" t="s">
        <v>2891</v>
      </c>
      <c r="AW125" s="37" t="str">
        <f aca="false">HYPERLINK("http://dx.doi.org/10.1080/02626667.2022.2063724","http://dx.doi.org/10.1080/02626667.2022.2063724")</f>
        <v>http://dx.doi.org/10.1080/02626667.2022.2063724</v>
      </c>
      <c r="AX125" s="37" t="s">
        <v>777</v>
      </c>
      <c r="AY125" s="37" t="n">
        <v>19</v>
      </c>
      <c r="AZ125" s="37" t="s">
        <v>727</v>
      </c>
      <c r="BA125" s="37" t="s">
        <v>331</v>
      </c>
      <c r="BB125" s="37" t="s">
        <v>727</v>
      </c>
      <c r="BC125" s="37" t="s">
        <v>2892</v>
      </c>
      <c r="BD125" s="37"/>
      <c r="BE125" s="37"/>
      <c r="BF125" s="37" t="s">
        <v>334</v>
      </c>
      <c r="BG125" s="37" t="s">
        <v>2893</v>
      </c>
      <c r="BH125" s="37" t="str">
        <f aca="false">HYPERLINK("https%3A%2F%2Fwww.webofscience.com%2Fwos%2Fwoscc%2Ffull-record%2FWOS:000813836700001","View Full Record in Web of Science")</f>
        <v>View Full Record in Web of Science</v>
      </c>
      <c r="BI125" s="41" t="b">
        <f aca="false">TRUE()</f>
        <v>1</v>
      </c>
      <c r="BJ125" s="39"/>
      <c r="BK125" s="39"/>
      <c r="BL125" s="39"/>
      <c r="BM125" s="39"/>
      <c r="BN125" s="39"/>
      <c r="BO125" s="39"/>
      <c r="BP125" s="39"/>
      <c r="BQ125" s="39"/>
      <c r="BR125" s="41" t="b">
        <f aca="false">TRUE()</f>
        <v>1</v>
      </c>
      <c r="BS125" s="39"/>
      <c r="BT125" s="39"/>
      <c r="BU125" s="39"/>
      <c r="BV125" s="39"/>
      <c r="BW125" s="39"/>
      <c r="BX125" s="39"/>
      <c r="BY125" s="39"/>
      <c r="BZ125" s="39"/>
      <c r="CA125" s="39"/>
      <c r="CB125" s="39"/>
      <c r="CC125" s="39"/>
      <c r="CD125" s="39"/>
      <c r="CE125" s="39"/>
      <c r="CF125" s="39"/>
      <c r="CG125" s="39"/>
      <c r="CH125" s="39"/>
      <c r="CI125" s="41" t="b">
        <f aca="false">TRUE()</f>
        <v>1</v>
      </c>
      <c r="CJ125" s="39"/>
      <c r="CK125" s="39"/>
      <c r="CL125" s="39"/>
      <c r="CM125" s="39"/>
      <c r="CN125" s="39"/>
      <c r="CO125" s="39"/>
      <c r="CP125" s="39"/>
      <c r="CQ125" s="39"/>
      <c r="CR125" s="39"/>
      <c r="CS125" s="39"/>
      <c r="CT125" s="39"/>
      <c r="CU125" s="39"/>
      <c r="CV125" s="39"/>
      <c r="CW125" s="39"/>
      <c r="CX125" s="39"/>
      <c r="CY125" s="39"/>
      <c r="CZ125" s="39"/>
      <c r="DA125" s="39"/>
      <c r="DB125" s="39"/>
      <c r="DC125" s="39"/>
      <c r="DD125" s="39"/>
      <c r="DE125" s="39"/>
      <c r="DF125" s="39"/>
      <c r="DG125" s="39"/>
      <c r="DH125" s="39"/>
      <c r="DI125" s="39"/>
      <c r="DJ125" s="39"/>
      <c r="DK125" s="39"/>
      <c r="DL125" s="39"/>
      <c r="DM125" s="39"/>
      <c r="DN125" s="39"/>
      <c r="DO125" s="39"/>
      <c r="DP125" s="39"/>
      <c r="DQ125" s="39"/>
      <c r="DR125" s="39"/>
      <c r="DS125" s="39"/>
      <c r="DT125" s="39"/>
      <c r="DU125" s="41" t="b">
        <f aca="false">TRUE()</f>
        <v>1</v>
      </c>
      <c r="DV125" s="39"/>
      <c r="DW125" s="39"/>
      <c r="DX125" s="39"/>
      <c r="DY125" s="39"/>
      <c r="DZ125" s="39"/>
      <c r="EA125" s="41" t="b">
        <f aca="false">TRUE()</f>
        <v>1</v>
      </c>
      <c r="EB125" s="39"/>
      <c r="EC125" s="39"/>
      <c r="ED125" s="39"/>
      <c r="EE125" s="39"/>
      <c r="EF125" s="39"/>
      <c r="EG125" s="39"/>
      <c r="EH125" s="41" t="b">
        <f aca="false">TRUE()</f>
        <v>1</v>
      </c>
      <c r="EI125" s="41" t="b">
        <f aca="false">TRUE()</f>
        <v>1</v>
      </c>
      <c r="EJ125" s="39"/>
      <c r="EK125" s="39"/>
      <c r="EL125" s="39"/>
      <c r="EM125" s="39"/>
      <c r="EN125" s="41" t="b">
        <f aca="false">TRUE()</f>
        <v>1</v>
      </c>
      <c r="EO125" s="39"/>
      <c r="EP125" s="39"/>
      <c r="EQ125" s="39"/>
      <c r="ER125" s="39"/>
      <c r="ES125" s="39"/>
      <c r="ET125" s="39"/>
      <c r="EU125" s="39"/>
      <c r="EV125" s="39"/>
      <c r="EW125" s="39"/>
      <c r="EX125" s="39"/>
      <c r="EY125" s="41" t="b">
        <f aca="false">TRUE()</f>
        <v>1</v>
      </c>
      <c r="EZ125" s="39"/>
      <c r="FA125" s="39"/>
      <c r="FB125" s="39"/>
      <c r="FC125" s="39"/>
      <c r="FD125" s="39"/>
      <c r="FE125" s="41" t="b">
        <f aca="false">TRUE()</f>
        <v>1</v>
      </c>
      <c r="FF125" s="39"/>
      <c r="FG125" s="39"/>
      <c r="FH125" s="39"/>
      <c r="FI125" s="39"/>
      <c r="FJ125" s="39"/>
      <c r="FK125" s="39"/>
      <c r="FL125" s="39"/>
      <c r="FM125" s="39"/>
      <c r="FN125" s="39"/>
      <c r="FO125" s="39"/>
      <c r="FP125" s="39"/>
      <c r="FQ125" s="39"/>
      <c r="FR125" s="39"/>
      <c r="FS125" s="39"/>
      <c r="FT125" s="39"/>
      <c r="FU125" s="39"/>
      <c r="FV125" s="39"/>
      <c r="FW125" s="39"/>
      <c r="FX125" s="39"/>
      <c r="FY125" s="39"/>
      <c r="FZ125" s="39"/>
      <c r="GA125" s="39"/>
      <c r="GB125" s="39"/>
      <c r="GC125" s="39"/>
      <c r="GD125" s="39"/>
      <c r="GE125" s="39"/>
      <c r="GF125" s="39"/>
      <c r="GG125" s="39"/>
      <c r="GH125" s="39"/>
      <c r="GI125" s="39"/>
      <c r="GJ125" s="39"/>
      <c r="GK125" s="39"/>
      <c r="GL125" s="39"/>
      <c r="GM125" s="39"/>
      <c r="GN125" s="39"/>
      <c r="GO125" s="39"/>
      <c r="GP125" s="39"/>
      <c r="GQ125" s="39"/>
      <c r="GR125" s="39"/>
      <c r="GS125" s="39"/>
      <c r="GT125" s="39"/>
      <c r="GU125" s="39"/>
      <c r="GV125" s="39"/>
      <c r="GW125" s="39"/>
      <c r="GX125" s="39"/>
      <c r="GY125" s="39"/>
      <c r="GZ125" s="39"/>
      <c r="HA125" s="39"/>
      <c r="HB125" s="39"/>
      <c r="HC125" s="39"/>
      <c r="HD125" s="39"/>
      <c r="HE125" s="39"/>
      <c r="HF125" s="39"/>
      <c r="HG125" s="39"/>
      <c r="HH125" s="39"/>
      <c r="HI125" s="39"/>
      <c r="HJ125" s="39"/>
      <c r="HK125" s="41" t="b">
        <f aca="false">TRUE()</f>
        <v>1</v>
      </c>
      <c r="HL125" s="39"/>
      <c r="HM125" s="39"/>
      <c r="HN125" s="39"/>
      <c r="HO125" s="39"/>
      <c r="HP125" s="39"/>
      <c r="HQ125" s="39"/>
      <c r="HR125" s="39"/>
      <c r="HS125" s="39"/>
      <c r="HT125" s="39"/>
      <c r="HU125" s="39"/>
      <c r="HV125" s="39"/>
      <c r="HW125" s="39"/>
      <c r="HX125" s="39"/>
      <c r="HY125" s="39"/>
      <c r="HZ125" s="39"/>
      <c r="IA125" s="39"/>
      <c r="IB125" s="39"/>
      <c r="IC125" s="39"/>
      <c r="ID125" s="39"/>
      <c r="IE125" s="39"/>
      <c r="IF125" s="39"/>
      <c r="IG125" s="39"/>
      <c r="IH125" s="39"/>
      <c r="II125" s="39"/>
      <c r="IJ125" s="39"/>
      <c r="IK125" s="39"/>
      <c r="IL125" s="39"/>
      <c r="IM125" s="39"/>
      <c r="IN125" s="39"/>
      <c r="IO125" s="39"/>
      <c r="IP125" s="39"/>
      <c r="IQ125" s="39"/>
      <c r="IR125" s="39"/>
      <c r="IS125" s="39"/>
      <c r="IT125" s="39"/>
      <c r="IU125" s="39"/>
      <c r="IV125" s="39"/>
      <c r="IW125" s="39"/>
      <c r="IX125" s="41" t="b">
        <f aca="false">TRUE()</f>
        <v>1</v>
      </c>
      <c r="IY125" s="39"/>
      <c r="IZ125" s="39"/>
      <c r="JA125" s="39"/>
      <c r="JB125" s="39"/>
      <c r="JC125" s="39"/>
      <c r="JD125" s="39"/>
      <c r="JE125" s="39"/>
      <c r="JF125" s="39"/>
      <c r="JG125" s="39"/>
      <c r="JH125" s="39"/>
      <c r="JI125" s="39"/>
      <c r="JJ125" s="39"/>
      <c r="JK125" s="39"/>
      <c r="JL125" s="39"/>
      <c r="JM125" s="39"/>
      <c r="JN125" s="39"/>
      <c r="JO125" s="39"/>
      <c r="JP125" s="39"/>
      <c r="JQ125" s="39"/>
      <c r="JR125" s="39"/>
      <c r="JS125" s="39"/>
      <c r="JT125" s="41" t="b">
        <f aca="false">TRUE()</f>
        <v>1</v>
      </c>
      <c r="JU125" s="39"/>
      <c r="JV125" s="41" t="b">
        <f aca="false">TRUE()</f>
        <v>1</v>
      </c>
      <c r="JW125" s="39"/>
      <c r="JX125" s="39"/>
      <c r="JY125" s="39"/>
      <c r="JZ125" s="39"/>
      <c r="KA125" s="39"/>
      <c r="KB125" s="39"/>
      <c r="KC125" s="39"/>
      <c r="KD125" s="39"/>
      <c r="KE125" s="39"/>
      <c r="KF125" s="39"/>
      <c r="KG125" s="39"/>
      <c r="KH125" s="39"/>
      <c r="KI125" s="39"/>
      <c r="KJ125" s="39"/>
      <c r="KK125" s="39"/>
      <c r="KL125" s="39"/>
      <c r="KM125" s="39"/>
      <c r="KN125" s="39"/>
      <c r="KO125" s="39"/>
      <c r="KP125" s="39"/>
      <c r="KQ125" s="41" t="b">
        <f aca="false">TRUE()</f>
        <v>1</v>
      </c>
      <c r="KR125" s="39"/>
      <c r="KS125" s="39"/>
      <c r="KT125" s="41" t="b">
        <f aca="false">TRUE()</f>
        <v>1</v>
      </c>
      <c r="KU125" s="39"/>
    </row>
    <row r="126" customFormat="false" ht="14.4" hidden="false" customHeight="false" outlineLevel="0" collapsed="false">
      <c r="A126" s="37" t="s">
        <v>305</v>
      </c>
      <c r="B126" s="37" t="s">
        <v>2894</v>
      </c>
      <c r="C126" s="37"/>
      <c r="D126" s="37"/>
      <c r="E126" s="37"/>
      <c r="F126" s="37" t="s">
        <v>2895</v>
      </c>
      <c r="G126" s="37" t="s">
        <v>2896</v>
      </c>
      <c r="H126" s="37" t="s">
        <v>340</v>
      </c>
      <c r="I126" s="37" t="s">
        <v>310</v>
      </c>
      <c r="J126" s="37" t="s">
        <v>311</v>
      </c>
      <c r="K126" s="37"/>
      <c r="L126" s="37"/>
      <c r="M126" s="37"/>
      <c r="N126" s="37"/>
      <c r="O126" s="37" t="s">
        <v>2897</v>
      </c>
      <c r="P126" s="37" t="s">
        <v>2898</v>
      </c>
      <c r="Q126" s="37" t="s">
        <v>2899</v>
      </c>
      <c r="R126" s="37" t="s">
        <v>2900</v>
      </c>
      <c r="S126" s="37" t="s">
        <v>2901</v>
      </c>
      <c r="T126" s="37" t="s">
        <v>2902</v>
      </c>
      <c r="U126" s="37" t="s">
        <v>2903</v>
      </c>
      <c r="V126" s="37"/>
      <c r="W126" s="37"/>
      <c r="X126" s="37" t="s">
        <v>2904</v>
      </c>
      <c r="Y126" s="37" t="s">
        <v>2905</v>
      </c>
      <c r="Z126" s="37" t="s">
        <v>2906</v>
      </c>
      <c r="AA126" s="37" t="n">
        <v>77</v>
      </c>
      <c r="AB126" s="37" t="n">
        <v>4</v>
      </c>
      <c r="AC126" s="37" t="n">
        <v>4</v>
      </c>
      <c r="AD126" s="37" t="n">
        <v>7</v>
      </c>
      <c r="AE126" s="37" t="n">
        <v>18</v>
      </c>
      <c r="AF126" s="37" t="s">
        <v>353</v>
      </c>
      <c r="AG126" s="37" t="s">
        <v>354</v>
      </c>
      <c r="AH126" s="37" t="s">
        <v>355</v>
      </c>
      <c r="AI126" s="37" t="s">
        <v>356</v>
      </c>
      <c r="AJ126" s="37" t="s">
        <v>357</v>
      </c>
      <c r="AK126" s="37"/>
      <c r="AL126" s="37" t="s">
        <v>358</v>
      </c>
      <c r="AM126" s="37" t="s">
        <v>359</v>
      </c>
      <c r="AN126" s="37" t="s">
        <v>1046</v>
      </c>
      <c r="AO126" s="37" t="n">
        <v>2024</v>
      </c>
      <c r="AP126" s="37" t="n">
        <v>629</v>
      </c>
      <c r="AQ126" s="37"/>
      <c r="AR126" s="37"/>
      <c r="AS126" s="37"/>
      <c r="AT126" s="37"/>
      <c r="AU126" s="37" t="n">
        <v>130498</v>
      </c>
      <c r="AV126" s="37" t="s">
        <v>2907</v>
      </c>
      <c r="AW126" s="37" t="str">
        <f aca="false">HYPERLINK("http://dx.doi.org/10.1016/j.jhydrol.2023.130498","http://dx.doi.org/10.1016/j.jhydrol.2023.130498")</f>
        <v>http://dx.doi.org/10.1016/j.jhydrol.2023.130498</v>
      </c>
      <c r="AX126" s="37" t="s">
        <v>1331</v>
      </c>
      <c r="AY126" s="37" t="n">
        <v>17</v>
      </c>
      <c r="AZ126" s="37" t="s">
        <v>362</v>
      </c>
      <c r="BA126" s="37" t="s">
        <v>331</v>
      </c>
      <c r="BB126" s="37" t="s">
        <v>363</v>
      </c>
      <c r="BC126" s="37" t="s">
        <v>2908</v>
      </c>
      <c r="BD126" s="37"/>
      <c r="BE126" s="37"/>
      <c r="BF126" s="37" t="s">
        <v>334</v>
      </c>
      <c r="BG126" s="37" t="s">
        <v>2909</v>
      </c>
      <c r="BH126" s="37" t="str">
        <f aca="false">HYPERLINK("https%3A%2F%2Fwww.webofscience.com%2Fwos%2Fwoscc%2Ffull-record%2FWOS:001142643900001","View Full Record in Web of Science")</f>
        <v>View Full Record in Web of Science</v>
      </c>
      <c r="BI126" s="39"/>
      <c r="BJ126" s="39"/>
      <c r="BK126" s="39"/>
      <c r="BL126" s="39"/>
      <c r="BM126" s="39"/>
      <c r="BN126" s="39"/>
      <c r="BO126" s="41" t="b">
        <f aca="false">TRUE()</f>
        <v>1</v>
      </c>
      <c r="BP126" s="39"/>
      <c r="BQ126" s="39"/>
      <c r="BR126" s="41" t="b">
        <f aca="false">TRUE()</f>
        <v>1</v>
      </c>
      <c r="BS126" s="39"/>
      <c r="BT126" s="39"/>
      <c r="BU126" s="39"/>
      <c r="BV126" s="39"/>
      <c r="BW126" s="39"/>
      <c r="BX126" s="39"/>
      <c r="BY126" s="39"/>
      <c r="BZ126" s="39"/>
      <c r="CA126" s="39"/>
      <c r="CB126" s="39"/>
      <c r="CC126" s="39"/>
      <c r="CD126" s="39"/>
      <c r="CE126" s="39"/>
      <c r="CF126" s="41" t="b">
        <f aca="false">TRUE()</f>
        <v>1</v>
      </c>
      <c r="CG126" s="39"/>
      <c r="CH126" s="39"/>
      <c r="CI126" s="39"/>
      <c r="CJ126" s="39"/>
      <c r="CK126" s="39"/>
      <c r="CL126" s="39"/>
      <c r="CM126" s="39"/>
      <c r="CN126" s="39"/>
      <c r="CO126" s="39"/>
      <c r="CP126" s="39"/>
      <c r="CQ126" s="39"/>
      <c r="CR126" s="39"/>
      <c r="CS126" s="39"/>
      <c r="CT126" s="39"/>
      <c r="CU126" s="39"/>
      <c r="CV126" s="39"/>
      <c r="CW126" s="39"/>
      <c r="CX126" s="39"/>
      <c r="CY126" s="39"/>
      <c r="CZ126" s="39"/>
      <c r="DA126" s="39"/>
      <c r="DB126" s="39"/>
      <c r="DC126" s="39"/>
      <c r="DD126" s="39"/>
      <c r="DE126" s="39"/>
      <c r="DF126" s="39"/>
      <c r="DG126" s="39"/>
      <c r="DH126" s="39"/>
      <c r="DI126" s="39"/>
      <c r="DJ126" s="39"/>
      <c r="DK126" s="39"/>
      <c r="DL126" s="39"/>
      <c r="DM126" s="39"/>
      <c r="DN126" s="39"/>
      <c r="DO126" s="39"/>
      <c r="DP126" s="39"/>
      <c r="DQ126" s="39"/>
      <c r="DR126" s="39"/>
      <c r="DS126" s="39"/>
      <c r="DT126" s="39"/>
      <c r="DU126" s="39"/>
      <c r="DV126" s="39"/>
      <c r="DW126" s="39"/>
      <c r="DX126" s="39"/>
      <c r="DY126" s="39"/>
      <c r="DZ126" s="39"/>
      <c r="EA126" s="39"/>
      <c r="EB126" s="39"/>
      <c r="EC126" s="39"/>
      <c r="ED126" s="39"/>
      <c r="EE126" s="39"/>
      <c r="EF126" s="39"/>
      <c r="EG126" s="39"/>
      <c r="EH126" s="39"/>
      <c r="EI126" s="39"/>
      <c r="EJ126" s="39"/>
      <c r="EK126" s="39"/>
      <c r="EL126" s="39"/>
      <c r="EM126" s="39"/>
      <c r="EN126" s="39"/>
      <c r="EO126" s="39"/>
      <c r="EP126" s="39"/>
      <c r="EQ126" s="39"/>
      <c r="ER126" s="39"/>
      <c r="ES126" s="39"/>
      <c r="ET126" s="39"/>
      <c r="EU126" s="39"/>
      <c r="EV126" s="39"/>
      <c r="EW126" s="39"/>
      <c r="EX126" s="39"/>
      <c r="EY126" s="39"/>
      <c r="EZ126" s="39"/>
      <c r="FA126" s="39"/>
      <c r="FB126" s="39"/>
      <c r="FC126" s="39"/>
      <c r="FD126" s="39"/>
      <c r="FE126" s="39"/>
      <c r="FF126" s="39"/>
      <c r="FG126" s="39"/>
      <c r="FH126" s="39"/>
      <c r="FI126" s="39"/>
      <c r="FJ126" s="39"/>
      <c r="FK126" s="39"/>
      <c r="FL126" s="39"/>
      <c r="FM126" s="39"/>
      <c r="FN126" s="39"/>
      <c r="FO126" s="39"/>
      <c r="FP126" s="39"/>
      <c r="FQ126" s="39"/>
      <c r="FR126" s="39"/>
      <c r="FS126" s="39"/>
      <c r="FT126" s="39"/>
      <c r="FU126" s="39"/>
      <c r="FV126" s="39"/>
      <c r="FW126" s="39"/>
      <c r="FX126" s="39"/>
      <c r="FY126" s="39"/>
      <c r="FZ126" s="39"/>
      <c r="GA126" s="39"/>
      <c r="GB126" s="39"/>
      <c r="GC126" s="39"/>
      <c r="GD126" s="39"/>
      <c r="GE126" s="39"/>
      <c r="GF126" s="39"/>
      <c r="GG126" s="39"/>
      <c r="GH126" s="39"/>
      <c r="GI126" s="39"/>
      <c r="GJ126" s="39"/>
      <c r="GK126" s="39"/>
      <c r="GL126" s="39"/>
      <c r="GM126" s="39"/>
      <c r="GN126" s="39"/>
      <c r="GO126" s="39"/>
      <c r="GP126" s="39"/>
      <c r="GQ126" s="39"/>
      <c r="GR126" s="39"/>
      <c r="GS126" s="39"/>
      <c r="GT126" s="39"/>
      <c r="GU126" s="39"/>
      <c r="GV126" s="39"/>
      <c r="GW126" s="39"/>
      <c r="GX126" s="39"/>
      <c r="GY126" s="39"/>
      <c r="GZ126" s="39"/>
      <c r="HA126" s="39"/>
      <c r="HB126" s="39"/>
      <c r="HC126" s="39"/>
      <c r="HD126" s="39"/>
      <c r="HE126" s="39"/>
      <c r="HF126" s="39"/>
      <c r="HG126" s="39"/>
      <c r="HH126" s="39"/>
      <c r="HI126" s="39"/>
      <c r="HJ126" s="39"/>
      <c r="HK126" s="41" t="b">
        <f aca="false">TRUE()</f>
        <v>1</v>
      </c>
      <c r="HL126" s="39"/>
      <c r="HM126" s="39"/>
      <c r="HN126" s="39"/>
      <c r="HO126" s="41" t="b">
        <f aca="false">TRUE()</f>
        <v>1</v>
      </c>
      <c r="HP126" s="39"/>
      <c r="HQ126" s="39"/>
      <c r="HR126" s="39"/>
      <c r="HS126" s="39"/>
      <c r="HT126" s="39"/>
      <c r="HU126" s="39"/>
      <c r="HV126" s="39"/>
      <c r="HW126" s="39"/>
      <c r="HX126" s="39"/>
      <c r="HY126" s="39"/>
      <c r="HZ126" s="39"/>
      <c r="IA126" s="41" t="b">
        <f aca="false">TRUE()</f>
        <v>1</v>
      </c>
      <c r="IB126" s="39"/>
      <c r="IC126" s="39"/>
      <c r="ID126" s="39"/>
      <c r="IE126" s="39"/>
      <c r="IF126" s="39"/>
      <c r="IG126" s="39"/>
      <c r="IH126" s="39"/>
      <c r="II126" s="39"/>
      <c r="IJ126" s="39"/>
      <c r="IK126" s="39"/>
      <c r="IL126" s="39"/>
      <c r="IM126" s="39"/>
      <c r="IN126" s="39"/>
      <c r="IO126" s="39"/>
      <c r="IP126" s="39"/>
      <c r="IQ126" s="39"/>
      <c r="IR126" s="39"/>
      <c r="IS126" s="39"/>
      <c r="IT126" s="39"/>
      <c r="IU126" s="39"/>
      <c r="IV126" s="39"/>
      <c r="IW126" s="39"/>
      <c r="IX126" s="39"/>
      <c r="IY126" s="39"/>
      <c r="IZ126" s="39"/>
      <c r="JA126" s="39"/>
      <c r="JB126" s="39"/>
      <c r="JC126" s="39"/>
      <c r="JD126" s="39"/>
      <c r="JE126" s="39"/>
      <c r="JF126" s="39"/>
      <c r="JG126" s="39"/>
      <c r="JH126" s="39"/>
      <c r="JI126" s="39"/>
      <c r="JJ126" s="39"/>
      <c r="JK126" s="39"/>
      <c r="JL126" s="39"/>
      <c r="JM126" s="39"/>
      <c r="JN126" s="39"/>
      <c r="JO126" s="39"/>
      <c r="JP126" s="39"/>
      <c r="JQ126" s="39"/>
      <c r="JR126" s="39"/>
      <c r="JS126" s="39"/>
      <c r="JT126" s="41" t="b">
        <f aca="false">TRUE()</f>
        <v>1</v>
      </c>
      <c r="JU126" s="39"/>
      <c r="JV126" s="39"/>
      <c r="JW126" s="39"/>
      <c r="JX126" s="39"/>
      <c r="JY126" s="39"/>
      <c r="JZ126" s="39"/>
      <c r="KA126" s="39"/>
      <c r="KB126" s="39"/>
      <c r="KC126" s="39"/>
      <c r="KD126" s="39"/>
      <c r="KE126" s="39"/>
      <c r="KF126" s="39"/>
      <c r="KG126" s="39"/>
      <c r="KH126" s="39"/>
      <c r="KI126" s="39"/>
      <c r="KJ126" s="39"/>
      <c r="KK126" s="39"/>
      <c r="KL126" s="39"/>
      <c r="KM126" s="39"/>
      <c r="KN126" s="39"/>
      <c r="KO126" s="39"/>
      <c r="KP126" s="39"/>
      <c r="KQ126" s="41" t="b">
        <f aca="false">TRUE()</f>
        <v>1</v>
      </c>
      <c r="KR126" s="39"/>
      <c r="KS126" s="39"/>
      <c r="KT126" s="41" t="b">
        <f aca="false">TRUE()</f>
        <v>1</v>
      </c>
      <c r="KU126" s="39"/>
    </row>
    <row r="127" customFormat="false" ht="17.15" hidden="false" customHeight="false" outlineLevel="0" collapsed="false">
      <c r="A127" s="37" t="s">
        <v>305</v>
      </c>
      <c r="B127" s="37" t="s">
        <v>2910</v>
      </c>
      <c r="C127" s="37"/>
      <c r="D127" s="37"/>
      <c r="E127" s="37"/>
      <c r="F127" s="37" t="s">
        <v>2911</v>
      </c>
      <c r="G127" s="37" t="s">
        <v>2912</v>
      </c>
      <c r="H127" s="37" t="s">
        <v>733</v>
      </c>
      <c r="I127" s="37" t="s">
        <v>310</v>
      </c>
      <c r="J127" s="37" t="s">
        <v>311</v>
      </c>
      <c r="K127" s="37"/>
      <c r="L127" s="37"/>
      <c r="M127" s="37"/>
      <c r="N127" s="37"/>
      <c r="O127" s="37" t="s">
        <v>2913</v>
      </c>
      <c r="P127" s="37" t="s">
        <v>2914</v>
      </c>
      <c r="Q127" s="37" t="s">
        <v>2915</v>
      </c>
      <c r="R127" s="37" t="s">
        <v>2916</v>
      </c>
      <c r="S127" s="37" t="s">
        <v>2917</v>
      </c>
      <c r="T127" s="37" t="s">
        <v>2918</v>
      </c>
      <c r="U127" s="37" t="s">
        <v>2919</v>
      </c>
      <c r="V127" s="37" t="s">
        <v>2920</v>
      </c>
      <c r="W127" s="37" t="s">
        <v>2921</v>
      </c>
      <c r="X127" s="37" t="s">
        <v>2922</v>
      </c>
      <c r="Y127" s="37" t="s">
        <v>2923</v>
      </c>
      <c r="Z127" s="37" t="s">
        <v>2924</v>
      </c>
      <c r="AA127" s="37" t="n">
        <v>73</v>
      </c>
      <c r="AB127" s="37" t="n">
        <v>9</v>
      </c>
      <c r="AC127" s="37" t="n">
        <v>10</v>
      </c>
      <c r="AD127" s="37" t="n">
        <v>27</v>
      </c>
      <c r="AE127" s="37" t="n">
        <v>59</v>
      </c>
      <c r="AF127" s="37" t="s">
        <v>353</v>
      </c>
      <c r="AG127" s="37" t="s">
        <v>354</v>
      </c>
      <c r="AH127" s="37" t="s">
        <v>355</v>
      </c>
      <c r="AI127" s="37" t="s">
        <v>745</v>
      </c>
      <c r="AJ127" s="37" t="s">
        <v>746</v>
      </c>
      <c r="AK127" s="37"/>
      <c r="AL127" s="37" t="s">
        <v>747</v>
      </c>
      <c r="AM127" s="37" t="s">
        <v>748</v>
      </c>
      <c r="AN127" s="37" t="s">
        <v>2366</v>
      </c>
      <c r="AO127" s="37" t="n">
        <v>2024</v>
      </c>
      <c r="AP127" s="37" t="n">
        <v>293</v>
      </c>
      <c r="AQ127" s="37"/>
      <c r="AR127" s="37"/>
      <c r="AS127" s="37"/>
      <c r="AT127" s="37"/>
      <c r="AU127" s="37" t="n">
        <v>108692</v>
      </c>
      <c r="AV127" s="37" t="s">
        <v>2925</v>
      </c>
      <c r="AW127" s="37" t="str">
        <f aca="false">HYPERLINK("http://dx.doi.org/10.1016/j.agwat.2024.108692","http://dx.doi.org/10.1016/j.agwat.2024.108692")</f>
        <v>http://dx.doi.org/10.1016/j.agwat.2024.108692</v>
      </c>
      <c r="AX127" s="37" t="s">
        <v>1865</v>
      </c>
      <c r="AY127" s="37" t="n">
        <v>14</v>
      </c>
      <c r="AZ127" s="37" t="s">
        <v>438</v>
      </c>
      <c r="BA127" s="37" t="s">
        <v>331</v>
      </c>
      <c r="BB127" s="37" t="s">
        <v>439</v>
      </c>
      <c r="BC127" s="37" t="s">
        <v>2926</v>
      </c>
      <c r="BD127" s="37"/>
      <c r="BE127" s="37" t="s">
        <v>684</v>
      </c>
      <c r="BF127" s="37" t="s">
        <v>334</v>
      </c>
      <c r="BG127" s="37" t="s">
        <v>2927</v>
      </c>
      <c r="BH127" s="37" t="str">
        <f aca="false">HYPERLINK("https%3A%2F%2Fwww.webofscience.com%2Fwos%2Fwoscc%2Ffull-record%2FWOS:001177343500001","View Full Record in Web of Science")</f>
        <v>View Full Record in Web of Science</v>
      </c>
      <c r="BI127" s="39"/>
      <c r="BJ127" s="39"/>
      <c r="BK127" s="39"/>
      <c r="BL127" s="39"/>
      <c r="BM127" s="39"/>
      <c r="BN127" s="39"/>
      <c r="BO127" s="39"/>
      <c r="BP127" s="39"/>
      <c r="BQ127" s="39"/>
      <c r="BR127" s="39"/>
      <c r="BS127" s="39"/>
      <c r="BT127" s="39"/>
      <c r="BU127" s="39"/>
      <c r="BV127" s="39"/>
      <c r="BW127" s="39"/>
      <c r="BX127" s="39"/>
      <c r="BY127" s="41" t="b">
        <f aca="false">TRUE()</f>
        <v>1</v>
      </c>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41" t="b">
        <f aca="false">TRUE()</f>
        <v>1</v>
      </c>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41" t="b">
        <f aca="false">TRUE()</f>
        <v>1</v>
      </c>
      <c r="EB127" s="39"/>
      <c r="EC127" s="39"/>
      <c r="ED127" s="39"/>
      <c r="EE127" s="39"/>
      <c r="EF127" s="39"/>
      <c r="EG127" s="39"/>
      <c r="EH127" s="39"/>
      <c r="EI127" s="39"/>
      <c r="EJ127" s="39"/>
      <c r="EK127" s="39"/>
      <c r="EL127" s="39"/>
      <c r="EM127" s="39"/>
      <c r="EN127" s="39"/>
      <c r="EO127" s="39"/>
      <c r="EP127" s="39"/>
      <c r="EQ127" s="39"/>
      <c r="ER127" s="39"/>
      <c r="ES127" s="39"/>
      <c r="ET127" s="39"/>
      <c r="EU127" s="39"/>
      <c r="EV127" s="39"/>
      <c r="EW127" s="39"/>
      <c r="EX127" s="41" t="b">
        <f aca="false">TRUE()</f>
        <v>1</v>
      </c>
      <c r="EY127" s="39"/>
      <c r="EZ127" s="39"/>
      <c r="FA127" s="39"/>
      <c r="FB127" s="39"/>
      <c r="FC127" s="39"/>
      <c r="FD127" s="39"/>
      <c r="FE127" s="39"/>
      <c r="FF127" s="39"/>
      <c r="FG127" s="39"/>
      <c r="FH127" s="39"/>
      <c r="FI127" s="41" t="b">
        <f aca="false">TRUE()</f>
        <v>1</v>
      </c>
      <c r="FJ127" s="39"/>
      <c r="FK127" s="41" t="b">
        <f aca="false">TRUE()</f>
        <v>1</v>
      </c>
      <c r="FL127" s="39"/>
      <c r="FM127" s="39"/>
      <c r="FN127" s="39"/>
      <c r="FO127" s="39"/>
      <c r="FP127" s="39"/>
      <c r="FQ127" s="39"/>
      <c r="FR127" s="39"/>
      <c r="FS127" s="39"/>
      <c r="FT127" s="39"/>
      <c r="FU127" s="39"/>
      <c r="FV127" s="39"/>
      <c r="FW127" s="39"/>
      <c r="FX127" s="39"/>
      <c r="FY127" s="39"/>
      <c r="FZ127" s="39"/>
      <c r="GA127" s="41" t="b">
        <f aca="false">TRUE()</f>
        <v>1</v>
      </c>
      <c r="GB127" s="39"/>
      <c r="GC127" s="39"/>
      <c r="GD127" s="39"/>
      <c r="GE127" s="39"/>
      <c r="GF127" s="41" t="b">
        <f aca="false">TRUE()</f>
        <v>1</v>
      </c>
      <c r="GG127" s="39"/>
      <c r="GH127" s="39"/>
      <c r="GI127" s="39"/>
      <c r="GJ127" s="39"/>
      <c r="GK127" s="39"/>
      <c r="GL127" s="41" t="b">
        <f aca="false">TRUE()</f>
        <v>1</v>
      </c>
      <c r="GM127" s="41" t="b">
        <f aca="false">TRUE()</f>
        <v>1</v>
      </c>
      <c r="GN127" s="39"/>
      <c r="GO127" s="39"/>
      <c r="GP127" s="39"/>
      <c r="GQ127" s="39"/>
      <c r="GR127" s="39"/>
      <c r="GS127" s="39"/>
      <c r="GT127" s="39"/>
      <c r="GU127" s="39"/>
      <c r="GV127" s="39"/>
      <c r="GW127" s="39"/>
      <c r="GX127" s="39"/>
      <c r="GY127" s="39"/>
      <c r="GZ127" s="39"/>
      <c r="HA127" s="39"/>
      <c r="HB127" s="39"/>
      <c r="HC127" s="39"/>
      <c r="HD127" s="39"/>
      <c r="HE127" s="39"/>
      <c r="HF127" s="39"/>
      <c r="HG127" s="39"/>
      <c r="HH127" s="39"/>
      <c r="HI127" s="39"/>
      <c r="HJ127" s="39"/>
      <c r="HK127" s="39"/>
      <c r="HL127" s="39"/>
      <c r="HM127" s="39"/>
      <c r="HN127" s="39"/>
      <c r="HO127" s="39"/>
      <c r="HP127" s="39"/>
      <c r="HQ127" s="39"/>
      <c r="HR127" s="39"/>
      <c r="HS127" s="39"/>
      <c r="HT127" s="41" t="b">
        <f aca="false">TRUE()</f>
        <v>1</v>
      </c>
      <c r="HU127" s="39"/>
      <c r="HV127" s="39"/>
      <c r="HW127" s="39"/>
      <c r="HX127" s="39"/>
      <c r="HY127" s="39"/>
      <c r="HZ127" s="39"/>
      <c r="IA127" s="39"/>
      <c r="IB127" s="39"/>
      <c r="IC127" s="39"/>
      <c r="ID127" s="41" t="b">
        <f aca="false">TRUE()</f>
        <v>1</v>
      </c>
      <c r="IE127" s="39"/>
      <c r="IF127" s="39"/>
      <c r="IG127" s="39"/>
      <c r="IH127" s="39"/>
      <c r="II127" s="39"/>
      <c r="IJ127" s="39"/>
      <c r="IK127" s="39"/>
      <c r="IL127" s="39"/>
      <c r="IM127" s="39"/>
      <c r="IN127" s="39"/>
      <c r="IO127" s="39"/>
      <c r="IP127" s="39"/>
      <c r="IQ127" s="39"/>
      <c r="IR127" s="39"/>
      <c r="IS127" s="39"/>
      <c r="IT127" s="39"/>
      <c r="IU127" s="39"/>
      <c r="IV127" s="39"/>
      <c r="IW127" s="39"/>
      <c r="IX127" s="39"/>
      <c r="IY127" s="39"/>
      <c r="IZ127" s="39"/>
      <c r="JA127" s="39"/>
      <c r="JB127" s="39"/>
      <c r="JC127" s="39"/>
      <c r="JD127" s="39"/>
      <c r="JE127" s="39"/>
      <c r="JF127" s="39"/>
      <c r="JG127" s="39"/>
      <c r="JH127" s="39"/>
      <c r="JI127" s="39"/>
      <c r="JJ127" s="39"/>
      <c r="JK127" s="39"/>
      <c r="JL127" s="39"/>
      <c r="JM127" s="39"/>
      <c r="JN127" s="39"/>
      <c r="JO127" s="39"/>
      <c r="JP127" s="39"/>
      <c r="JQ127" s="39"/>
      <c r="JR127" s="39"/>
      <c r="JS127" s="39"/>
      <c r="JT127" s="41" t="b">
        <f aca="false">TRUE()</f>
        <v>1</v>
      </c>
      <c r="JU127" s="41" t="b">
        <f aca="false">TRUE()</f>
        <v>1</v>
      </c>
      <c r="JV127" s="39"/>
      <c r="JW127" s="39"/>
      <c r="JX127" s="39"/>
      <c r="JY127" s="39"/>
      <c r="JZ127" s="39"/>
      <c r="KA127" s="39"/>
      <c r="KB127" s="39"/>
      <c r="KC127" s="39"/>
      <c r="KD127" s="39"/>
      <c r="KE127" s="39"/>
      <c r="KF127" s="39"/>
      <c r="KG127" s="39"/>
      <c r="KH127" s="39"/>
      <c r="KI127" s="39"/>
      <c r="KJ127" s="39"/>
      <c r="KK127" s="39"/>
      <c r="KL127" s="39"/>
      <c r="KM127" s="39"/>
      <c r="KN127" s="39"/>
      <c r="KO127" s="39"/>
      <c r="KP127" s="39"/>
      <c r="KQ127" s="41" t="b">
        <f aca="false">TRUE()</f>
        <v>1</v>
      </c>
      <c r="KR127" s="39"/>
      <c r="KS127" s="39"/>
      <c r="KT127" s="41" t="b">
        <f aca="false">TRUE()</f>
        <v>1</v>
      </c>
      <c r="KU127" s="39"/>
    </row>
    <row r="128" customFormat="false" ht="14.4" hidden="false" customHeight="false" outlineLevel="0" collapsed="false">
      <c r="A128" s="37" t="s">
        <v>305</v>
      </c>
      <c r="B128" s="37" t="s">
        <v>2928</v>
      </c>
      <c r="C128" s="37"/>
      <c r="D128" s="37"/>
      <c r="E128" s="37"/>
      <c r="F128" s="37" t="s">
        <v>2929</v>
      </c>
      <c r="G128" s="37" t="s">
        <v>2930</v>
      </c>
      <c r="H128" s="37" t="s">
        <v>2931</v>
      </c>
      <c r="I128" s="37" t="s">
        <v>310</v>
      </c>
      <c r="J128" s="37" t="s">
        <v>311</v>
      </c>
      <c r="K128" s="37"/>
      <c r="L128" s="37"/>
      <c r="M128" s="37"/>
      <c r="N128" s="37"/>
      <c r="O128" s="37" t="s">
        <v>2932</v>
      </c>
      <c r="P128" s="37" t="s">
        <v>2933</v>
      </c>
      <c r="Q128" s="37" t="s">
        <v>2934</v>
      </c>
      <c r="R128" s="37" t="s">
        <v>2935</v>
      </c>
      <c r="S128" s="37" t="s">
        <v>2936</v>
      </c>
      <c r="T128" s="37" t="s">
        <v>2937</v>
      </c>
      <c r="U128" s="37" t="s">
        <v>2938</v>
      </c>
      <c r="V128" s="37"/>
      <c r="W128" s="37" t="s">
        <v>2939</v>
      </c>
      <c r="X128" s="37" t="s">
        <v>2940</v>
      </c>
      <c r="Y128" s="37" t="s">
        <v>2941</v>
      </c>
      <c r="Z128" s="37" t="s">
        <v>2942</v>
      </c>
      <c r="AA128" s="37" t="n">
        <v>58</v>
      </c>
      <c r="AB128" s="37" t="n">
        <v>58</v>
      </c>
      <c r="AC128" s="37" t="n">
        <v>60</v>
      </c>
      <c r="AD128" s="37" t="n">
        <v>4</v>
      </c>
      <c r="AE128" s="37" t="n">
        <v>70</v>
      </c>
      <c r="AF128" s="37" t="s">
        <v>717</v>
      </c>
      <c r="AG128" s="37" t="s">
        <v>718</v>
      </c>
      <c r="AH128" s="37" t="s">
        <v>719</v>
      </c>
      <c r="AI128" s="37" t="s">
        <v>2943</v>
      </c>
      <c r="AJ128" s="37" t="s">
        <v>2944</v>
      </c>
      <c r="AK128" s="37"/>
      <c r="AL128" s="37" t="s">
        <v>2945</v>
      </c>
      <c r="AM128" s="37" t="s">
        <v>2946</v>
      </c>
      <c r="AN128" s="37"/>
      <c r="AO128" s="37" t="n">
        <v>2019</v>
      </c>
      <c r="AP128" s="37" t="n">
        <v>56</v>
      </c>
      <c r="AQ128" s="37" t="n">
        <v>1</v>
      </c>
      <c r="AR128" s="37"/>
      <c r="AS128" s="37" t="n">
        <v>43</v>
      </c>
      <c r="AT128" s="37" t="n">
        <v>67</v>
      </c>
      <c r="AU128" s="37"/>
      <c r="AV128" s="37" t="s">
        <v>2947</v>
      </c>
      <c r="AW128" s="37" t="str">
        <f aca="false">HYPERLINK("http://dx.doi.org/10.1080/15481603.2018.1489943","http://dx.doi.org/10.1080/15481603.2018.1489943")</f>
        <v>http://dx.doi.org/10.1080/15481603.2018.1489943</v>
      </c>
      <c r="AX128" s="37"/>
      <c r="AY128" s="37" t="n">
        <v>25</v>
      </c>
      <c r="AZ128" s="37" t="s">
        <v>2948</v>
      </c>
      <c r="BA128" s="37" t="s">
        <v>331</v>
      </c>
      <c r="BB128" s="37" t="s">
        <v>2949</v>
      </c>
      <c r="BC128" s="37" t="s">
        <v>2950</v>
      </c>
      <c r="BD128" s="37"/>
      <c r="BE128" s="37"/>
      <c r="BF128" s="37" t="s">
        <v>334</v>
      </c>
      <c r="BG128" s="37" t="s">
        <v>2951</v>
      </c>
      <c r="BH128" s="37" t="str">
        <f aca="false">HYPERLINK("https%3A%2F%2Fwww.webofscience.com%2Fwos%2Fwoscc%2Ffull-record%2FWOS:000458319600003","View Full Record in Web of Science")</f>
        <v>View Full Record in Web of Science</v>
      </c>
      <c r="BI128" s="39"/>
      <c r="BJ128" s="39"/>
      <c r="BK128" s="39"/>
      <c r="BL128" s="39"/>
      <c r="BM128" s="39"/>
      <c r="BN128" s="39"/>
      <c r="BO128" s="41" t="b">
        <f aca="false">TRUE()</f>
        <v>1</v>
      </c>
      <c r="BP128" s="39"/>
      <c r="BQ128" s="39"/>
      <c r="BR128" s="39"/>
      <c r="BS128" s="39"/>
      <c r="BT128" s="39"/>
      <c r="BU128" s="39"/>
      <c r="BV128" s="39"/>
      <c r="BW128" s="39"/>
      <c r="BX128" s="39"/>
      <c r="BY128" s="39"/>
      <c r="BZ128" s="39"/>
      <c r="CA128" s="39"/>
      <c r="CB128" s="39"/>
      <c r="CC128" s="39"/>
      <c r="CD128" s="39"/>
      <c r="CE128" s="39"/>
      <c r="CF128" s="39"/>
      <c r="CG128" s="39"/>
      <c r="CH128" s="39"/>
      <c r="CI128" s="39"/>
      <c r="CJ128" s="39"/>
      <c r="CK128" s="39"/>
      <c r="CL128" s="39"/>
      <c r="CM128" s="39"/>
      <c r="CN128" s="39"/>
      <c r="CO128" s="39"/>
      <c r="CP128" s="39"/>
      <c r="CQ128" s="39"/>
      <c r="CR128" s="39"/>
      <c r="CS128" s="39"/>
      <c r="CT128" s="39"/>
      <c r="CU128" s="39"/>
      <c r="CV128" s="39"/>
      <c r="CW128" s="39"/>
      <c r="CX128" s="39"/>
      <c r="CY128" s="39"/>
      <c r="CZ128" s="39"/>
      <c r="DA128" s="39"/>
      <c r="DB128" s="39"/>
      <c r="DC128" s="39"/>
      <c r="DD128" s="39"/>
      <c r="DE128" s="39"/>
      <c r="DF128" s="39"/>
      <c r="DG128" s="39"/>
      <c r="DH128" s="39"/>
      <c r="DI128" s="39"/>
      <c r="DJ128" s="39"/>
      <c r="DK128" s="39"/>
      <c r="DL128" s="39"/>
      <c r="DM128" s="39"/>
      <c r="DN128" s="39"/>
      <c r="DO128" s="39"/>
      <c r="DP128" s="39"/>
      <c r="DQ128" s="39"/>
      <c r="DR128" s="39"/>
      <c r="DS128" s="39"/>
      <c r="DT128" s="39"/>
      <c r="DU128" s="39"/>
      <c r="DV128" s="39"/>
      <c r="DW128" s="39"/>
      <c r="DX128" s="39"/>
      <c r="DY128" s="39"/>
      <c r="DZ128" s="39"/>
      <c r="EA128" s="41" t="b">
        <f aca="false">TRUE()</f>
        <v>1</v>
      </c>
      <c r="EB128" s="39"/>
      <c r="EC128" s="39"/>
      <c r="ED128" s="39"/>
      <c r="EE128" s="39"/>
      <c r="EF128" s="39"/>
      <c r="EG128" s="39"/>
      <c r="EH128" s="39"/>
      <c r="EI128" s="39"/>
      <c r="EJ128" s="39"/>
      <c r="EK128" s="39"/>
      <c r="EL128" s="39"/>
      <c r="EM128" s="39"/>
      <c r="EN128" s="39"/>
      <c r="EO128" s="39"/>
      <c r="EP128" s="39"/>
      <c r="EQ128" s="39"/>
      <c r="ER128" s="39"/>
      <c r="ES128" s="39"/>
      <c r="ET128" s="39"/>
      <c r="EU128" s="39"/>
      <c r="EV128" s="39"/>
      <c r="EW128" s="39"/>
      <c r="EX128" s="41" t="b">
        <f aca="false">TRUE()</f>
        <v>1</v>
      </c>
      <c r="EY128" s="39"/>
      <c r="EZ128" s="39"/>
      <c r="FA128" s="39"/>
      <c r="FB128" s="39"/>
      <c r="FC128" s="39"/>
      <c r="FD128" s="39"/>
      <c r="FE128" s="39"/>
      <c r="FF128" s="39"/>
      <c r="FG128" s="39"/>
      <c r="FH128" s="39"/>
      <c r="FI128" s="39"/>
      <c r="FJ128" s="39"/>
      <c r="FK128" s="41" t="b">
        <f aca="false">TRUE()</f>
        <v>1</v>
      </c>
      <c r="FL128" s="39"/>
      <c r="FM128" s="39"/>
      <c r="FN128" s="39"/>
      <c r="FO128" s="39"/>
      <c r="FP128" s="39"/>
      <c r="FQ128" s="39"/>
      <c r="FR128" s="41" t="b">
        <f aca="false">TRUE()</f>
        <v>1</v>
      </c>
      <c r="FS128" s="39"/>
      <c r="FT128" s="39"/>
      <c r="FU128" s="39"/>
      <c r="FV128" s="39"/>
      <c r="FW128" s="41" t="b">
        <f aca="false">TRUE()</f>
        <v>1</v>
      </c>
      <c r="FX128" s="39"/>
      <c r="FY128" s="39"/>
      <c r="FZ128" s="39"/>
      <c r="GA128" s="39"/>
      <c r="GB128" s="39"/>
      <c r="GC128" s="39"/>
      <c r="GD128" s="39"/>
      <c r="GE128" s="39"/>
      <c r="GF128" s="41" t="b">
        <f aca="false">TRUE()</f>
        <v>1</v>
      </c>
      <c r="GG128" s="39"/>
      <c r="GH128" s="39"/>
      <c r="GI128" s="39"/>
      <c r="GJ128" s="39"/>
      <c r="GK128" s="39"/>
      <c r="GL128" s="39"/>
      <c r="GM128" s="39"/>
      <c r="GN128" s="39"/>
      <c r="GO128" s="39"/>
      <c r="GP128" s="39"/>
      <c r="GQ128" s="39"/>
      <c r="GR128" s="39"/>
      <c r="GS128" s="39"/>
      <c r="GT128" s="39"/>
      <c r="GU128" s="39"/>
      <c r="GV128" s="39"/>
      <c r="GW128" s="39"/>
      <c r="GX128" s="39"/>
      <c r="GY128" s="39"/>
      <c r="GZ128" s="39"/>
      <c r="HA128" s="39"/>
      <c r="HB128" s="39"/>
      <c r="HC128" s="39"/>
      <c r="HD128" s="39"/>
      <c r="HE128" s="39"/>
      <c r="HF128" s="39"/>
      <c r="HG128" s="39"/>
      <c r="HH128" s="39"/>
      <c r="HI128" s="39"/>
      <c r="HJ128" s="39"/>
      <c r="HK128" s="41" t="b">
        <f aca="false">TRUE()</f>
        <v>1</v>
      </c>
      <c r="HL128" s="39"/>
      <c r="HM128" s="39"/>
      <c r="HN128" s="39"/>
      <c r="HO128" s="39"/>
      <c r="HP128" s="39"/>
      <c r="HQ128" s="39"/>
      <c r="HR128" s="39"/>
      <c r="HS128" s="39"/>
      <c r="HT128" s="39"/>
      <c r="HU128" s="39"/>
      <c r="HV128" s="39"/>
      <c r="HW128" s="39"/>
      <c r="HX128" s="39"/>
      <c r="HY128" s="39"/>
      <c r="HZ128" s="39"/>
      <c r="IA128" s="39"/>
      <c r="IB128" s="39"/>
      <c r="IC128" s="39"/>
      <c r="ID128" s="39"/>
      <c r="IE128" s="39"/>
      <c r="IF128" s="39"/>
      <c r="IG128" s="41" t="b">
        <f aca="false">TRUE()</f>
        <v>1</v>
      </c>
      <c r="IH128" s="39"/>
      <c r="II128" s="39"/>
      <c r="IJ128" s="39"/>
      <c r="IK128" s="39"/>
      <c r="IL128" s="39"/>
      <c r="IM128" s="39"/>
      <c r="IN128" s="39"/>
      <c r="IO128" s="39"/>
      <c r="IP128" s="39"/>
      <c r="IQ128" s="39"/>
      <c r="IR128" s="39"/>
      <c r="IS128" s="39"/>
      <c r="IT128" s="39"/>
      <c r="IU128" s="39"/>
      <c r="IV128" s="39"/>
      <c r="IW128" s="39"/>
      <c r="IX128" s="39"/>
      <c r="IY128" s="39"/>
      <c r="IZ128" s="39"/>
      <c r="JA128" s="39"/>
      <c r="JB128" s="39"/>
      <c r="JC128" s="39"/>
      <c r="JD128" s="39"/>
      <c r="JE128" s="39"/>
      <c r="JF128" s="39"/>
      <c r="JG128" s="39"/>
      <c r="JH128" s="39"/>
      <c r="JI128" s="39"/>
      <c r="JJ128" s="39"/>
      <c r="JK128" s="39"/>
      <c r="JL128" s="39"/>
      <c r="JM128" s="39"/>
      <c r="JN128" s="39"/>
      <c r="JO128" s="39"/>
      <c r="JP128" s="39"/>
      <c r="JQ128" s="39"/>
      <c r="JR128" s="39"/>
      <c r="JS128" s="39"/>
      <c r="JT128" s="41" t="b">
        <f aca="false">TRUE()</f>
        <v>1</v>
      </c>
      <c r="JU128" s="41" t="b">
        <f aca="false">TRUE()</f>
        <v>1</v>
      </c>
      <c r="JV128" s="39"/>
      <c r="JW128" s="39"/>
      <c r="JX128" s="39"/>
      <c r="JY128" s="39"/>
      <c r="JZ128" s="39"/>
      <c r="KA128" s="39"/>
      <c r="KB128" s="39"/>
      <c r="KC128" s="39"/>
      <c r="KD128" s="39"/>
      <c r="KE128" s="39"/>
      <c r="KF128" s="39"/>
      <c r="KG128" s="39"/>
      <c r="KH128" s="39"/>
      <c r="KI128" s="39"/>
      <c r="KJ128" s="39"/>
      <c r="KK128" s="39"/>
      <c r="KL128" s="39"/>
      <c r="KM128" s="39"/>
      <c r="KN128" s="39"/>
      <c r="KO128" s="39"/>
      <c r="KP128" s="41" t="b">
        <f aca="false">TRUE()</f>
        <v>1</v>
      </c>
      <c r="KQ128" s="41" t="b">
        <f aca="false">TRUE()</f>
        <v>1</v>
      </c>
      <c r="KR128" s="39"/>
      <c r="KS128" s="39"/>
      <c r="KT128" s="41" t="b">
        <f aca="false">TRUE()</f>
        <v>1</v>
      </c>
      <c r="KU128" s="39"/>
    </row>
    <row r="129" customFormat="false" ht="14.4" hidden="false" customHeight="false" outlineLevel="0" collapsed="false">
      <c r="A129" s="37" t="s">
        <v>305</v>
      </c>
      <c r="B129" s="37" t="s">
        <v>2952</v>
      </c>
      <c r="C129" s="37"/>
      <c r="D129" s="37"/>
      <c r="E129" s="37"/>
      <c r="F129" s="37" t="s">
        <v>2953</v>
      </c>
      <c r="G129" s="37" t="s">
        <v>2954</v>
      </c>
      <c r="H129" s="37" t="s">
        <v>2955</v>
      </c>
      <c r="I129" s="37" t="s">
        <v>310</v>
      </c>
      <c r="J129" s="37" t="s">
        <v>311</v>
      </c>
      <c r="K129" s="37"/>
      <c r="L129" s="37"/>
      <c r="M129" s="37"/>
      <c r="N129" s="37"/>
      <c r="O129" s="37" t="s">
        <v>2956</v>
      </c>
      <c r="P129" s="37" t="s">
        <v>2957</v>
      </c>
      <c r="Q129" s="37" t="s">
        <v>2958</v>
      </c>
      <c r="R129" s="37" t="s">
        <v>2959</v>
      </c>
      <c r="S129" s="37" t="s">
        <v>2960</v>
      </c>
      <c r="T129" s="37" t="s">
        <v>2961</v>
      </c>
      <c r="U129" s="37" t="s">
        <v>2962</v>
      </c>
      <c r="V129" s="37" t="s">
        <v>2963</v>
      </c>
      <c r="W129" s="37" t="s">
        <v>2964</v>
      </c>
      <c r="X129" s="37" t="s">
        <v>2965</v>
      </c>
      <c r="Y129" s="37" t="s">
        <v>2966</v>
      </c>
      <c r="Z129" s="37" t="s">
        <v>2967</v>
      </c>
      <c r="AA129" s="37" t="n">
        <v>109</v>
      </c>
      <c r="AB129" s="37" t="n">
        <v>6</v>
      </c>
      <c r="AC129" s="37" t="n">
        <v>6</v>
      </c>
      <c r="AD129" s="37" t="n">
        <v>7</v>
      </c>
      <c r="AE129" s="37" t="n">
        <v>58</v>
      </c>
      <c r="AF129" s="37" t="s">
        <v>428</v>
      </c>
      <c r="AG129" s="37" t="s">
        <v>429</v>
      </c>
      <c r="AH129" s="37" t="s">
        <v>430</v>
      </c>
      <c r="AI129" s="37" t="s">
        <v>2968</v>
      </c>
      <c r="AJ129" s="37" t="s">
        <v>2969</v>
      </c>
      <c r="AK129" s="37"/>
      <c r="AL129" s="37" t="s">
        <v>2970</v>
      </c>
      <c r="AM129" s="37" t="s">
        <v>2971</v>
      </c>
      <c r="AN129" s="37" t="s">
        <v>2972</v>
      </c>
      <c r="AO129" s="37" t="n">
        <v>2022</v>
      </c>
      <c r="AP129" s="37" t="n">
        <v>42</v>
      </c>
      <c r="AQ129" s="37" t="n">
        <v>16</v>
      </c>
      <c r="AR129" s="37"/>
      <c r="AS129" s="37" t="n">
        <v>10083</v>
      </c>
      <c r="AT129" s="37" t="n">
        <v>10106</v>
      </c>
      <c r="AU129" s="37"/>
      <c r="AV129" s="37" t="s">
        <v>2973</v>
      </c>
      <c r="AW129" s="37" t="str">
        <f aca="false">HYPERLINK("http://dx.doi.org/10.1002/joc.7885","http://dx.doi.org/10.1002/joc.7885")</f>
        <v>http://dx.doi.org/10.1002/joc.7885</v>
      </c>
      <c r="AX129" s="37" t="s">
        <v>2463</v>
      </c>
      <c r="AY129" s="37" t="n">
        <v>24</v>
      </c>
      <c r="AZ129" s="37" t="s">
        <v>804</v>
      </c>
      <c r="BA129" s="37" t="s">
        <v>331</v>
      </c>
      <c r="BB129" s="37" t="s">
        <v>804</v>
      </c>
      <c r="BC129" s="37" t="s">
        <v>2974</v>
      </c>
      <c r="BD129" s="37"/>
      <c r="BE129" s="37"/>
      <c r="BF129" s="37" t="s">
        <v>334</v>
      </c>
      <c r="BG129" s="37" t="s">
        <v>2975</v>
      </c>
      <c r="BH129" s="37" t="str">
        <f aca="false">HYPERLINK("https%3A%2F%2Fwww.webofscience.com%2Fwos%2Fwoscc%2Ffull-record%2FWOS:000865858400001","View Full Record in Web of Science")</f>
        <v>View Full Record in Web of Science</v>
      </c>
      <c r="BI129" s="39"/>
      <c r="BJ129" s="39"/>
      <c r="BK129" s="39"/>
      <c r="BL129" s="39"/>
      <c r="BM129" s="39"/>
      <c r="BN129" s="39"/>
      <c r="BO129" s="39"/>
      <c r="BP129" s="39"/>
      <c r="BQ129" s="39"/>
      <c r="BR129" s="41" t="b">
        <f aca="false">TRUE()</f>
        <v>1</v>
      </c>
      <c r="BS129" s="39"/>
      <c r="BT129" s="39"/>
      <c r="BU129" s="39"/>
      <c r="BV129" s="39"/>
      <c r="BW129" s="39"/>
      <c r="BX129" s="39"/>
      <c r="BY129" s="41" t="b">
        <f aca="false">TRUE()</f>
        <v>1</v>
      </c>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c r="CW129" s="41" t="b">
        <f aca="false">TRUE()</f>
        <v>1</v>
      </c>
      <c r="CX129" s="39"/>
      <c r="CY129" s="39"/>
      <c r="CZ129" s="39"/>
      <c r="DA129" s="39"/>
      <c r="DB129" s="39"/>
      <c r="DC129" s="39"/>
      <c r="DD129" s="39"/>
      <c r="DE129" s="39"/>
      <c r="DF129" s="39"/>
      <c r="DG129" s="39"/>
      <c r="DH129" s="39"/>
      <c r="DI129" s="39"/>
      <c r="DJ129" s="39"/>
      <c r="DK129" s="39"/>
      <c r="DL129" s="39"/>
      <c r="DM129" s="39"/>
      <c r="DN129" s="39"/>
      <c r="DO129" s="39"/>
      <c r="DP129" s="39"/>
      <c r="DQ129" s="39"/>
      <c r="DR129" s="39"/>
      <c r="DS129" s="39"/>
      <c r="DT129" s="41" t="b">
        <f aca="false">TRUE()</f>
        <v>1</v>
      </c>
      <c r="DU129" s="39"/>
      <c r="DV129" s="39"/>
      <c r="DW129" s="39"/>
      <c r="DX129" s="39"/>
      <c r="DY129" s="39"/>
      <c r="DZ129" s="39"/>
      <c r="EA129" s="39"/>
      <c r="EB129" s="39"/>
      <c r="EC129" s="39"/>
      <c r="ED129" s="39"/>
      <c r="EE129" s="39"/>
      <c r="EF129" s="39"/>
      <c r="EG129" s="39"/>
      <c r="EH129" s="39"/>
      <c r="EI129" s="39"/>
      <c r="EJ129" s="39"/>
      <c r="EK129" s="39"/>
      <c r="EL129" s="39"/>
      <c r="EM129" s="39"/>
      <c r="EN129" s="39"/>
      <c r="EO129" s="39"/>
      <c r="EP129" s="39"/>
      <c r="EQ129" s="39"/>
      <c r="ER129" s="39"/>
      <c r="ES129" s="39"/>
      <c r="ET129" s="39"/>
      <c r="EU129" s="39"/>
      <c r="EV129" s="39"/>
      <c r="EW129" s="39"/>
      <c r="EX129" s="39"/>
      <c r="EY129" s="39"/>
      <c r="EZ129" s="39"/>
      <c r="FA129" s="39"/>
      <c r="FB129" s="39"/>
      <c r="FC129" s="39"/>
      <c r="FD129" s="39"/>
      <c r="FE129" s="39"/>
      <c r="FF129" s="39"/>
      <c r="FG129" s="39"/>
      <c r="FH129" s="39"/>
      <c r="FI129" s="39"/>
      <c r="FJ129" s="39"/>
      <c r="FK129" s="39"/>
      <c r="FL129" s="39"/>
      <c r="FM129" s="39"/>
      <c r="FN129" s="39"/>
      <c r="FO129" s="39"/>
      <c r="FP129" s="39"/>
      <c r="FQ129" s="39"/>
      <c r="FR129" s="39"/>
      <c r="FS129" s="39"/>
      <c r="FT129" s="39"/>
      <c r="FU129" s="39"/>
      <c r="FV129" s="39"/>
      <c r="FW129" s="39"/>
      <c r="FX129" s="39"/>
      <c r="FY129" s="39"/>
      <c r="FZ129" s="39"/>
      <c r="GA129" s="39"/>
      <c r="GB129" s="39"/>
      <c r="GC129" s="39"/>
      <c r="GD129" s="39"/>
      <c r="GE129" s="39"/>
      <c r="GF129" s="39"/>
      <c r="GG129" s="39"/>
      <c r="GH129" s="39"/>
      <c r="GI129" s="39"/>
      <c r="GJ129" s="39"/>
      <c r="GK129" s="39"/>
      <c r="GL129" s="39"/>
      <c r="GM129" s="39"/>
      <c r="GN129" s="39"/>
      <c r="GO129" s="39"/>
      <c r="GP129" s="39"/>
      <c r="GQ129" s="39"/>
      <c r="GR129" s="39"/>
      <c r="GS129" s="39"/>
      <c r="GT129" s="39"/>
      <c r="GU129" s="39"/>
      <c r="GV129" s="39"/>
      <c r="GW129" s="39"/>
      <c r="GX129" s="39"/>
      <c r="GY129" s="39"/>
      <c r="GZ129" s="39"/>
      <c r="HA129" s="39"/>
      <c r="HB129" s="39"/>
      <c r="HC129" s="39"/>
      <c r="HD129" s="39"/>
      <c r="HE129" s="39"/>
      <c r="HF129" s="39"/>
      <c r="HG129" s="39"/>
      <c r="HH129" s="39"/>
      <c r="HI129" s="39"/>
      <c r="HJ129" s="39"/>
      <c r="HK129" s="41" t="b">
        <f aca="false">TRUE()</f>
        <v>1</v>
      </c>
      <c r="HL129" s="39"/>
      <c r="HM129" s="39"/>
      <c r="HN129" s="39"/>
      <c r="HO129" s="39"/>
      <c r="HP129" s="39"/>
      <c r="HQ129" s="39"/>
      <c r="HR129" s="39"/>
      <c r="HS129" s="39"/>
      <c r="HT129" s="39"/>
      <c r="HU129" s="39"/>
      <c r="HV129" s="39"/>
      <c r="HW129" s="39"/>
      <c r="HX129" s="39"/>
      <c r="HY129" s="39"/>
      <c r="HZ129" s="39"/>
      <c r="IA129" s="39"/>
      <c r="IB129" s="39"/>
      <c r="IC129" s="39"/>
      <c r="ID129" s="39"/>
      <c r="IE129" s="39"/>
      <c r="IF129" s="39"/>
      <c r="IG129" s="39"/>
      <c r="IH129" s="39"/>
      <c r="II129" s="41" t="b">
        <f aca="false">TRUE()</f>
        <v>1</v>
      </c>
      <c r="IJ129" s="39"/>
      <c r="IK129" s="39"/>
      <c r="IL129" s="39"/>
      <c r="IM129" s="39"/>
      <c r="IN129" s="39"/>
      <c r="IO129" s="39"/>
      <c r="IP129" s="39"/>
      <c r="IQ129" s="39"/>
      <c r="IR129" s="39"/>
      <c r="IS129" s="39"/>
      <c r="IT129" s="39"/>
      <c r="IU129" s="39"/>
      <c r="IV129" s="39"/>
      <c r="IW129" s="39"/>
      <c r="IX129" s="39"/>
      <c r="IY129" s="39"/>
      <c r="IZ129" s="39"/>
      <c r="JA129" s="39"/>
      <c r="JB129" s="39"/>
      <c r="JC129" s="39"/>
      <c r="JD129" s="39"/>
      <c r="JE129" s="39"/>
      <c r="JF129" s="39"/>
      <c r="JG129" s="39"/>
      <c r="JH129" s="39"/>
      <c r="JI129" s="39"/>
      <c r="JJ129" s="39"/>
      <c r="JK129" s="39"/>
      <c r="JL129" s="39"/>
      <c r="JM129" s="39"/>
      <c r="JN129" s="39"/>
      <c r="JO129" s="39"/>
      <c r="JP129" s="39"/>
      <c r="JQ129" s="39"/>
      <c r="JR129" s="39"/>
      <c r="JS129" s="39"/>
      <c r="JT129" s="41" t="b">
        <f aca="false">TRUE()</f>
        <v>1</v>
      </c>
      <c r="JU129" s="39"/>
      <c r="JV129" s="39"/>
      <c r="JW129" s="39"/>
      <c r="JX129" s="39"/>
      <c r="JY129" s="39"/>
      <c r="JZ129" s="39"/>
      <c r="KA129" s="39"/>
      <c r="KB129" s="39"/>
      <c r="KC129" s="39"/>
      <c r="KD129" s="39"/>
      <c r="KE129" s="41" t="b">
        <f aca="false">TRUE()</f>
        <v>1</v>
      </c>
      <c r="KF129" s="39"/>
      <c r="KG129" s="39"/>
      <c r="KH129" s="39"/>
      <c r="KI129" s="39"/>
      <c r="KJ129" s="39"/>
      <c r="KK129" s="39"/>
      <c r="KL129" s="39"/>
      <c r="KM129" s="39"/>
      <c r="KN129" s="39"/>
      <c r="KO129" s="39"/>
      <c r="KP129" s="39"/>
      <c r="KQ129" s="41" t="b">
        <f aca="false">TRUE()</f>
        <v>1</v>
      </c>
      <c r="KR129" s="39"/>
      <c r="KS129" s="39"/>
      <c r="KT129" s="41" t="b">
        <f aca="false">TRUE()</f>
        <v>1</v>
      </c>
      <c r="KU129" s="39"/>
    </row>
    <row r="130" customFormat="false" ht="14.4" hidden="false" customHeight="false" outlineLevel="0" collapsed="false">
      <c r="A130" s="37" t="s">
        <v>305</v>
      </c>
      <c r="B130" s="37" t="s">
        <v>2976</v>
      </c>
      <c r="C130" s="37"/>
      <c r="D130" s="37"/>
      <c r="E130" s="37"/>
      <c r="F130" s="37" t="s">
        <v>2977</v>
      </c>
      <c r="G130" s="37" t="s">
        <v>2978</v>
      </c>
      <c r="H130" s="37" t="s">
        <v>2979</v>
      </c>
      <c r="I130" s="37" t="s">
        <v>310</v>
      </c>
      <c r="J130" s="37" t="s">
        <v>311</v>
      </c>
      <c r="K130" s="37"/>
      <c r="L130" s="37"/>
      <c r="M130" s="37"/>
      <c r="N130" s="37"/>
      <c r="O130" s="37" t="s">
        <v>2980</v>
      </c>
      <c r="P130" s="37" t="s">
        <v>2981</v>
      </c>
      <c r="Q130" s="37" t="s">
        <v>2982</v>
      </c>
      <c r="R130" s="37" t="s">
        <v>2983</v>
      </c>
      <c r="S130" s="37" t="s">
        <v>2984</v>
      </c>
      <c r="T130" s="37" t="s">
        <v>2985</v>
      </c>
      <c r="U130" s="37" t="s">
        <v>2986</v>
      </c>
      <c r="V130" s="37" t="s">
        <v>2987</v>
      </c>
      <c r="W130" s="37" t="s">
        <v>2988</v>
      </c>
      <c r="X130" s="37"/>
      <c r="Y130" s="37"/>
      <c r="Z130" s="37"/>
      <c r="AA130" s="37" t="n">
        <v>54</v>
      </c>
      <c r="AB130" s="37" t="n">
        <v>8</v>
      </c>
      <c r="AC130" s="37" t="n">
        <v>8</v>
      </c>
      <c r="AD130" s="37" t="n">
        <v>10</v>
      </c>
      <c r="AE130" s="37" t="n">
        <v>18</v>
      </c>
      <c r="AF130" s="37" t="s">
        <v>769</v>
      </c>
      <c r="AG130" s="37" t="s">
        <v>2989</v>
      </c>
      <c r="AH130" s="37" t="s">
        <v>2990</v>
      </c>
      <c r="AI130" s="37" t="s">
        <v>2991</v>
      </c>
      <c r="AJ130" s="37" t="s">
        <v>2992</v>
      </c>
      <c r="AK130" s="37"/>
      <c r="AL130" s="37" t="s">
        <v>2993</v>
      </c>
      <c r="AM130" s="37" t="s">
        <v>2994</v>
      </c>
      <c r="AN130" s="37" t="s">
        <v>132</v>
      </c>
      <c r="AO130" s="37" t="n">
        <v>2024</v>
      </c>
      <c r="AP130" s="37" t="n">
        <v>38</v>
      </c>
      <c r="AQ130" s="37" t="n">
        <v>11</v>
      </c>
      <c r="AR130" s="37"/>
      <c r="AS130" s="37" t="n">
        <v>4019</v>
      </c>
      <c r="AT130" s="37" t="n">
        <v>4037</v>
      </c>
      <c r="AU130" s="37"/>
      <c r="AV130" s="37" t="s">
        <v>2995</v>
      </c>
      <c r="AW130" s="37" t="str">
        <f aca="false">HYPERLINK("http://dx.doi.org/10.1007/s11269-024-03850-8","http://dx.doi.org/10.1007/s11269-024-03850-8")</f>
        <v>http://dx.doi.org/10.1007/s11269-024-03850-8</v>
      </c>
      <c r="AX130" s="37" t="s">
        <v>2996</v>
      </c>
      <c r="AY130" s="37" t="n">
        <v>19</v>
      </c>
      <c r="AZ130" s="37" t="s">
        <v>2997</v>
      </c>
      <c r="BA130" s="37" t="s">
        <v>331</v>
      </c>
      <c r="BB130" s="37" t="s">
        <v>2998</v>
      </c>
      <c r="BC130" s="37" t="s">
        <v>2999</v>
      </c>
      <c r="BD130" s="37"/>
      <c r="BE130" s="37"/>
      <c r="BF130" s="37" t="s">
        <v>334</v>
      </c>
      <c r="BG130" s="37" t="s">
        <v>3000</v>
      </c>
      <c r="BH130" s="37" t="str">
        <f aca="false">HYPERLINK("https%3A%2F%2Fwww.webofscience.com%2Fwos%2Fwoscc%2Ffull-record%2FWOS:001201484600002","View Full Record in Web of Science")</f>
        <v>View Full Record in Web of Science</v>
      </c>
      <c r="BI130" s="39"/>
      <c r="BJ130" s="39"/>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V130" s="39"/>
      <c r="CW130" s="39"/>
      <c r="CX130" s="39"/>
      <c r="CY130" s="39"/>
      <c r="CZ130" s="39"/>
      <c r="DA130" s="41" t="b">
        <f aca="false">TRUE()</f>
        <v>1</v>
      </c>
      <c r="DB130" s="39"/>
      <c r="DC130" s="39"/>
      <c r="DD130" s="39"/>
      <c r="DE130" s="41" t="b">
        <f aca="false">TRUE()</f>
        <v>1</v>
      </c>
      <c r="DF130" s="39"/>
      <c r="DG130" s="39"/>
      <c r="DH130" s="39"/>
      <c r="DI130" s="39"/>
      <c r="DJ130" s="39"/>
      <c r="DK130" s="39"/>
      <c r="DL130" s="39"/>
      <c r="DM130" s="39"/>
      <c r="DN130" s="39"/>
      <c r="DO130" s="39"/>
      <c r="DP130" s="39"/>
      <c r="DQ130" s="39"/>
      <c r="DR130" s="39"/>
      <c r="DS130" s="39"/>
      <c r="DT130" s="39"/>
      <c r="DU130" s="39"/>
      <c r="DV130" s="39"/>
      <c r="DW130" s="39"/>
      <c r="DX130" s="39"/>
      <c r="DY130" s="39"/>
      <c r="DZ130" s="39"/>
      <c r="EA130" s="39"/>
      <c r="EB130" s="39"/>
      <c r="EC130" s="39"/>
      <c r="ED130" s="39"/>
      <c r="EE130" s="39"/>
      <c r="EF130" s="39"/>
      <c r="EG130" s="39"/>
      <c r="EH130" s="39"/>
      <c r="EI130" s="39"/>
      <c r="EJ130" s="39"/>
      <c r="EK130" s="39"/>
      <c r="EL130" s="39"/>
      <c r="EM130" s="39"/>
      <c r="EN130" s="39"/>
      <c r="EO130" s="39"/>
      <c r="EP130" s="39"/>
      <c r="EQ130" s="39"/>
      <c r="ER130" s="39"/>
      <c r="ES130" s="39"/>
      <c r="ET130" s="39"/>
      <c r="EU130" s="39"/>
      <c r="EV130" s="39"/>
      <c r="EW130" s="39"/>
      <c r="EX130" s="39"/>
      <c r="EY130" s="39"/>
      <c r="EZ130" s="39"/>
      <c r="FA130" s="39"/>
      <c r="FB130" s="39"/>
      <c r="FC130" s="39"/>
      <c r="FD130" s="39"/>
      <c r="FE130" s="39"/>
      <c r="FF130" s="39"/>
      <c r="FG130" s="39"/>
      <c r="FH130" s="39"/>
      <c r="FI130" s="39"/>
      <c r="FJ130" s="39"/>
      <c r="FK130" s="39"/>
      <c r="FL130" s="39"/>
      <c r="FM130" s="39"/>
      <c r="FN130" s="39"/>
      <c r="FO130" s="39"/>
      <c r="FP130" s="39"/>
      <c r="FQ130" s="39"/>
      <c r="FR130" s="39"/>
      <c r="FS130" s="39"/>
      <c r="FT130" s="39"/>
      <c r="FU130" s="39"/>
      <c r="FV130" s="39"/>
      <c r="FW130" s="39"/>
      <c r="FX130" s="39"/>
      <c r="FY130" s="39"/>
      <c r="FZ130" s="39"/>
      <c r="GA130" s="39"/>
      <c r="GB130" s="39"/>
      <c r="GC130" s="39"/>
      <c r="GD130" s="39"/>
      <c r="GE130" s="39"/>
      <c r="GF130" s="39"/>
      <c r="GG130" s="39"/>
      <c r="GH130" s="39"/>
      <c r="GI130" s="39"/>
      <c r="GJ130" s="39"/>
      <c r="GK130" s="41" t="b">
        <f aca="false">TRUE()</f>
        <v>1</v>
      </c>
      <c r="GL130" s="39"/>
      <c r="GM130" s="39"/>
      <c r="GN130" s="39"/>
      <c r="GO130" s="39"/>
      <c r="GP130" s="39"/>
      <c r="GQ130" s="39"/>
      <c r="GR130" s="39"/>
      <c r="GS130" s="39"/>
      <c r="GT130" s="39"/>
      <c r="GU130" s="39"/>
      <c r="GV130" s="39"/>
      <c r="GW130" s="39"/>
      <c r="GX130" s="39"/>
      <c r="GY130" s="39"/>
      <c r="GZ130" s="39"/>
      <c r="HA130" s="39"/>
      <c r="HB130" s="39"/>
      <c r="HC130" s="39"/>
      <c r="HD130" s="39"/>
      <c r="HE130" s="39"/>
      <c r="HF130" s="39"/>
      <c r="HG130" s="39"/>
      <c r="HH130" s="39"/>
      <c r="HI130" s="39"/>
      <c r="HJ130" s="39"/>
      <c r="HK130" s="41" t="b">
        <f aca="false">TRUE()</f>
        <v>1</v>
      </c>
      <c r="HL130" s="39"/>
      <c r="HM130" s="39"/>
      <c r="HN130" s="39"/>
      <c r="HO130" s="39"/>
      <c r="HP130" s="39"/>
      <c r="HQ130" s="39"/>
      <c r="HR130" s="39"/>
      <c r="HS130" s="39"/>
      <c r="HT130" s="39"/>
      <c r="HU130" s="39"/>
      <c r="HV130" s="39"/>
      <c r="HW130" s="39"/>
      <c r="HX130" s="39"/>
      <c r="HY130" s="39"/>
      <c r="HZ130" s="39"/>
      <c r="IA130" s="39"/>
      <c r="IB130" s="39"/>
      <c r="IC130" s="39"/>
      <c r="ID130" s="39"/>
      <c r="IE130" s="39"/>
      <c r="IF130" s="41" t="b">
        <f aca="false">TRUE()</f>
        <v>1</v>
      </c>
      <c r="IG130" s="39"/>
      <c r="IH130" s="39"/>
      <c r="II130" s="39"/>
      <c r="IJ130" s="39"/>
      <c r="IK130" s="39"/>
      <c r="IL130" s="39"/>
      <c r="IM130" s="39"/>
      <c r="IN130" s="39"/>
      <c r="IO130" s="39"/>
      <c r="IP130" s="39"/>
      <c r="IQ130" s="39"/>
      <c r="IR130" s="39"/>
      <c r="IS130" s="39"/>
      <c r="IT130" s="39"/>
      <c r="IU130" s="39"/>
      <c r="IV130" s="39"/>
      <c r="IW130" s="39"/>
      <c r="IX130" s="39"/>
      <c r="IY130" s="39"/>
      <c r="IZ130" s="39"/>
      <c r="JA130" s="39"/>
      <c r="JB130" s="39"/>
      <c r="JC130" s="39"/>
      <c r="JD130" s="39"/>
      <c r="JE130" s="39"/>
      <c r="JF130" s="39"/>
      <c r="JG130" s="39"/>
      <c r="JH130" s="39"/>
      <c r="JI130" s="39"/>
      <c r="JJ130" s="39"/>
      <c r="JK130" s="39"/>
      <c r="JL130" s="39"/>
      <c r="JM130" s="39"/>
      <c r="JN130" s="39"/>
      <c r="JO130" s="39"/>
      <c r="JP130" s="39"/>
      <c r="JQ130" s="39"/>
      <c r="JR130" s="39"/>
      <c r="JS130" s="39"/>
      <c r="JT130" s="41" t="b">
        <f aca="false">TRUE()</f>
        <v>1</v>
      </c>
      <c r="JU130" s="41" t="b">
        <f aca="false">TRUE()</f>
        <v>1</v>
      </c>
      <c r="JV130" s="39"/>
      <c r="JW130" s="39"/>
      <c r="JX130" s="39"/>
      <c r="JY130" s="39"/>
      <c r="JZ130" s="39"/>
      <c r="KA130" s="39"/>
      <c r="KB130" s="39"/>
      <c r="KC130" s="39"/>
      <c r="KD130" s="39"/>
      <c r="KE130" s="39"/>
      <c r="KF130" s="39"/>
      <c r="KG130" s="39"/>
      <c r="KH130" s="39"/>
      <c r="KI130" s="39"/>
      <c r="KJ130" s="39"/>
      <c r="KK130" s="39"/>
      <c r="KL130" s="39"/>
      <c r="KM130" s="39"/>
      <c r="KN130" s="39"/>
      <c r="KO130" s="39"/>
      <c r="KP130" s="39"/>
      <c r="KQ130" s="41" t="b">
        <f aca="false">TRUE()</f>
        <v>1</v>
      </c>
      <c r="KR130" s="41" t="b">
        <f aca="false">TRUE()</f>
        <v>1</v>
      </c>
      <c r="KS130" s="39"/>
      <c r="KT130" s="41" t="b">
        <f aca="false">TRUE()</f>
        <v>1</v>
      </c>
      <c r="KU130" s="39"/>
    </row>
    <row r="131" customFormat="false" ht="14.4" hidden="false" customHeight="false" outlineLevel="0" collapsed="false">
      <c r="A131" s="45" t="s">
        <v>505</v>
      </c>
      <c r="B131" s="45" t="s">
        <v>3001</v>
      </c>
      <c r="C131" s="45"/>
      <c r="D131" s="45" t="s">
        <v>3002</v>
      </c>
      <c r="E131" s="45"/>
      <c r="F131" s="45" t="s">
        <v>3003</v>
      </c>
      <c r="G131" s="45" t="s">
        <v>3004</v>
      </c>
      <c r="H131" s="45" t="s">
        <v>3005</v>
      </c>
      <c r="I131" s="45" t="s">
        <v>3006</v>
      </c>
      <c r="J131" s="45" t="s">
        <v>511</v>
      </c>
      <c r="K131" s="45" t="s">
        <v>3007</v>
      </c>
      <c r="L131" s="45" t="s">
        <v>3008</v>
      </c>
      <c r="M131" s="45" t="s">
        <v>1289</v>
      </c>
      <c r="N131" s="45" t="s">
        <v>1290</v>
      </c>
      <c r="O131" s="45" t="s">
        <v>3009</v>
      </c>
      <c r="P131" s="45" t="s">
        <v>3010</v>
      </c>
      <c r="Q131" s="45" t="s">
        <v>3011</v>
      </c>
      <c r="R131" s="45" t="s">
        <v>3012</v>
      </c>
      <c r="S131" s="45" t="s">
        <v>3013</v>
      </c>
      <c r="T131" s="45" t="s">
        <v>3014</v>
      </c>
      <c r="U131" s="45" t="s">
        <v>3015</v>
      </c>
      <c r="V131" s="45" t="s">
        <v>3016</v>
      </c>
      <c r="W131" s="45" t="s">
        <v>3017</v>
      </c>
      <c r="X131" s="45" t="s">
        <v>3018</v>
      </c>
      <c r="Y131" s="45" t="s">
        <v>3019</v>
      </c>
      <c r="Z131" s="45" t="s">
        <v>3020</v>
      </c>
      <c r="AA131" s="45" t="n">
        <v>40</v>
      </c>
      <c r="AB131" s="45" t="n">
        <v>0</v>
      </c>
      <c r="AC131" s="45" t="n">
        <v>0</v>
      </c>
      <c r="AD131" s="45" t="n">
        <v>5</v>
      </c>
      <c r="AE131" s="45" t="n">
        <v>20</v>
      </c>
      <c r="AF131" s="45" t="s">
        <v>1302</v>
      </c>
      <c r="AG131" s="45" t="s">
        <v>1303</v>
      </c>
      <c r="AH131" s="45" t="s">
        <v>1304</v>
      </c>
      <c r="AI131" s="45" t="s">
        <v>1305</v>
      </c>
      <c r="AJ131" s="45" t="s">
        <v>1306</v>
      </c>
      <c r="AK131" s="45" t="s">
        <v>3021</v>
      </c>
      <c r="AL131" s="45" t="s">
        <v>1308</v>
      </c>
      <c r="AM131" s="45"/>
      <c r="AN131" s="45"/>
      <c r="AO131" s="45" t="n">
        <v>2021</v>
      </c>
      <c r="AP131" s="45" t="n">
        <v>11856</v>
      </c>
      <c r="AQ131" s="45"/>
      <c r="AR131" s="45"/>
      <c r="AS131" s="45"/>
      <c r="AT131" s="45"/>
      <c r="AU131" s="45" t="s">
        <v>3022</v>
      </c>
      <c r="AV131" s="45" t="s">
        <v>3023</v>
      </c>
      <c r="AW131" s="45" t="str">
        <f aca="false">HYPERLINK("http://dx.doi.org/10.1117/12.2600200","http://dx.doi.org/10.1117/12.2600200")</f>
        <v>http://dx.doi.org/10.1117/12.2600200</v>
      </c>
      <c r="AX131" s="45"/>
      <c r="AY131" s="45" t="n">
        <v>9</v>
      </c>
      <c r="AZ131" s="45" t="s">
        <v>3024</v>
      </c>
      <c r="BA131" s="45" t="s">
        <v>530</v>
      </c>
      <c r="BB131" s="45" t="s">
        <v>3025</v>
      </c>
      <c r="BC131" s="45" t="s">
        <v>3026</v>
      </c>
      <c r="BD131" s="45"/>
      <c r="BE131" s="45"/>
      <c r="BF131" s="45" t="s">
        <v>334</v>
      </c>
      <c r="BG131" s="45" t="s">
        <v>3027</v>
      </c>
      <c r="BH131" s="45" t="str">
        <f aca="false">HYPERLINK("https%3A%2F%2Fwww.webofscience.com%2Fwos%2Fwoscc%2Ffull-record%2FWOS:000796431900020","View Full Record in Web of Science")</f>
        <v>View Full Record in Web of Science</v>
      </c>
      <c r="BI131" s="47"/>
      <c r="BJ131" s="47"/>
      <c r="BK131" s="47"/>
      <c r="BL131" s="47"/>
      <c r="BM131" s="47"/>
      <c r="BN131" s="47"/>
      <c r="BO131" s="47"/>
      <c r="BP131" s="47"/>
      <c r="BQ131" s="47"/>
      <c r="BR131" s="52" t="b">
        <f aca="false">TRUE()</f>
        <v>1</v>
      </c>
      <c r="BS131" s="47"/>
      <c r="BT131" s="47"/>
      <c r="BU131" s="47"/>
      <c r="BV131" s="47"/>
      <c r="BW131" s="52" t="b">
        <f aca="false">TRUE()</f>
        <v>1</v>
      </c>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c r="FL131" s="47"/>
      <c r="FM131" s="47"/>
      <c r="FN131" s="47"/>
      <c r="FO131" s="47"/>
      <c r="FP131" s="47"/>
      <c r="FQ131" s="47"/>
      <c r="FR131" s="47"/>
      <c r="FS131" s="47"/>
      <c r="FT131" s="52" t="b">
        <f aca="false">TRUE()</f>
        <v>1</v>
      </c>
      <c r="FU131" s="47"/>
      <c r="FV131" s="47"/>
      <c r="FW131" s="47"/>
      <c r="FX131" s="47"/>
      <c r="FY131" s="47"/>
      <c r="FZ131" s="47"/>
      <c r="GA131" s="47"/>
      <c r="GB131" s="47"/>
      <c r="GC131" s="47"/>
      <c r="GD131" s="47"/>
      <c r="GE131" s="47"/>
      <c r="GF131" s="47"/>
      <c r="GG131" s="47"/>
      <c r="GH131" s="47"/>
      <c r="GI131" s="47"/>
      <c r="GJ131" s="47"/>
      <c r="GK131" s="47"/>
      <c r="GL131" s="47"/>
      <c r="GM131" s="47"/>
      <c r="GN131" s="47"/>
      <c r="GO131" s="47"/>
      <c r="GP131" s="47"/>
      <c r="GQ131" s="47"/>
      <c r="GR131" s="47"/>
      <c r="GS131" s="47"/>
      <c r="GT131" s="47"/>
      <c r="GU131" s="47"/>
      <c r="GV131" s="47"/>
      <c r="GW131" s="47"/>
      <c r="GX131" s="47"/>
      <c r="GY131" s="47"/>
      <c r="GZ131" s="47"/>
      <c r="HA131" s="47"/>
      <c r="HB131" s="47"/>
      <c r="HC131" s="47"/>
      <c r="HD131" s="47"/>
      <c r="HE131" s="47"/>
      <c r="HF131" s="47"/>
      <c r="HG131" s="47"/>
      <c r="HH131" s="47"/>
      <c r="HI131" s="47"/>
      <c r="HJ131" s="47"/>
      <c r="HK131" s="47"/>
      <c r="HL131" s="47"/>
      <c r="HM131" s="47"/>
      <c r="HN131" s="47"/>
      <c r="HO131" s="47"/>
      <c r="HP131" s="47"/>
      <c r="HQ131" s="47"/>
      <c r="HR131" s="47"/>
      <c r="HS131" s="47"/>
      <c r="HT131" s="47"/>
      <c r="HU131" s="47"/>
      <c r="HV131" s="47"/>
      <c r="HW131" s="47"/>
      <c r="HX131" s="47"/>
      <c r="HY131" s="47"/>
      <c r="HZ131" s="47"/>
      <c r="IA131" s="47"/>
      <c r="IB131" s="47"/>
      <c r="IC131" s="47"/>
      <c r="ID131" s="47"/>
      <c r="IE131" s="47"/>
      <c r="IF131" s="47"/>
      <c r="IG131" s="47"/>
      <c r="IH131" s="47"/>
      <c r="II131" s="47"/>
      <c r="IJ131" s="47"/>
      <c r="IK131" s="47"/>
      <c r="IL131" s="47"/>
      <c r="IM131" s="47"/>
      <c r="IN131" s="47"/>
      <c r="IO131" s="47"/>
      <c r="IP131" s="47"/>
      <c r="IQ131" s="47"/>
      <c r="IR131" s="47"/>
      <c r="IS131" s="47"/>
      <c r="IT131" s="47"/>
      <c r="IU131" s="47"/>
      <c r="IV131" s="47"/>
      <c r="IW131" s="47"/>
      <c r="IX131" s="47"/>
      <c r="IY131" s="47"/>
      <c r="IZ131" s="47"/>
      <c r="JA131" s="47"/>
      <c r="JB131" s="47"/>
      <c r="JC131" s="47"/>
      <c r="JD131" s="47"/>
      <c r="JE131" s="47"/>
      <c r="JF131" s="47"/>
      <c r="JG131" s="47"/>
      <c r="JH131" s="52" t="b">
        <f aca="false">TRUE()</f>
        <v>1</v>
      </c>
      <c r="JI131" s="47"/>
      <c r="JJ131" s="47"/>
      <c r="JK131" s="47"/>
      <c r="JL131" s="47"/>
      <c r="JM131" s="47"/>
      <c r="JN131" s="47"/>
      <c r="JO131" s="47"/>
      <c r="JP131" s="47"/>
      <c r="JQ131" s="47"/>
      <c r="JR131" s="47"/>
      <c r="JS131" s="47"/>
      <c r="JT131" s="52" t="b">
        <f aca="false">TRUE()</f>
        <v>1</v>
      </c>
      <c r="JU131" s="52" t="b">
        <f aca="false">TRUE()</f>
        <v>1</v>
      </c>
      <c r="JV131" s="47"/>
      <c r="JW131" s="47"/>
      <c r="JX131" s="47"/>
      <c r="JY131" s="47"/>
      <c r="JZ131" s="47"/>
      <c r="KA131" s="47"/>
      <c r="KB131" s="47"/>
      <c r="KC131" s="47"/>
      <c r="KD131" s="47"/>
      <c r="KE131" s="47"/>
      <c r="KF131" s="47"/>
      <c r="KG131" s="47"/>
      <c r="KH131" s="47"/>
      <c r="KI131" s="47"/>
      <c r="KJ131" s="47"/>
      <c r="KK131" s="47"/>
      <c r="KL131" s="47"/>
      <c r="KM131" s="47"/>
      <c r="KN131" s="47"/>
      <c r="KO131" s="47"/>
      <c r="KP131" s="47"/>
      <c r="KQ131" s="47"/>
      <c r="KR131" s="52" t="b">
        <f aca="false">TRUE()</f>
        <v>1</v>
      </c>
      <c r="KS131" s="47"/>
      <c r="KT131" s="47"/>
      <c r="KU131" s="52" t="b">
        <f aca="false">TRUE()</f>
        <v>1</v>
      </c>
    </row>
    <row r="132" customFormat="false" ht="14.4" hidden="false" customHeight="false" outlineLevel="0" collapsed="false">
      <c r="A132" s="45" t="s">
        <v>505</v>
      </c>
      <c r="B132" s="45" t="s">
        <v>3028</v>
      </c>
      <c r="C132" s="45"/>
      <c r="D132" s="45"/>
      <c r="E132" s="45" t="s">
        <v>1159</v>
      </c>
      <c r="F132" s="45" t="s">
        <v>3029</v>
      </c>
      <c r="G132" s="45" t="s">
        <v>3030</v>
      </c>
      <c r="H132" s="45" t="s">
        <v>3031</v>
      </c>
      <c r="I132" s="45" t="s">
        <v>310</v>
      </c>
      <c r="J132" s="45" t="s">
        <v>511</v>
      </c>
      <c r="K132" s="45" t="s">
        <v>3032</v>
      </c>
      <c r="L132" s="45" t="s">
        <v>3033</v>
      </c>
      <c r="M132" s="45" t="s">
        <v>1289</v>
      </c>
      <c r="N132" s="45" t="s">
        <v>3034</v>
      </c>
      <c r="O132" s="45" t="s">
        <v>3035</v>
      </c>
      <c r="P132" s="45" t="s">
        <v>3036</v>
      </c>
      <c r="Q132" s="45" t="s">
        <v>3037</v>
      </c>
      <c r="R132" s="45" t="s">
        <v>3038</v>
      </c>
      <c r="S132" s="45" t="s">
        <v>3039</v>
      </c>
      <c r="T132" s="45" t="s">
        <v>3040</v>
      </c>
      <c r="U132" s="45" t="s">
        <v>3041</v>
      </c>
      <c r="V132" s="45" t="s">
        <v>3042</v>
      </c>
      <c r="W132" s="45" t="s">
        <v>3043</v>
      </c>
      <c r="X132" s="45" t="s">
        <v>3044</v>
      </c>
      <c r="Y132" s="45" t="s">
        <v>3044</v>
      </c>
      <c r="Z132" s="45" t="s">
        <v>3045</v>
      </c>
      <c r="AA132" s="45" t="n">
        <v>44</v>
      </c>
      <c r="AB132" s="45" t="n">
        <v>0</v>
      </c>
      <c r="AC132" s="45" t="n">
        <v>0</v>
      </c>
      <c r="AD132" s="45" t="n">
        <v>3</v>
      </c>
      <c r="AE132" s="45" t="n">
        <v>14</v>
      </c>
      <c r="AF132" s="45" t="s">
        <v>1159</v>
      </c>
      <c r="AG132" s="45" t="s">
        <v>525</v>
      </c>
      <c r="AH132" s="45" t="s">
        <v>1174</v>
      </c>
      <c r="AI132" s="45"/>
      <c r="AJ132" s="45"/>
      <c r="AK132" s="45" t="s">
        <v>3046</v>
      </c>
      <c r="AL132" s="45"/>
      <c r="AM132" s="45"/>
      <c r="AN132" s="45"/>
      <c r="AO132" s="45" t="n">
        <v>2021</v>
      </c>
      <c r="AP132" s="45"/>
      <c r="AQ132" s="45"/>
      <c r="AR132" s="45"/>
      <c r="AS132" s="45" t="n">
        <v>285</v>
      </c>
      <c r="AT132" s="45" t="n">
        <v>292</v>
      </c>
      <c r="AU132" s="45"/>
      <c r="AV132" s="45" t="s">
        <v>3047</v>
      </c>
      <c r="AW132" s="45" t="str">
        <f aca="false">HYPERLINK("http://dx.doi.org/10.1109/CHILECON54041.2021.9703064","http://dx.doi.org/10.1109/CHILECON54041.2021.9703064")</f>
        <v>http://dx.doi.org/10.1109/CHILECON54041.2021.9703064</v>
      </c>
      <c r="AX132" s="45"/>
      <c r="AY132" s="45" t="n">
        <v>8</v>
      </c>
      <c r="AZ132" s="45" t="s">
        <v>3048</v>
      </c>
      <c r="BA132" s="45" t="s">
        <v>530</v>
      </c>
      <c r="BB132" s="45" t="s">
        <v>1355</v>
      </c>
      <c r="BC132" s="45" t="s">
        <v>3049</v>
      </c>
      <c r="BD132" s="45"/>
      <c r="BE132" s="45"/>
      <c r="BF132" s="45" t="s">
        <v>334</v>
      </c>
      <c r="BG132" s="45" t="s">
        <v>3050</v>
      </c>
      <c r="BH132" s="45" t="str">
        <f aca="false">HYPERLINK("https%3A%2F%2Fwww.webofscience.com%2Fwos%2Fwoscc%2Ffull-record%2FWOS:000788072700049","View Full Record in Web of Science")</f>
        <v>View Full Record in Web of Science</v>
      </c>
      <c r="BI132" s="47"/>
      <c r="BJ132" s="47"/>
      <c r="BK132" s="47"/>
      <c r="BL132" s="47"/>
      <c r="BM132" s="47"/>
      <c r="BN132" s="47"/>
      <c r="BO132" s="47"/>
      <c r="BP132" s="47"/>
      <c r="BQ132" s="47"/>
      <c r="BR132" s="52" t="b">
        <f aca="false">TRUE()</f>
        <v>1</v>
      </c>
      <c r="BS132" s="47"/>
      <c r="BT132" s="47"/>
      <c r="BU132" s="47"/>
      <c r="BV132" s="47"/>
      <c r="BW132" s="47"/>
      <c r="BX132" s="47"/>
      <c r="BY132" s="52" t="b">
        <f aca="false">TRUE()</f>
        <v>1</v>
      </c>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52" t="b">
        <f aca="false">TRUE()</f>
        <v>1</v>
      </c>
      <c r="EB132" s="47"/>
      <c r="EC132" s="47"/>
      <c r="ED132" s="47"/>
      <c r="EE132" s="47"/>
      <c r="EF132" s="47"/>
      <c r="EG132" s="47"/>
      <c r="EH132" s="47"/>
      <c r="EI132" s="47"/>
      <c r="EJ132" s="47"/>
      <c r="EK132" s="47"/>
      <c r="EL132" s="47"/>
      <c r="EM132" s="47"/>
      <c r="EN132" s="47"/>
      <c r="EO132" s="47"/>
      <c r="EP132" s="47"/>
      <c r="EQ132" s="47"/>
      <c r="ER132" s="47"/>
      <c r="ES132" s="47"/>
      <c r="ET132" s="47"/>
      <c r="EU132" s="47"/>
      <c r="EV132" s="47"/>
      <c r="EW132" s="47"/>
      <c r="EX132" s="47"/>
      <c r="EY132" s="52" t="b">
        <f aca="false">TRUE()</f>
        <v>1</v>
      </c>
      <c r="EZ132" s="47"/>
      <c r="FA132" s="47"/>
      <c r="FB132" s="47"/>
      <c r="FC132" s="47"/>
      <c r="FD132" s="47"/>
      <c r="FE132" s="47"/>
      <c r="FF132" s="47"/>
      <c r="FG132" s="47"/>
      <c r="FH132" s="47"/>
      <c r="FI132" s="47"/>
      <c r="FJ132" s="47"/>
      <c r="FK132" s="47"/>
      <c r="FL132" s="47"/>
      <c r="FM132" s="47"/>
      <c r="FN132" s="47"/>
      <c r="FO132" s="47"/>
      <c r="FP132" s="47"/>
      <c r="FQ132" s="47"/>
      <c r="FR132" s="47"/>
      <c r="FS132" s="47"/>
      <c r="FT132" s="47"/>
      <c r="FU132" s="47"/>
      <c r="FV132" s="47"/>
      <c r="FW132" s="47"/>
      <c r="FX132" s="47"/>
      <c r="FY132" s="47"/>
      <c r="FZ132" s="47"/>
      <c r="GA132" s="47"/>
      <c r="GB132" s="47"/>
      <c r="GC132" s="47"/>
      <c r="GD132" s="47"/>
      <c r="GE132" s="47"/>
      <c r="GF132" s="47"/>
      <c r="GG132" s="47"/>
      <c r="GH132" s="47"/>
      <c r="GI132" s="47"/>
      <c r="GJ132" s="47"/>
      <c r="GK132" s="47"/>
      <c r="GL132" s="47"/>
      <c r="GM132" s="47"/>
      <c r="GN132" s="47"/>
      <c r="GO132" s="47"/>
      <c r="GP132" s="47"/>
      <c r="GQ132" s="47"/>
      <c r="GR132" s="47"/>
      <c r="GS132" s="47"/>
      <c r="GT132" s="47"/>
      <c r="GU132" s="47"/>
      <c r="GV132" s="47"/>
      <c r="GW132" s="47"/>
      <c r="GX132" s="47"/>
      <c r="GY132" s="47"/>
      <c r="GZ132" s="47"/>
      <c r="HA132" s="47"/>
      <c r="HB132" s="47"/>
      <c r="HC132" s="47"/>
      <c r="HD132" s="47"/>
      <c r="HE132" s="47"/>
      <c r="HF132" s="47"/>
      <c r="HG132" s="47"/>
      <c r="HH132" s="47"/>
      <c r="HI132" s="47"/>
      <c r="HJ132" s="47"/>
      <c r="HK132" s="52" t="b">
        <f aca="false">TRUE()</f>
        <v>1</v>
      </c>
      <c r="HL132" s="47"/>
      <c r="HM132" s="47"/>
      <c r="HN132" s="47"/>
      <c r="HO132" s="47"/>
      <c r="HP132" s="47"/>
      <c r="HQ132" s="47"/>
      <c r="HR132" s="47"/>
      <c r="HS132" s="47"/>
      <c r="HT132" s="47"/>
      <c r="HU132" s="47"/>
      <c r="HV132" s="47"/>
      <c r="HW132" s="47"/>
      <c r="HX132" s="47"/>
      <c r="HY132" s="47"/>
      <c r="HZ132" s="47"/>
      <c r="IA132" s="47"/>
      <c r="IB132" s="47"/>
      <c r="IC132" s="47"/>
      <c r="ID132" s="47"/>
      <c r="IE132" s="52" t="b">
        <f aca="false">TRUE()</f>
        <v>1</v>
      </c>
      <c r="IF132" s="47"/>
      <c r="IG132" s="47"/>
      <c r="IH132" s="47"/>
      <c r="II132" s="47"/>
      <c r="IJ132" s="47"/>
      <c r="IK132" s="47"/>
      <c r="IL132" s="47"/>
      <c r="IM132" s="47"/>
      <c r="IN132" s="47"/>
      <c r="IO132" s="47"/>
      <c r="IP132" s="47"/>
      <c r="IQ132" s="47"/>
      <c r="IR132" s="47"/>
      <c r="IS132" s="47"/>
      <c r="IT132" s="47"/>
      <c r="IU132" s="47"/>
      <c r="IV132" s="47"/>
      <c r="IW132" s="47"/>
      <c r="IX132" s="47"/>
      <c r="IY132" s="47"/>
      <c r="IZ132" s="47"/>
      <c r="JA132" s="47"/>
      <c r="JB132" s="47"/>
      <c r="JC132" s="47"/>
      <c r="JD132" s="47"/>
      <c r="JE132" s="47"/>
      <c r="JF132" s="47"/>
      <c r="JG132" s="47"/>
      <c r="JH132" s="47"/>
      <c r="JI132" s="47"/>
      <c r="JJ132" s="47"/>
      <c r="JK132" s="47"/>
      <c r="JL132" s="47"/>
      <c r="JM132" s="47"/>
      <c r="JN132" s="47"/>
      <c r="JO132" s="47"/>
      <c r="JP132" s="47"/>
      <c r="JQ132" s="47"/>
      <c r="JR132" s="47"/>
      <c r="JS132" s="47"/>
      <c r="JT132" s="52" t="b">
        <f aca="false">TRUE()</f>
        <v>1</v>
      </c>
      <c r="JU132" s="52" t="b">
        <f aca="false">TRUE()</f>
        <v>1</v>
      </c>
      <c r="JV132" s="47"/>
      <c r="JW132" s="47"/>
      <c r="JX132" s="47"/>
      <c r="JY132" s="47"/>
      <c r="JZ132" s="47"/>
      <c r="KA132" s="47"/>
      <c r="KB132" s="47"/>
      <c r="KC132" s="47"/>
      <c r="KD132" s="47"/>
      <c r="KE132" s="47"/>
      <c r="KF132" s="47"/>
      <c r="KG132" s="47"/>
      <c r="KH132" s="47"/>
      <c r="KI132" s="47"/>
      <c r="KJ132" s="47"/>
      <c r="KK132" s="47"/>
      <c r="KL132" s="47"/>
      <c r="KM132" s="47"/>
      <c r="KN132" s="47"/>
      <c r="KO132" s="47"/>
      <c r="KP132" s="47"/>
      <c r="KQ132" s="52" t="b">
        <f aca="false">TRUE()</f>
        <v>1</v>
      </c>
      <c r="KR132" s="47"/>
      <c r="KS132" s="47"/>
      <c r="KT132" s="52" t="b">
        <f aca="false">TRUE()</f>
        <v>1</v>
      </c>
      <c r="KU132" s="47"/>
    </row>
    <row r="133" customFormat="false" ht="14.4" hidden="false" customHeight="false" outlineLevel="0" collapsed="false">
      <c r="A133" s="37" t="s">
        <v>305</v>
      </c>
      <c r="B133" s="37" t="s">
        <v>1050</v>
      </c>
      <c r="C133" s="37"/>
      <c r="D133" s="37"/>
      <c r="E133" s="37"/>
      <c r="F133" s="37" t="s">
        <v>1051</v>
      </c>
      <c r="G133" s="37" t="s">
        <v>3051</v>
      </c>
      <c r="H133" s="37" t="s">
        <v>733</v>
      </c>
      <c r="I133" s="37" t="s">
        <v>310</v>
      </c>
      <c r="J133" s="37" t="s">
        <v>311</v>
      </c>
      <c r="K133" s="37"/>
      <c r="L133" s="37"/>
      <c r="M133" s="37"/>
      <c r="N133" s="37"/>
      <c r="O133" s="37" t="s">
        <v>3052</v>
      </c>
      <c r="P133" s="37" t="s">
        <v>3053</v>
      </c>
      <c r="Q133" s="37" t="s">
        <v>3054</v>
      </c>
      <c r="R133" s="37" t="s">
        <v>1056</v>
      </c>
      <c r="S133" s="37" t="s">
        <v>1057</v>
      </c>
      <c r="T133" s="37" t="s">
        <v>1058</v>
      </c>
      <c r="U133" s="37" t="s">
        <v>1059</v>
      </c>
      <c r="V133" s="37" t="s">
        <v>1060</v>
      </c>
      <c r="W133" s="37" t="s">
        <v>3055</v>
      </c>
      <c r="X133" s="37" t="s">
        <v>3056</v>
      </c>
      <c r="Y133" s="37" t="s">
        <v>3057</v>
      </c>
      <c r="Z133" s="37" t="s">
        <v>3058</v>
      </c>
      <c r="AA133" s="37" t="n">
        <v>57</v>
      </c>
      <c r="AB133" s="37" t="n">
        <v>127</v>
      </c>
      <c r="AC133" s="37" t="n">
        <v>131</v>
      </c>
      <c r="AD133" s="37" t="n">
        <v>7</v>
      </c>
      <c r="AE133" s="37" t="n">
        <v>72</v>
      </c>
      <c r="AF133" s="37" t="s">
        <v>353</v>
      </c>
      <c r="AG133" s="37" t="s">
        <v>354</v>
      </c>
      <c r="AH133" s="37" t="s">
        <v>355</v>
      </c>
      <c r="AI133" s="37" t="s">
        <v>745</v>
      </c>
      <c r="AJ133" s="37" t="s">
        <v>746</v>
      </c>
      <c r="AK133" s="37"/>
      <c r="AL133" s="37" t="s">
        <v>747</v>
      </c>
      <c r="AM133" s="37" t="s">
        <v>748</v>
      </c>
      <c r="AN133" s="37" t="s">
        <v>3059</v>
      </c>
      <c r="AO133" s="37" t="n">
        <v>2020</v>
      </c>
      <c r="AP133" s="37" t="n">
        <v>234</v>
      </c>
      <c r="AQ133" s="37"/>
      <c r="AR133" s="37"/>
      <c r="AS133" s="37"/>
      <c r="AT133" s="37"/>
      <c r="AU133" s="37" t="n">
        <v>106113</v>
      </c>
      <c r="AV133" s="37" t="s">
        <v>3060</v>
      </c>
      <c r="AW133" s="37" t="str">
        <f aca="false">HYPERLINK("http://dx.doi.org/10.1016/j.agwat.2020.106113","http://dx.doi.org/10.1016/j.agwat.2020.106113")</f>
        <v>http://dx.doi.org/10.1016/j.agwat.2020.106113</v>
      </c>
      <c r="AX133" s="37"/>
      <c r="AY133" s="37" t="n">
        <v>13</v>
      </c>
      <c r="AZ133" s="37" t="s">
        <v>438</v>
      </c>
      <c r="BA133" s="37" t="s">
        <v>331</v>
      </c>
      <c r="BB133" s="37" t="s">
        <v>439</v>
      </c>
      <c r="BC133" s="37" t="s">
        <v>3061</v>
      </c>
      <c r="BD133" s="37"/>
      <c r="BE133" s="37"/>
      <c r="BF133" s="37" t="s">
        <v>334</v>
      </c>
      <c r="BG133" s="37" t="s">
        <v>3062</v>
      </c>
      <c r="BH133" s="37" t="str">
        <f aca="false">HYPERLINK("https%3A%2F%2Fwww.webofscience.com%2Fwos%2Fwoscc%2Ffull-record%2FWOS:000525293700011","View Full Record in Web of Science")</f>
        <v>View Full Record in Web of Science</v>
      </c>
      <c r="BI133" s="41" t="b">
        <f aca="false">TRUE()</f>
        <v>1</v>
      </c>
      <c r="BJ133" s="39"/>
      <c r="BK133" s="39"/>
      <c r="BL133" s="39"/>
      <c r="BM133" s="39"/>
      <c r="BN133" s="39"/>
      <c r="BO133" s="39"/>
      <c r="BP133" s="39"/>
      <c r="BQ133" s="39"/>
      <c r="BR133" s="39"/>
      <c r="BS133" s="39"/>
      <c r="BT133" s="39"/>
      <c r="BU133" s="39"/>
      <c r="BV133" s="39"/>
      <c r="BW133" s="39"/>
      <c r="BX133" s="39"/>
      <c r="BY133" s="39"/>
      <c r="BZ133" s="39"/>
      <c r="CA133" s="39"/>
      <c r="CB133" s="39"/>
      <c r="CC133" s="39"/>
      <c r="CD133" s="39"/>
      <c r="CE133" s="39"/>
      <c r="CF133" s="39"/>
      <c r="CG133" s="39"/>
      <c r="CH133" s="39"/>
      <c r="CI133" s="41" t="b">
        <f aca="false">TRUE()</f>
        <v>1</v>
      </c>
      <c r="CJ133" s="39"/>
      <c r="CK133" s="39"/>
      <c r="CL133" s="39"/>
      <c r="CM133" s="39"/>
      <c r="CN133" s="39"/>
      <c r="CO133" s="39"/>
      <c r="CP133" s="39"/>
      <c r="CQ133" s="39"/>
      <c r="CR133" s="39"/>
      <c r="CS133" s="39"/>
      <c r="CT133" s="39"/>
      <c r="CU133" s="39"/>
      <c r="CV133" s="39"/>
      <c r="CW133" s="41" t="b">
        <f aca="false">TRUE()</f>
        <v>1</v>
      </c>
      <c r="CX133" s="39"/>
      <c r="CY133" s="39"/>
      <c r="CZ133" s="41" t="b">
        <f aca="false">TRUE()</f>
        <v>1</v>
      </c>
      <c r="DA133" s="41" t="b">
        <f aca="false">TRUE()</f>
        <v>1</v>
      </c>
      <c r="DB133" s="39"/>
      <c r="DC133" s="39"/>
      <c r="DD133" s="39"/>
      <c r="DE133" s="39"/>
      <c r="DF133" s="39"/>
      <c r="DG133" s="39"/>
      <c r="DH133" s="39"/>
      <c r="DI133" s="39"/>
      <c r="DJ133" s="39"/>
      <c r="DK133" s="39"/>
      <c r="DL133" s="39"/>
      <c r="DM133" s="41" t="b">
        <f aca="false">TRUE()</f>
        <v>1</v>
      </c>
      <c r="DN133" s="39"/>
      <c r="DO133" s="39"/>
      <c r="DP133" s="39"/>
      <c r="DQ133" s="39"/>
      <c r="DR133" s="39"/>
      <c r="DS133" s="39"/>
      <c r="DT133" s="41" t="b">
        <f aca="false">TRUE()</f>
        <v>1</v>
      </c>
      <c r="DU133" s="39"/>
      <c r="DV133" s="39"/>
      <c r="DW133" s="39"/>
      <c r="DX133" s="39"/>
      <c r="DY133" s="39"/>
      <c r="DZ133" s="39"/>
      <c r="EA133" s="41" t="b">
        <f aca="false">TRUE()</f>
        <v>1</v>
      </c>
      <c r="EB133" s="39"/>
      <c r="EC133" s="39"/>
      <c r="ED133" s="39"/>
      <c r="EE133" s="39"/>
      <c r="EF133" s="39"/>
      <c r="EG133" s="39"/>
      <c r="EH133" s="39"/>
      <c r="EI133" s="39"/>
      <c r="EJ133" s="39"/>
      <c r="EK133" s="39"/>
      <c r="EL133" s="39"/>
      <c r="EM133" s="39"/>
      <c r="EN133" s="39"/>
      <c r="EO133" s="39"/>
      <c r="EP133" s="39"/>
      <c r="EQ133" s="39"/>
      <c r="ER133" s="39"/>
      <c r="ES133" s="39"/>
      <c r="ET133" s="39"/>
      <c r="EU133" s="39"/>
      <c r="EV133" s="39"/>
      <c r="EW133" s="39"/>
      <c r="EX133" s="39"/>
      <c r="EY133" s="41" t="b">
        <f aca="false">TRUE()</f>
        <v>1</v>
      </c>
      <c r="EZ133" s="39"/>
      <c r="FA133" s="39"/>
      <c r="FB133" s="39"/>
      <c r="FC133" s="41" t="b">
        <f aca="false">TRUE()</f>
        <v>1</v>
      </c>
      <c r="FD133" s="39"/>
      <c r="FE133" s="39"/>
      <c r="FF133" s="39"/>
      <c r="FG133" s="39"/>
      <c r="FH133" s="39"/>
      <c r="FI133" s="39"/>
      <c r="FJ133" s="39"/>
      <c r="FK133" s="39"/>
      <c r="FL133" s="39"/>
      <c r="FM133" s="39"/>
      <c r="FN133" s="39"/>
      <c r="FO133" s="39"/>
      <c r="FP133" s="39"/>
      <c r="FQ133" s="39"/>
      <c r="FR133" s="39"/>
      <c r="FS133" s="39"/>
      <c r="FT133" s="39"/>
      <c r="FU133" s="39"/>
      <c r="FV133" s="39"/>
      <c r="FW133" s="39"/>
      <c r="FX133" s="39"/>
      <c r="FY133" s="39"/>
      <c r="FZ133" s="39"/>
      <c r="GA133" s="39"/>
      <c r="GB133" s="39"/>
      <c r="GC133" s="39"/>
      <c r="GD133" s="39"/>
      <c r="GE133" s="39"/>
      <c r="GF133" s="39"/>
      <c r="GG133" s="39"/>
      <c r="GH133" s="39"/>
      <c r="GI133" s="39"/>
      <c r="GJ133" s="39"/>
      <c r="GK133" s="39"/>
      <c r="GL133" s="39"/>
      <c r="GM133" s="39"/>
      <c r="GN133" s="39"/>
      <c r="GO133" s="39"/>
      <c r="GP133" s="39"/>
      <c r="GQ133" s="39"/>
      <c r="GR133" s="39"/>
      <c r="GS133" s="39"/>
      <c r="GT133" s="39"/>
      <c r="GU133" s="39"/>
      <c r="GV133" s="39"/>
      <c r="GW133" s="39"/>
      <c r="GX133" s="39"/>
      <c r="GY133" s="39"/>
      <c r="GZ133" s="39"/>
      <c r="HA133" s="39"/>
      <c r="HB133" s="39"/>
      <c r="HC133" s="39"/>
      <c r="HD133" s="39"/>
      <c r="HE133" s="41" t="b">
        <f aca="false">TRUE()</f>
        <v>1</v>
      </c>
      <c r="HF133" s="39"/>
      <c r="HG133" s="39"/>
      <c r="HH133" s="39"/>
      <c r="HI133" s="39"/>
      <c r="HJ133" s="39"/>
      <c r="HK133" s="39"/>
      <c r="HL133" s="39"/>
      <c r="HM133" s="39"/>
      <c r="HN133" s="39"/>
      <c r="HO133" s="39"/>
      <c r="HP133" s="39"/>
      <c r="HQ133" s="39"/>
      <c r="HR133" s="39"/>
      <c r="HS133" s="39"/>
      <c r="HT133" s="39"/>
      <c r="HU133" s="39"/>
      <c r="HV133" s="39"/>
      <c r="HW133" s="41" t="b">
        <f aca="false">TRUE()</f>
        <v>1</v>
      </c>
      <c r="HX133" s="39"/>
      <c r="HY133" s="39"/>
      <c r="HZ133" s="39"/>
      <c r="IA133" s="39"/>
      <c r="IB133" s="39"/>
      <c r="IC133" s="39"/>
      <c r="ID133" s="39"/>
      <c r="IE133" s="39"/>
      <c r="IF133" s="39"/>
      <c r="IG133" s="39"/>
      <c r="IH133" s="39"/>
      <c r="II133" s="39"/>
      <c r="IJ133" s="39"/>
      <c r="IK133" s="39"/>
      <c r="IL133" s="39"/>
      <c r="IM133" s="39"/>
      <c r="IN133" s="39"/>
      <c r="IO133" s="39"/>
      <c r="IP133" s="39"/>
      <c r="IQ133" s="39"/>
      <c r="IR133" s="39"/>
      <c r="IS133" s="39"/>
      <c r="IT133" s="39"/>
      <c r="IU133" s="39"/>
      <c r="IV133" s="39"/>
      <c r="IW133" s="39"/>
      <c r="IX133" s="39"/>
      <c r="IY133" s="39"/>
      <c r="IZ133" s="39"/>
      <c r="JA133" s="39"/>
      <c r="JB133" s="39"/>
      <c r="JC133" s="39"/>
      <c r="JD133" s="41" t="b">
        <f aca="false">TRUE()</f>
        <v>1</v>
      </c>
      <c r="JE133" s="39"/>
      <c r="JF133" s="39"/>
      <c r="JG133" s="39"/>
      <c r="JH133" s="39"/>
      <c r="JI133" s="39"/>
      <c r="JJ133" s="39"/>
      <c r="JK133" s="39"/>
      <c r="JL133" s="39"/>
      <c r="JM133" s="39"/>
      <c r="JN133" s="39"/>
      <c r="JO133" s="39"/>
      <c r="JP133" s="39"/>
      <c r="JQ133" s="39"/>
      <c r="JR133" s="39"/>
      <c r="JS133" s="39"/>
      <c r="JT133" s="41" t="b">
        <f aca="false">TRUE()</f>
        <v>1</v>
      </c>
      <c r="JU133" s="39"/>
      <c r="JV133" s="39"/>
      <c r="JW133" s="39"/>
      <c r="JX133" s="39"/>
      <c r="JY133" s="39"/>
      <c r="JZ133" s="39"/>
      <c r="KA133" s="39"/>
      <c r="KB133" s="39"/>
      <c r="KC133" s="39"/>
      <c r="KD133" s="39"/>
      <c r="KE133" s="39"/>
      <c r="KF133" s="39"/>
      <c r="KG133" s="39"/>
      <c r="KH133" s="39"/>
      <c r="KI133" s="39"/>
      <c r="KJ133" s="39"/>
      <c r="KK133" s="39"/>
      <c r="KL133" s="39"/>
      <c r="KM133" s="39"/>
      <c r="KN133" s="39"/>
      <c r="KO133" s="39"/>
      <c r="KP133" s="41" t="b">
        <f aca="false">TRUE()</f>
        <v>1</v>
      </c>
      <c r="KQ133" s="39"/>
      <c r="KR133" s="39"/>
      <c r="KS133" s="39"/>
      <c r="KT133" s="41" t="b">
        <f aca="false">TRUE()</f>
        <v>1</v>
      </c>
      <c r="KU133" s="39"/>
    </row>
    <row r="134" customFormat="false" ht="14.4" hidden="false" customHeight="false" outlineLevel="0" collapsed="false">
      <c r="A134" s="37" t="s">
        <v>305</v>
      </c>
      <c r="B134" s="37" t="s">
        <v>3063</v>
      </c>
      <c r="C134" s="37"/>
      <c r="D134" s="37"/>
      <c r="E134" s="37"/>
      <c r="F134" s="37" t="s">
        <v>3064</v>
      </c>
      <c r="G134" s="37" t="s">
        <v>3065</v>
      </c>
      <c r="H134" s="37" t="s">
        <v>733</v>
      </c>
      <c r="I134" s="37" t="s">
        <v>310</v>
      </c>
      <c r="J134" s="37" t="s">
        <v>311</v>
      </c>
      <c r="K134" s="37"/>
      <c r="L134" s="37"/>
      <c r="M134" s="37"/>
      <c r="N134" s="37"/>
      <c r="O134" s="37"/>
      <c r="P134" s="37" t="s">
        <v>3066</v>
      </c>
      <c r="Q134" s="37" t="s">
        <v>3067</v>
      </c>
      <c r="R134" s="37" t="s">
        <v>3068</v>
      </c>
      <c r="S134" s="37" t="s">
        <v>3069</v>
      </c>
      <c r="T134" s="37" t="s">
        <v>3070</v>
      </c>
      <c r="U134" s="37" t="s">
        <v>3071</v>
      </c>
      <c r="V134" s="37" t="s">
        <v>3072</v>
      </c>
      <c r="W134" s="37" t="s">
        <v>3073</v>
      </c>
      <c r="X134" s="37" t="s">
        <v>3074</v>
      </c>
      <c r="Y134" s="37" t="s">
        <v>3075</v>
      </c>
      <c r="Z134" s="37" t="s">
        <v>3076</v>
      </c>
      <c r="AA134" s="37" t="n">
        <v>112</v>
      </c>
      <c r="AB134" s="37" t="n">
        <v>13</v>
      </c>
      <c r="AC134" s="37" t="n">
        <v>13</v>
      </c>
      <c r="AD134" s="37" t="n">
        <v>12</v>
      </c>
      <c r="AE134" s="37" t="n">
        <v>43</v>
      </c>
      <c r="AF134" s="37" t="s">
        <v>353</v>
      </c>
      <c r="AG134" s="37" t="s">
        <v>354</v>
      </c>
      <c r="AH134" s="37" t="s">
        <v>355</v>
      </c>
      <c r="AI134" s="37" t="s">
        <v>745</v>
      </c>
      <c r="AJ134" s="37" t="s">
        <v>746</v>
      </c>
      <c r="AK134" s="37"/>
      <c r="AL134" s="37" t="s">
        <v>747</v>
      </c>
      <c r="AM134" s="37" t="s">
        <v>748</v>
      </c>
      <c r="AN134" s="37" t="s">
        <v>3077</v>
      </c>
      <c r="AO134" s="37" t="n">
        <v>2023</v>
      </c>
      <c r="AP134" s="37" t="n">
        <v>283</v>
      </c>
      <c r="AQ134" s="37"/>
      <c r="AR134" s="37"/>
      <c r="AS134" s="37"/>
      <c r="AT134" s="37"/>
      <c r="AU134" s="37" t="n">
        <v>108311</v>
      </c>
      <c r="AV134" s="37" t="s">
        <v>3078</v>
      </c>
      <c r="AW134" s="37" t="str">
        <f aca="false">HYPERLINK("http://dx.doi.org/10.1016/j.agwat.2023.108311","http://dx.doi.org/10.1016/j.agwat.2023.108311")</f>
        <v>http://dx.doi.org/10.1016/j.agwat.2023.108311</v>
      </c>
      <c r="AX134" s="37" t="s">
        <v>3079</v>
      </c>
      <c r="AY134" s="37" t="n">
        <v>24</v>
      </c>
      <c r="AZ134" s="37" t="s">
        <v>438</v>
      </c>
      <c r="BA134" s="37" t="s">
        <v>331</v>
      </c>
      <c r="BB134" s="37" t="s">
        <v>439</v>
      </c>
      <c r="BC134" s="37" t="s">
        <v>3080</v>
      </c>
      <c r="BD134" s="37"/>
      <c r="BE134" s="37" t="s">
        <v>684</v>
      </c>
      <c r="BF134" s="37" t="s">
        <v>334</v>
      </c>
      <c r="BG134" s="37" t="s">
        <v>3081</v>
      </c>
      <c r="BH134" s="37" t="str">
        <f aca="false">HYPERLINK("https%3A%2F%2Fwww.webofscience.com%2Fwos%2Fwoscc%2Ffull-record%2FWOS:000982594200001","View Full Record in Web of Science")</f>
        <v>View Full Record in Web of Science</v>
      </c>
      <c r="BI134" s="39"/>
      <c r="BJ134" s="39"/>
      <c r="BK134" s="39"/>
      <c r="BL134" s="39"/>
      <c r="BM134" s="39"/>
      <c r="BN134" s="39"/>
      <c r="BO134" s="39"/>
      <c r="BP134" s="39"/>
      <c r="BQ134" s="39"/>
      <c r="BR134" s="41" t="b">
        <f aca="false">TRUE()</f>
        <v>1</v>
      </c>
      <c r="BS134" s="39"/>
      <c r="BT134" s="39"/>
      <c r="BU134" s="39"/>
      <c r="BV134" s="39"/>
      <c r="BW134" s="39"/>
      <c r="BX134" s="39"/>
      <c r="BY134" s="39"/>
      <c r="BZ134" s="39"/>
      <c r="CA134" s="39"/>
      <c r="CB134" s="39"/>
      <c r="CC134" s="39"/>
      <c r="CD134" s="39"/>
      <c r="CE134" s="39"/>
      <c r="CF134" s="39"/>
      <c r="CG134" s="39"/>
      <c r="CH134" s="39"/>
      <c r="CI134" s="41" t="b">
        <f aca="false">TRUE()</f>
        <v>1</v>
      </c>
      <c r="CJ134" s="39"/>
      <c r="CK134" s="39"/>
      <c r="CL134" s="39"/>
      <c r="CM134" s="39"/>
      <c r="CN134" s="39"/>
      <c r="CO134" s="39"/>
      <c r="CP134" s="39"/>
      <c r="CQ134" s="39"/>
      <c r="CR134" s="39"/>
      <c r="CS134" s="39"/>
      <c r="CT134" s="39"/>
      <c r="CU134" s="39"/>
      <c r="CV134" s="39"/>
      <c r="CW134" s="39"/>
      <c r="CX134" s="39"/>
      <c r="CY134" s="39"/>
      <c r="CZ134" s="39"/>
      <c r="DA134" s="39"/>
      <c r="DB134" s="39"/>
      <c r="DC134" s="39"/>
      <c r="DD134" s="39"/>
      <c r="DE134" s="39"/>
      <c r="DF134" s="39"/>
      <c r="DG134" s="39"/>
      <c r="DH134" s="39"/>
      <c r="DI134" s="39"/>
      <c r="DJ134" s="39"/>
      <c r="DK134" s="39"/>
      <c r="DL134" s="39"/>
      <c r="DM134" s="39"/>
      <c r="DN134" s="39"/>
      <c r="DO134" s="39"/>
      <c r="DP134" s="39"/>
      <c r="DQ134" s="39"/>
      <c r="DR134" s="39"/>
      <c r="DS134" s="39"/>
      <c r="DT134" s="39"/>
      <c r="DU134" s="39"/>
      <c r="DV134" s="39"/>
      <c r="DW134" s="39"/>
      <c r="DX134" s="39"/>
      <c r="DY134" s="39"/>
      <c r="DZ134" s="39"/>
      <c r="EA134" s="41" t="b">
        <f aca="false">TRUE()</f>
        <v>1</v>
      </c>
      <c r="EB134" s="39"/>
      <c r="EC134" s="39"/>
      <c r="ED134" s="39"/>
      <c r="EE134" s="39"/>
      <c r="EF134" s="39"/>
      <c r="EG134" s="39"/>
      <c r="EH134" s="39"/>
      <c r="EI134" s="39"/>
      <c r="EJ134" s="39"/>
      <c r="EK134" s="39"/>
      <c r="EL134" s="39"/>
      <c r="EM134" s="39"/>
      <c r="EN134" s="39"/>
      <c r="EO134" s="39"/>
      <c r="EP134" s="39"/>
      <c r="EQ134" s="39"/>
      <c r="ER134" s="39"/>
      <c r="ES134" s="39"/>
      <c r="ET134" s="39"/>
      <c r="EU134" s="39"/>
      <c r="EV134" s="39"/>
      <c r="EW134" s="39"/>
      <c r="EX134" s="41" t="b">
        <f aca="false">TRUE()</f>
        <v>1</v>
      </c>
      <c r="EY134" s="39"/>
      <c r="EZ134" s="39"/>
      <c r="FA134" s="39"/>
      <c r="FB134" s="39"/>
      <c r="FC134" s="39"/>
      <c r="FD134" s="39"/>
      <c r="FE134" s="39"/>
      <c r="FF134" s="39"/>
      <c r="FG134" s="39"/>
      <c r="FH134" s="39"/>
      <c r="FI134" s="39"/>
      <c r="FJ134" s="39"/>
      <c r="FK134" s="39"/>
      <c r="FL134" s="39"/>
      <c r="FM134" s="39"/>
      <c r="FN134" s="39"/>
      <c r="FO134" s="39"/>
      <c r="FP134" s="39"/>
      <c r="FQ134" s="39"/>
      <c r="FR134" s="39"/>
      <c r="FS134" s="39"/>
      <c r="FT134" s="39"/>
      <c r="FU134" s="39"/>
      <c r="FV134" s="41" t="b">
        <f aca="false">TRUE()</f>
        <v>1</v>
      </c>
      <c r="FW134" s="39"/>
      <c r="FX134" s="39"/>
      <c r="FY134" s="39"/>
      <c r="FZ134" s="39"/>
      <c r="GA134" s="39"/>
      <c r="GB134" s="39"/>
      <c r="GC134" s="39"/>
      <c r="GD134" s="39"/>
      <c r="GE134" s="39"/>
      <c r="GF134" s="39"/>
      <c r="GG134" s="39"/>
      <c r="GH134" s="39"/>
      <c r="GI134" s="39"/>
      <c r="GJ134" s="39"/>
      <c r="GK134" s="39"/>
      <c r="GL134" s="39"/>
      <c r="GM134" s="39"/>
      <c r="GN134" s="39"/>
      <c r="GO134" s="39"/>
      <c r="GP134" s="39"/>
      <c r="GQ134" s="39"/>
      <c r="GR134" s="39"/>
      <c r="GS134" s="39"/>
      <c r="GT134" s="39"/>
      <c r="GU134" s="39"/>
      <c r="GV134" s="39"/>
      <c r="GW134" s="39"/>
      <c r="GX134" s="39"/>
      <c r="GY134" s="39"/>
      <c r="GZ134" s="39"/>
      <c r="HA134" s="41" t="b">
        <f aca="false">TRUE()</f>
        <v>1</v>
      </c>
      <c r="HB134" s="39"/>
      <c r="HC134" s="39"/>
      <c r="HD134" s="39"/>
      <c r="HE134" s="39"/>
      <c r="HF134" s="41" t="b">
        <f aca="false">TRUE()</f>
        <v>1</v>
      </c>
      <c r="HG134" s="41" t="b">
        <f aca="false">TRUE()</f>
        <v>1</v>
      </c>
      <c r="HH134" s="41" t="b">
        <f aca="false">TRUE()</f>
        <v>1</v>
      </c>
      <c r="HI134" s="41" t="b">
        <f aca="false">TRUE()</f>
        <v>1</v>
      </c>
      <c r="HJ134" s="41" t="b">
        <f aca="false">TRUE()</f>
        <v>1</v>
      </c>
      <c r="HK134" s="41" t="b">
        <f aca="false">TRUE()</f>
        <v>1</v>
      </c>
      <c r="HL134" s="39"/>
      <c r="HM134" s="39"/>
      <c r="HN134" s="39"/>
      <c r="HO134" s="39"/>
      <c r="HP134" s="41" t="b">
        <f aca="false">TRUE()</f>
        <v>1</v>
      </c>
      <c r="HQ134" s="39"/>
      <c r="HR134" s="39"/>
      <c r="HS134" s="39"/>
      <c r="HT134" s="39"/>
      <c r="HU134" s="39"/>
      <c r="HV134" s="39"/>
      <c r="HW134" s="39"/>
      <c r="HX134" s="39"/>
      <c r="HY134" s="39"/>
      <c r="HZ134" s="39"/>
      <c r="IA134" s="39"/>
      <c r="IB134" s="39"/>
      <c r="IC134" s="41" t="b">
        <f aca="false">TRUE()</f>
        <v>1</v>
      </c>
      <c r="ID134" s="39"/>
      <c r="IE134" s="39"/>
      <c r="IF134" s="39"/>
      <c r="IG134" s="39"/>
      <c r="IH134" s="39"/>
      <c r="II134" s="39"/>
      <c r="IJ134" s="39"/>
      <c r="IK134" s="39"/>
      <c r="IL134" s="39"/>
      <c r="IM134" s="39"/>
      <c r="IN134" s="39"/>
      <c r="IO134" s="39"/>
      <c r="IP134" s="39"/>
      <c r="IQ134" s="39"/>
      <c r="IR134" s="39"/>
      <c r="IS134" s="39"/>
      <c r="IT134" s="39"/>
      <c r="IU134" s="39"/>
      <c r="IV134" s="39"/>
      <c r="IW134" s="39"/>
      <c r="IX134" s="39"/>
      <c r="IY134" s="39"/>
      <c r="IZ134" s="39"/>
      <c r="JA134" s="39"/>
      <c r="JB134" s="39"/>
      <c r="JC134" s="39"/>
      <c r="JD134" s="39"/>
      <c r="JE134" s="39"/>
      <c r="JF134" s="39"/>
      <c r="JG134" s="39"/>
      <c r="JH134" s="39"/>
      <c r="JI134" s="39"/>
      <c r="JJ134" s="39"/>
      <c r="JK134" s="39"/>
      <c r="JL134" s="39"/>
      <c r="JM134" s="39"/>
      <c r="JN134" s="39"/>
      <c r="JO134" s="39"/>
      <c r="JP134" s="39"/>
      <c r="JQ134" s="39"/>
      <c r="JR134" s="39"/>
      <c r="JS134" s="39"/>
      <c r="JT134" s="41" t="b">
        <f aca="false">TRUE()</f>
        <v>1</v>
      </c>
      <c r="JU134" s="41" t="b">
        <f aca="false">TRUE()</f>
        <v>1</v>
      </c>
      <c r="JV134" s="39"/>
      <c r="JW134" s="39"/>
      <c r="JX134" s="39"/>
      <c r="JY134" s="39"/>
      <c r="JZ134" s="39"/>
      <c r="KA134" s="39"/>
      <c r="KB134" s="39"/>
      <c r="KC134" s="39"/>
      <c r="KD134" s="39"/>
      <c r="KE134" s="39"/>
      <c r="KF134" s="39"/>
      <c r="KG134" s="39"/>
      <c r="KH134" s="39"/>
      <c r="KI134" s="39"/>
      <c r="KJ134" s="39"/>
      <c r="KK134" s="39"/>
      <c r="KL134" s="39"/>
      <c r="KM134" s="39"/>
      <c r="KN134" s="39"/>
      <c r="KO134" s="39"/>
      <c r="KP134" s="41" t="b">
        <f aca="false">TRUE()</f>
        <v>1</v>
      </c>
      <c r="KQ134" s="39"/>
      <c r="KR134" s="39"/>
      <c r="KS134" s="39"/>
      <c r="KT134" s="41" t="b">
        <f aca="false">TRUE()</f>
        <v>1</v>
      </c>
      <c r="KU134" s="39"/>
    </row>
    <row r="135" customFormat="false" ht="14.4" hidden="false" customHeight="false" outlineLevel="0" collapsed="false">
      <c r="A135" s="37" t="s">
        <v>305</v>
      </c>
      <c r="B135" s="37" t="s">
        <v>3082</v>
      </c>
      <c r="C135" s="37"/>
      <c r="D135" s="37"/>
      <c r="E135" s="37"/>
      <c r="F135" s="37" t="s">
        <v>3083</v>
      </c>
      <c r="G135" s="37" t="s">
        <v>3084</v>
      </c>
      <c r="H135" s="37" t="s">
        <v>659</v>
      </c>
      <c r="I135" s="37" t="s">
        <v>310</v>
      </c>
      <c r="J135" s="37" t="s">
        <v>311</v>
      </c>
      <c r="K135" s="37"/>
      <c r="L135" s="37"/>
      <c r="M135" s="37"/>
      <c r="N135" s="37"/>
      <c r="O135" s="37" t="s">
        <v>3085</v>
      </c>
      <c r="P135" s="37" t="s">
        <v>3086</v>
      </c>
      <c r="Q135" s="37" t="s">
        <v>3087</v>
      </c>
      <c r="R135" s="37" t="s">
        <v>3088</v>
      </c>
      <c r="S135" s="37" t="s">
        <v>3089</v>
      </c>
      <c r="T135" s="37" t="s">
        <v>3090</v>
      </c>
      <c r="U135" s="37" t="s">
        <v>1403</v>
      </c>
      <c r="V135" s="37" t="s">
        <v>3091</v>
      </c>
      <c r="W135" s="37" t="s">
        <v>3092</v>
      </c>
      <c r="X135" s="37" t="s">
        <v>3093</v>
      </c>
      <c r="Y135" s="37" t="s">
        <v>3094</v>
      </c>
      <c r="Z135" s="37" t="s">
        <v>3095</v>
      </c>
      <c r="AA135" s="37" t="n">
        <v>91</v>
      </c>
      <c r="AB135" s="37" t="n">
        <v>0</v>
      </c>
      <c r="AC135" s="37" t="n">
        <v>0</v>
      </c>
      <c r="AD135" s="37" t="n">
        <v>24</v>
      </c>
      <c r="AE135" s="37" t="n">
        <v>24</v>
      </c>
      <c r="AF135" s="37" t="s">
        <v>672</v>
      </c>
      <c r="AG135" s="37" t="s">
        <v>673</v>
      </c>
      <c r="AH135" s="37" t="s">
        <v>674</v>
      </c>
      <c r="AI135" s="37" t="s">
        <v>675</v>
      </c>
      <c r="AJ135" s="37" t="s">
        <v>676</v>
      </c>
      <c r="AK135" s="37"/>
      <c r="AL135" s="37" t="s">
        <v>677</v>
      </c>
      <c r="AM135" s="37" t="s">
        <v>678</v>
      </c>
      <c r="AN135" s="37" t="s">
        <v>408</v>
      </c>
      <c r="AO135" s="37" t="n">
        <v>2024</v>
      </c>
      <c r="AP135" s="37" t="n">
        <v>60</v>
      </c>
      <c r="AQ135" s="37" t="n">
        <v>12</v>
      </c>
      <c r="AR135" s="37"/>
      <c r="AS135" s="37"/>
      <c r="AT135" s="37"/>
      <c r="AU135" s="37" t="s">
        <v>3096</v>
      </c>
      <c r="AV135" s="37" t="s">
        <v>3097</v>
      </c>
      <c r="AW135" s="37" t="str">
        <f aca="false">HYPERLINK("http://dx.doi.org/10.1029/2024WR037582","http://dx.doi.org/10.1029/2024WR037582")</f>
        <v>http://dx.doi.org/10.1029/2024WR037582</v>
      </c>
      <c r="AX135" s="37"/>
      <c r="AY135" s="37" t="n">
        <v>22</v>
      </c>
      <c r="AZ135" s="37" t="s">
        <v>681</v>
      </c>
      <c r="BA135" s="37" t="s">
        <v>331</v>
      </c>
      <c r="BB135" s="37" t="s">
        <v>682</v>
      </c>
      <c r="BC135" s="37" t="s">
        <v>3098</v>
      </c>
      <c r="BD135" s="37"/>
      <c r="BE135" s="37" t="s">
        <v>684</v>
      </c>
      <c r="BF135" s="37" t="s">
        <v>334</v>
      </c>
      <c r="BG135" s="37" t="s">
        <v>3099</v>
      </c>
      <c r="BH135" s="37" t="str">
        <f aca="false">HYPERLINK("https%3A%2F%2Fwww.webofscience.com%2Fwos%2Fwoscc%2Ffull-record%2FWOS:001377038300001","View Full Record in Web of Science")</f>
        <v>View Full Record in Web of Science</v>
      </c>
      <c r="BI135" s="39"/>
      <c r="BJ135" s="39"/>
      <c r="BK135" s="39"/>
      <c r="BL135" s="39"/>
      <c r="BM135" s="39"/>
      <c r="BN135" s="39"/>
      <c r="BO135" s="41" t="b">
        <f aca="false">TRUE()</f>
        <v>1</v>
      </c>
      <c r="BP135" s="39"/>
      <c r="BQ135" s="39"/>
      <c r="BR135" s="41" t="b">
        <f aca="false">TRUE()</f>
        <v>1</v>
      </c>
      <c r="BS135" s="39"/>
      <c r="BT135" s="39"/>
      <c r="BU135" s="39"/>
      <c r="BV135" s="39"/>
      <c r="BW135" s="39"/>
      <c r="BX135" s="39"/>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c r="EP135" s="39"/>
      <c r="EQ135" s="39"/>
      <c r="ER135" s="39"/>
      <c r="ES135" s="39"/>
      <c r="ET135" s="39"/>
      <c r="EU135" s="39"/>
      <c r="EV135" s="39"/>
      <c r="EW135" s="39"/>
      <c r="EX135" s="39"/>
      <c r="EY135" s="39"/>
      <c r="EZ135" s="39"/>
      <c r="FA135" s="39"/>
      <c r="FB135" s="41" t="b">
        <f aca="false">TRUE()</f>
        <v>1</v>
      </c>
      <c r="FC135" s="41" t="b">
        <f aca="false">TRUE()</f>
        <v>1</v>
      </c>
      <c r="FD135" s="39"/>
      <c r="FE135" s="39"/>
      <c r="FF135" s="39"/>
      <c r="FG135" s="39"/>
      <c r="FH135" s="39"/>
      <c r="FI135" s="39"/>
      <c r="FJ135" s="39"/>
      <c r="FK135" s="41" t="b">
        <f aca="false">TRUE()</f>
        <v>1</v>
      </c>
      <c r="FL135" s="39"/>
      <c r="FM135" s="39"/>
      <c r="FN135" s="39"/>
      <c r="FO135" s="39"/>
      <c r="FP135" s="39"/>
      <c r="FQ135" s="39"/>
      <c r="FR135" s="39"/>
      <c r="FS135" s="39"/>
      <c r="FT135" s="39"/>
      <c r="FU135" s="39"/>
      <c r="FV135" s="39"/>
      <c r="FW135" s="39"/>
      <c r="FX135" s="39"/>
      <c r="FY135" s="39"/>
      <c r="FZ135" s="39"/>
      <c r="GA135" s="39"/>
      <c r="GB135" s="39"/>
      <c r="GC135" s="39"/>
      <c r="GD135" s="39"/>
      <c r="GE135" s="39"/>
      <c r="GF135" s="39"/>
      <c r="GG135" s="39"/>
      <c r="GH135" s="39"/>
      <c r="GI135" s="39"/>
      <c r="GJ135" s="39"/>
      <c r="GK135" s="39"/>
      <c r="GL135" s="39"/>
      <c r="GM135" s="39"/>
      <c r="GN135" s="39"/>
      <c r="GO135" s="39"/>
      <c r="GP135" s="39"/>
      <c r="GQ135" s="39"/>
      <c r="GR135" s="39"/>
      <c r="GS135" s="39"/>
      <c r="GT135" s="39"/>
      <c r="GU135" s="39"/>
      <c r="GV135" s="39"/>
      <c r="GW135" s="39"/>
      <c r="GX135" s="39"/>
      <c r="GY135" s="39"/>
      <c r="GZ135" s="39"/>
      <c r="HA135" s="39"/>
      <c r="HB135" s="39"/>
      <c r="HC135" s="39"/>
      <c r="HD135" s="39"/>
      <c r="HE135" s="39"/>
      <c r="HF135" s="39"/>
      <c r="HG135" s="39"/>
      <c r="HH135" s="39"/>
      <c r="HI135" s="39"/>
      <c r="HJ135" s="39"/>
      <c r="HK135" s="39"/>
      <c r="HL135" s="39"/>
      <c r="HM135" s="39"/>
      <c r="HN135" s="41" t="b">
        <f aca="false">TRUE()</f>
        <v>1</v>
      </c>
      <c r="HO135" s="39"/>
      <c r="HP135" s="39"/>
      <c r="HQ135" s="39"/>
      <c r="HR135" s="39"/>
      <c r="HS135" s="39"/>
      <c r="HT135" s="39"/>
      <c r="HU135" s="39"/>
      <c r="HV135" s="39"/>
      <c r="HW135" s="39"/>
      <c r="HX135" s="39"/>
      <c r="HY135" s="39"/>
      <c r="HZ135" s="39"/>
      <c r="IA135" s="39"/>
      <c r="IB135" s="39"/>
      <c r="IC135" s="41" t="b">
        <f aca="false">TRUE()</f>
        <v>1</v>
      </c>
      <c r="ID135" s="39"/>
      <c r="IE135" s="39"/>
      <c r="IF135" s="39"/>
      <c r="IG135" s="39"/>
      <c r="IH135" s="39"/>
      <c r="II135" s="39"/>
      <c r="IJ135" s="39"/>
      <c r="IK135" s="39"/>
      <c r="IL135" s="39"/>
      <c r="IM135" s="39"/>
      <c r="IN135" s="39"/>
      <c r="IO135" s="39"/>
      <c r="IP135" s="39"/>
      <c r="IQ135" s="39"/>
      <c r="IR135" s="39"/>
      <c r="IS135" s="39"/>
      <c r="IT135" s="39"/>
      <c r="IU135" s="39"/>
      <c r="IV135" s="39"/>
      <c r="IW135" s="39"/>
      <c r="IX135" s="39"/>
      <c r="IY135" s="39"/>
      <c r="IZ135" s="39"/>
      <c r="JA135" s="39"/>
      <c r="JB135" s="39"/>
      <c r="JC135" s="39"/>
      <c r="JD135" s="39"/>
      <c r="JE135" s="39"/>
      <c r="JF135" s="39"/>
      <c r="JG135" s="39"/>
      <c r="JH135" s="39"/>
      <c r="JI135" s="39"/>
      <c r="JJ135" s="39"/>
      <c r="JK135" s="39"/>
      <c r="JL135" s="39"/>
      <c r="JM135" s="39"/>
      <c r="JN135" s="39"/>
      <c r="JO135" s="39"/>
      <c r="JP135" s="39"/>
      <c r="JQ135" s="39"/>
      <c r="JR135" s="39"/>
      <c r="JS135" s="39"/>
      <c r="JT135" s="41" t="b">
        <f aca="false">TRUE()</f>
        <v>1</v>
      </c>
      <c r="JU135" s="39"/>
      <c r="JV135" s="39"/>
      <c r="JW135" s="39"/>
      <c r="JX135" s="39"/>
      <c r="JY135" s="39"/>
      <c r="JZ135" s="39"/>
      <c r="KA135" s="39"/>
      <c r="KB135" s="39"/>
      <c r="KC135" s="39"/>
      <c r="KD135" s="39"/>
      <c r="KE135" s="39"/>
      <c r="KF135" s="39"/>
      <c r="KG135" s="39"/>
      <c r="KH135" s="39"/>
      <c r="KI135" s="39"/>
      <c r="KJ135" s="39"/>
      <c r="KK135" s="39"/>
      <c r="KL135" s="39"/>
      <c r="KM135" s="39"/>
      <c r="KN135" s="39"/>
      <c r="KO135" s="39"/>
      <c r="KP135" s="39"/>
      <c r="KQ135" s="41" t="b">
        <f aca="false">TRUE()</f>
        <v>1</v>
      </c>
      <c r="KR135" s="39"/>
      <c r="KS135" s="39"/>
      <c r="KT135" s="41" t="b">
        <f aca="false">TRUE()</f>
        <v>1</v>
      </c>
      <c r="KU135" s="39"/>
    </row>
    <row r="136" customFormat="false" ht="14.4" hidden="false" customHeight="false" outlineLevel="0" collapsed="false">
      <c r="A136" s="37" t="s">
        <v>305</v>
      </c>
      <c r="B136" s="37" t="s">
        <v>3100</v>
      </c>
      <c r="C136" s="37"/>
      <c r="D136" s="37"/>
      <c r="E136" s="37"/>
      <c r="F136" s="37" t="s">
        <v>3101</v>
      </c>
      <c r="G136" s="37" t="s">
        <v>3102</v>
      </c>
      <c r="H136" s="37" t="s">
        <v>810</v>
      </c>
      <c r="I136" s="37" t="s">
        <v>310</v>
      </c>
      <c r="J136" s="37" t="s">
        <v>2650</v>
      </c>
      <c r="K136" s="37"/>
      <c r="L136" s="37"/>
      <c r="M136" s="37"/>
      <c r="N136" s="37"/>
      <c r="O136" s="37" t="s">
        <v>3103</v>
      </c>
      <c r="P136" s="37" t="s">
        <v>3104</v>
      </c>
      <c r="Q136" s="37" t="s">
        <v>3105</v>
      </c>
      <c r="R136" s="37" t="s">
        <v>3106</v>
      </c>
      <c r="S136" s="37" t="s">
        <v>3107</v>
      </c>
      <c r="T136" s="37" t="s">
        <v>3108</v>
      </c>
      <c r="U136" s="37" t="s">
        <v>3109</v>
      </c>
      <c r="V136" s="37" t="s">
        <v>3110</v>
      </c>
      <c r="W136" s="37" t="s">
        <v>3111</v>
      </c>
      <c r="X136" s="37"/>
      <c r="Y136" s="37"/>
      <c r="Z136" s="37"/>
      <c r="AA136" s="37" t="n">
        <v>86</v>
      </c>
      <c r="AB136" s="37" t="n">
        <v>0</v>
      </c>
      <c r="AC136" s="37" t="n">
        <v>0</v>
      </c>
      <c r="AD136" s="37" t="n">
        <v>0</v>
      </c>
      <c r="AE136" s="37" t="n">
        <v>0</v>
      </c>
      <c r="AF136" s="37" t="s">
        <v>769</v>
      </c>
      <c r="AG136" s="37" t="s">
        <v>525</v>
      </c>
      <c r="AH136" s="37" t="s">
        <v>770</v>
      </c>
      <c r="AI136" s="37" t="s">
        <v>823</v>
      </c>
      <c r="AJ136" s="37" t="s">
        <v>824</v>
      </c>
      <c r="AK136" s="37"/>
      <c r="AL136" s="37" t="s">
        <v>825</v>
      </c>
      <c r="AM136" s="37" t="s">
        <v>826</v>
      </c>
      <c r="AN136" s="37" t="s">
        <v>3112</v>
      </c>
      <c r="AO136" s="37" t="n">
        <v>2025</v>
      </c>
      <c r="AP136" s="37"/>
      <c r="AQ136" s="37"/>
      <c r="AR136" s="37"/>
      <c r="AS136" s="37"/>
      <c r="AT136" s="37"/>
      <c r="AU136" s="37"/>
      <c r="AV136" s="37" t="s">
        <v>3113</v>
      </c>
      <c r="AW136" s="37" t="str">
        <f aca="false">HYPERLINK("http://dx.doi.org/10.1007/s00477-025-02938-w","http://dx.doi.org/10.1007/s00477-025-02938-w")</f>
        <v>http://dx.doi.org/10.1007/s00477-025-02938-w</v>
      </c>
      <c r="AX136" s="37" t="s">
        <v>3114</v>
      </c>
      <c r="AY136" s="37" t="n">
        <v>23</v>
      </c>
      <c r="AZ136" s="37" t="s">
        <v>829</v>
      </c>
      <c r="BA136" s="37" t="s">
        <v>331</v>
      </c>
      <c r="BB136" s="37" t="s">
        <v>830</v>
      </c>
      <c r="BC136" s="37" t="s">
        <v>3115</v>
      </c>
      <c r="BD136" s="37"/>
      <c r="BE136" s="37"/>
      <c r="BF136" s="37" t="s">
        <v>334</v>
      </c>
      <c r="BG136" s="37" t="s">
        <v>3116</v>
      </c>
      <c r="BH136" s="37" t="str">
        <f aca="false">HYPERLINK("https%3A%2F%2Fwww.webofscience.com%2Fwos%2Fwoscc%2Ffull-record%2FWOS:001437536600001","View Full Record in Web of Science")</f>
        <v>View Full Record in Web of Science</v>
      </c>
      <c r="BI136" s="39"/>
      <c r="BJ136" s="39"/>
      <c r="BK136" s="39"/>
      <c r="BL136" s="39"/>
      <c r="BM136" s="39"/>
      <c r="BN136" s="39"/>
      <c r="BO136" s="41" t="b">
        <f aca="false">TRUE()</f>
        <v>1</v>
      </c>
      <c r="BP136" s="41" t="b">
        <f aca="false">TRUE()</f>
        <v>1</v>
      </c>
      <c r="BQ136" s="39"/>
      <c r="BR136" s="41" t="b">
        <f aca="false">TRUE()</f>
        <v>1</v>
      </c>
      <c r="BS136" s="41" t="b">
        <f aca="false">TRUE()</f>
        <v>1</v>
      </c>
      <c r="BT136" s="39"/>
      <c r="BU136" s="39"/>
      <c r="BV136" s="39"/>
      <c r="BW136" s="39"/>
      <c r="BX136" s="39"/>
      <c r="BY136" s="39"/>
      <c r="BZ136" s="39"/>
      <c r="CA136" s="39"/>
      <c r="CB136" s="39"/>
      <c r="CC136" s="39"/>
      <c r="CD136" s="39"/>
      <c r="CE136" s="39"/>
      <c r="CF136" s="39"/>
      <c r="CG136" s="39"/>
      <c r="CH136" s="39"/>
      <c r="CI136" s="39"/>
      <c r="CJ136" s="39"/>
      <c r="CK136" s="39"/>
      <c r="CL136" s="39"/>
      <c r="CM136" s="39"/>
      <c r="CN136" s="39"/>
      <c r="CO136" s="39"/>
      <c r="CP136" s="39"/>
      <c r="CQ136" s="39"/>
      <c r="CR136" s="39"/>
      <c r="CS136" s="39"/>
      <c r="CT136" s="39"/>
      <c r="CU136" s="39"/>
      <c r="CV136" s="39"/>
      <c r="CW136" s="39"/>
      <c r="CX136" s="39"/>
      <c r="CY136" s="39"/>
      <c r="CZ136" s="39"/>
      <c r="DA136" s="39"/>
      <c r="DB136" s="39"/>
      <c r="DC136" s="39"/>
      <c r="DD136" s="39"/>
      <c r="DE136" s="39"/>
      <c r="DF136" s="39"/>
      <c r="DG136" s="39"/>
      <c r="DH136" s="39"/>
      <c r="DI136" s="39"/>
      <c r="DJ136" s="39"/>
      <c r="DK136" s="39"/>
      <c r="DL136" s="39"/>
      <c r="DM136" s="39"/>
      <c r="DN136" s="39"/>
      <c r="DO136" s="39"/>
      <c r="DP136" s="39"/>
      <c r="DQ136" s="39"/>
      <c r="DR136" s="39"/>
      <c r="DS136" s="39"/>
      <c r="DT136" s="39"/>
      <c r="DU136" s="41" t="b">
        <f aca="false">TRUE()</f>
        <v>1</v>
      </c>
      <c r="DV136" s="39"/>
      <c r="DW136" s="39"/>
      <c r="DX136" s="39"/>
      <c r="DY136" s="39"/>
      <c r="DZ136" s="39"/>
      <c r="EA136" s="41" t="b">
        <f aca="false">TRUE()</f>
        <v>1</v>
      </c>
      <c r="EB136" s="39"/>
      <c r="EC136" s="39"/>
      <c r="ED136" s="39"/>
      <c r="EE136" s="39"/>
      <c r="EF136" s="39"/>
      <c r="EG136" s="39"/>
      <c r="EH136" s="39"/>
      <c r="EI136" s="39"/>
      <c r="EJ136" s="39"/>
      <c r="EK136" s="39"/>
      <c r="EL136" s="39"/>
      <c r="EM136" s="39"/>
      <c r="EN136" s="39"/>
      <c r="EO136" s="39"/>
      <c r="EP136" s="39"/>
      <c r="EQ136" s="39"/>
      <c r="ER136" s="39"/>
      <c r="ES136" s="39"/>
      <c r="ET136" s="39"/>
      <c r="EU136" s="39"/>
      <c r="EV136" s="39"/>
      <c r="EW136" s="39"/>
      <c r="EX136" s="41" t="b">
        <f aca="false">TRUE()</f>
        <v>1</v>
      </c>
      <c r="EY136" s="41" t="b">
        <f aca="false">TRUE()</f>
        <v>1</v>
      </c>
      <c r="EZ136" s="39"/>
      <c r="FA136" s="39"/>
      <c r="FB136" s="39"/>
      <c r="FC136" s="41" t="b">
        <f aca="false">TRUE()</f>
        <v>1</v>
      </c>
      <c r="FD136" s="39"/>
      <c r="FE136" s="39"/>
      <c r="FF136" s="39"/>
      <c r="FG136" s="39"/>
      <c r="FH136" s="39"/>
      <c r="FI136" s="39"/>
      <c r="FJ136" s="39"/>
      <c r="FK136" s="41" t="b">
        <f aca="false">TRUE()</f>
        <v>1</v>
      </c>
      <c r="FL136" s="39"/>
      <c r="FM136" s="39"/>
      <c r="FN136" s="39"/>
      <c r="FO136" s="39"/>
      <c r="FP136" s="39"/>
      <c r="FQ136" s="39"/>
      <c r="FR136" s="39"/>
      <c r="FS136" s="39"/>
      <c r="FT136" s="39"/>
      <c r="FU136" s="39"/>
      <c r="FV136" s="39"/>
      <c r="FW136" s="39"/>
      <c r="FX136" s="39"/>
      <c r="FY136" s="39"/>
      <c r="FZ136" s="39"/>
      <c r="GA136" s="39"/>
      <c r="GB136" s="39"/>
      <c r="GC136" s="39"/>
      <c r="GD136" s="39"/>
      <c r="GE136" s="39"/>
      <c r="GF136" s="39"/>
      <c r="GG136" s="39"/>
      <c r="GH136" s="39"/>
      <c r="GI136" s="39"/>
      <c r="GJ136" s="39"/>
      <c r="GK136" s="39"/>
      <c r="GL136" s="39"/>
      <c r="GM136" s="39"/>
      <c r="GN136" s="39"/>
      <c r="GO136" s="39"/>
      <c r="GP136" s="39"/>
      <c r="GQ136" s="39"/>
      <c r="GR136" s="39"/>
      <c r="GS136" s="39"/>
      <c r="GT136" s="39"/>
      <c r="GU136" s="39"/>
      <c r="GV136" s="39"/>
      <c r="GW136" s="39"/>
      <c r="GX136" s="39"/>
      <c r="GY136" s="39"/>
      <c r="GZ136" s="39"/>
      <c r="HA136" s="39"/>
      <c r="HB136" s="39"/>
      <c r="HC136" s="39"/>
      <c r="HD136" s="39"/>
      <c r="HE136" s="39"/>
      <c r="HF136" s="39"/>
      <c r="HG136" s="39"/>
      <c r="HH136" s="39"/>
      <c r="HI136" s="39"/>
      <c r="HJ136" s="39"/>
      <c r="HK136" s="39"/>
      <c r="HL136" s="39"/>
      <c r="HM136" s="39"/>
      <c r="HN136" s="39"/>
      <c r="HO136" s="39"/>
      <c r="HP136" s="39"/>
      <c r="HQ136" s="39"/>
      <c r="HR136" s="39"/>
      <c r="HS136" s="39"/>
      <c r="HT136" s="39"/>
      <c r="HU136" s="39"/>
      <c r="HV136" s="39"/>
      <c r="HW136" s="39"/>
      <c r="HX136" s="41" t="b">
        <f aca="false">TRUE()</f>
        <v>1</v>
      </c>
      <c r="HY136" s="39"/>
      <c r="HZ136" s="39"/>
      <c r="IA136" s="39"/>
      <c r="IB136" s="39"/>
      <c r="IC136" s="39"/>
      <c r="ID136" s="39"/>
      <c r="IE136" s="39"/>
      <c r="IF136" s="39"/>
      <c r="IG136" s="39"/>
      <c r="IH136" s="39"/>
      <c r="II136" s="39"/>
      <c r="IJ136" s="39"/>
      <c r="IK136" s="39"/>
      <c r="IL136" s="39"/>
      <c r="IM136" s="39"/>
      <c r="IN136" s="39"/>
      <c r="IO136" s="39"/>
      <c r="IP136" s="39"/>
      <c r="IQ136" s="39"/>
      <c r="IR136" s="39"/>
      <c r="IS136" s="39"/>
      <c r="IT136" s="39"/>
      <c r="IU136" s="39"/>
      <c r="IV136" s="39"/>
      <c r="IW136" s="39"/>
      <c r="IX136" s="39"/>
      <c r="IY136" s="39"/>
      <c r="IZ136" s="39"/>
      <c r="JA136" s="39"/>
      <c r="JB136" s="39"/>
      <c r="JC136" s="39"/>
      <c r="JD136" s="39"/>
      <c r="JE136" s="39"/>
      <c r="JF136" s="39"/>
      <c r="JG136" s="39"/>
      <c r="JH136" s="39"/>
      <c r="JI136" s="39"/>
      <c r="JJ136" s="39"/>
      <c r="JK136" s="39"/>
      <c r="JL136" s="39"/>
      <c r="JM136" s="39"/>
      <c r="JN136" s="39"/>
      <c r="JO136" s="39"/>
      <c r="JP136" s="39"/>
      <c r="JQ136" s="39"/>
      <c r="JR136" s="39"/>
      <c r="JS136" s="39"/>
      <c r="JT136" s="41" t="b">
        <f aca="false">TRUE()</f>
        <v>1</v>
      </c>
      <c r="JU136" s="41" t="b">
        <f aca="false">TRUE()</f>
        <v>1</v>
      </c>
      <c r="JV136" s="39"/>
      <c r="JW136" s="39"/>
      <c r="JX136" s="39"/>
      <c r="JY136" s="39"/>
      <c r="JZ136" s="39"/>
      <c r="KA136" s="39"/>
      <c r="KB136" s="39"/>
      <c r="KC136" s="39"/>
      <c r="KD136" s="39"/>
      <c r="KE136" s="39"/>
      <c r="KF136" s="39"/>
      <c r="KG136" s="39"/>
      <c r="KH136" s="39"/>
      <c r="KI136" s="39"/>
      <c r="KJ136" s="39"/>
      <c r="KK136" s="39"/>
      <c r="KL136" s="39"/>
      <c r="KM136" s="39"/>
      <c r="KN136" s="39"/>
      <c r="KO136" s="39"/>
      <c r="KP136" s="39"/>
      <c r="KQ136" s="41" t="b">
        <f aca="false">TRUE()</f>
        <v>1</v>
      </c>
      <c r="KR136" s="39"/>
      <c r="KS136" s="39"/>
      <c r="KT136" s="41" t="b">
        <f aca="false">TRUE()</f>
        <v>1</v>
      </c>
      <c r="KU136" s="39"/>
    </row>
    <row r="137" customFormat="false" ht="14.4" hidden="false" customHeight="false" outlineLevel="0" collapsed="false">
      <c r="A137" s="37" t="s">
        <v>305</v>
      </c>
      <c r="B137" s="37" t="s">
        <v>3117</v>
      </c>
      <c r="C137" s="37"/>
      <c r="D137" s="37"/>
      <c r="E137" s="37"/>
      <c r="F137" s="37" t="s">
        <v>3118</v>
      </c>
      <c r="G137" s="37" t="s">
        <v>3119</v>
      </c>
      <c r="H137" s="37" t="s">
        <v>3120</v>
      </c>
      <c r="I137" s="37" t="s">
        <v>310</v>
      </c>
      <c r="J137" s="37" t="s">
        <v>311</v>
      </c>
      <c r="K137" s="37"/>
      <c r="L137" s="37"/>
      <c r="M137" s="37"/>
      <c r="N137" s="37"/>
      <c r="O137" s="37" t="s">
        <v>3121</v>
      </c>
      <c r="P137" s="37" t="s">
        <v>3122</v>
      </c>
      <c r="Q137" s="37" t="s">
        <v>3123</v>
      </c>
      <c r="R137" s="37" t="s">
        <v>3124</v>
      </c>
      <c r="S137" s="37" t="s">
        <v>3125</v>
      </c>
      <c r="T137" s="37" t="s">
        <v>3126</v>
      </c>
      <c r="U137" s="37" t="s">
        <v>3127</v>
      </c>
      <c r="V137" s="37" t="s">
        <v>3128</v>
      </c>
      <c r="W137" s="37" t="s">
        <v>3129</v>
      </c>
      <c r="X137" s="37" t="s">
        <v>3130</v>
      </c>
      <c r="Y137" s="37" t="s">
        <v>3131</v>
      </c>
      <c r="Z137" s="37" t="s">
        <v>3132</v>
      </c>
      <c r="AA137" s="37" t="n">
        <v>36</v>
      </c>
      <c r="AB137" s="37" t="n">
        <v>3</v>
      </c>
      <c r="AC137" s="37" t="n">
        <v>4</v>
      </c>
      <c r="AD137" s="37" t="n">
        <v>0</v>
      </c>
      <c r="AE137" s="37" t="n">
        <v>6</v>
      </c>
      <c r="AF137" s="37" t="s">
        <v>546</v>
      </c>
      <c r="AG137" s="37" t="s">
        <v>547</v>
      </c>
      <c r="AH137" s="37" t="s">
        <v>548</v>
      </c>
      <c r="AI137" s="37"/>
      <c r="AJ137" s="37" t="s">
        <v>3133</v>
      </c>
      <c r="AK137" s="37"/>
      <c r="AL137" s="37" t="s">
        <v>3134</v>
      </c>
      <c r="AM137" s="37" t="s">
        <v>3135</v>
      </c>
      <c r="AN137" s="37" t="s">
        <v>942</v>
      </c>
      <c r="AO137" s="37" t="n">
        <v>2019</v>
      </c>
      <c r="AP137" s="37" t="n">
        <v>3</v>
      </c>
      <c r="AQ137" s="37" t="n">
        <v>2</v>
      </c>
      <c r="AR137" s="37"/>
      <c r="AS137" s="37"/>
      <c r="AT137" s="37"/>
      <c r="AU137" s="37" t="n">
        <v>30</v>
      </c>
      <c r="AV137" s="37" t="s">
        <v>3136</v>
      </c>
      <c r="AW137" s="37" t="str">
        <f aca="false">HYPERLINK("http://dx.doi.org/10.3390/soilsystems3020030","http://dx.doi.org/10.3390/soilsystems3020030")</f>
        <v>http://dx.doi.org/10.3390/soilsystems3020030</v>
      </c>
      <c r="AX137" s="37"/>
      <c r="AY137" s="37" t="n">
        <v>16</v>
      </c>
      <c r="AZ137" s="37" t="s">
        <v>3137</v>
      </c>
      <c r="BA137" s="37" t="s">
        <v>575</v>
      </c>
      <c r="BB137" s="37" t="s">
        <v>553</v>
      </c>
      <c r="BC137" s="37" t="s">
        <v>3138</v>
      </c>
      <c r="BD137" s="37"/>
      <c r="BE137" s="37" t="s">
        <v>636</v>
      </c>
      <c r="BF137" s="37" t="s">
        <v>334</v>
      </c>
      <c r="BG137" s="37" t="s">
        <v>3139</v>
      </c>
      <c r="BH137" s="37" t="str">
        <f aca="false">HYPERLINK("https%3A%2F%2Fwww.webofscience.com%2Fwos%2Fwoscc%2Ffull-record%2FWOS:000492984600016","View Full Record in Web of Science")</f>
        <v>View Full Record in Web of Science</v>
      </c>
      <c r="BI137" s="39"/>
      <c r="BJ137" s="39"/>
      <c r="BK137" s="39"/>
      <c r="BL137" s="39"/>
      <c r="BM137" s="39"/>
      <c r="BN137" s="39"/>
      <c r="BO137" s="39"/>
      <c r="BP137" s="39"/>
      <c r="BQ137" s="39"/>
      <c r="BR137" s="39"/>
      <c r="BS137" s="39"/>
      <c r="BT137" s="39"/>
      <c r="BU137" s="39"/>
      <c r="BV137" s="39"/>
      <c r="BW137" s="39"/>
      <c r="BX137" s="39"/>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41" t="b">
        <f aca="false">TRUE()</f>
        <v>1</v>
      </c>
      <c r="DJ137" s="39"/>
      <c r="DK137" s="39"/>
      <c r="DL137" s="39"/>
      <c r="DM137" s="39"/>
      <c r="DN137" s="39"/>
      <c r="DO137" s="39"/>
      <c r="DP137" s="39"/>
      <c r="DQ137" s="39"/>
      <c r="DR137" s="39"/>
      <c r="DS137" s="39"/>
      <c r="DT137" s="41" t="b">
        <f aca="false">TRUE()</f>
        <v>1</v>
      </c>
      <c r="DU137" s="39"/>
      <c r="DV137" s="39"/>
      <c r="DW137" s="39"/>
      <c r="DX137" s="39"/>
      <c r="DY137" s="39"/>
      <c r="DZ137" s="39"/>
      <c r="EA137" s="41" t="b">
        <f aca="false">TRUE()</f>
        <v>1</v>
      </c>
      <c r="EB137" s="39"/>
      <c r="EC137" s="39"/>
      <c r="ED137" s="39"/>
      <c r="EE137" s="39"/>
      <c r="EF137" s="39"/>
      <c r="EG137" s="39"/>
      <c r="EH137" s="39"/>
      <c r="EI137" s="39"/>
      <c r="EJ137" s="39"/>
      <c r="EK137" s="39"/>
      <c r="EL137" s="39"/>
      <c r="EM137" s="39"/>
      <c r="EN137" s="39"/>
      <c r="EO137" s="39"/>
      <c r="EP137" s="39"/>
      <c r="EQ137" s="39"/>
      <c r="ER137" s="39"/>
      <c r="ES137" s="39"/>
      <c r="ET137" s="39"/>
      <c r="EU137" s="39"/>
      <c r="EV137" s="39"/>
      <c r="EW137" s="39"/>
      <c r="EX137" s="39"/>
      <c r="EY137" s="41" t="b">
        <f aca="false">TRUE()</f>
        <v>1</v>
      </c>
      <c r="EZ137" s="39"/>
      <c r="FA137" s="39"/>
      <c r="FB137" s="39"/>
      <c r="FC137" s="39"/>
      <c r="FD137" s="39"/>
      <c r="FE137" s="39"/>
      <c r="FF137" s="39"/>
      <c r="FG137" s="39"/>
      <c r="FH137" s="39"/>
      <c r="FI137" s="39"/>
      <c r="FJ137" s="39"/>
      <c r="FK137" s="39"/>
      <c r="FL137" s="39"/>
      <c r="FM137" s="39"/>
      <c r="FN137" s="39"/>
      <c r="FO137" s="39"/>
      <c r="FP137" s="39"/>
      <c r="FQ137" s="39"/>
      <c r="FR137" s="39"/>
      <c r="FS137" s="39"/>
      <c r="FT137" s="39"/>
      <c r="FU137" s="39"/>
      <c r="FV137" s="39"/>
      <c r="FW137" s="39"/>
      <c r="FX137" s="39"/>
      <c r="FY137" s="39"/>
      <c r="FZ137" s="39"/>
      <c r="GA137" s="39"/>
      <c r="GB137" s="39"/>
      <c r="GC137" s="39"/>
      <c r="GD137" s="39"/>
      <c r="GE137" s="39"/>
      <c r="GF137" s="39"/>
      <c r="GG137" s="39"/>
      <c r="GH137" s="39"/>
      <c r="GI137" s="39"/>
      <c r="GJ137" s="39"/>
      <c r="GK137" s="39"/>
      <c r="GL137" s="39"/>
      <c r="GM137" s="39"/>
      <c r="GN137" s="39"/>
      <c r="GO137" s="39"/>
      <c r="GP137" s="39"/>
      <c r="GQ137" s="39"/>
      <c r="GR137" s="39"/>
      <c r="GS137" s="39"/>
      <c r="GT137" s="39"/>
      <c r="GU137" s="39"/>
      <c r="GV137" s="39"/>
      <c r="GW137" s="39"/>
      <c r="GX137" s="39"/>
      <c r="GY137" s="39"/>
      <c r="GZ137" s="39"/>
      <c r="HA137" s="39"/>
      <c r="HB137" s="39"/>
      <c r="HC137" s="39"/>
      <c r="HD137" s="39"/>
      <c r="HE137" s="39"/>
      <c r="HF137" s="39"/>
      <c r="HG137" s="39"/>
      <c r="HH137" s="39"/>
      <c r="HI137" s="39"/>
      <c r="HJ137" s="39"/>
      <c r="HK137" s="39"/>
      <c r="HL137" s="39"/>
      <c r="HM137" s="39"/>
      <c r="HN137" s="39"/>
      <c r="HO137" s="39"/>
      <c r="HP137" s="39"/>
      <c r="HQ137" s="39"/>
      <c r="HR137" s="39"/>
      <c r="HS137" s="39"/>
      <c r="HT137" s="39"/>
      <c r="HU137" s="39"/>
      <c r="HV137" s="39"/>
      <c r="HW137" s="39"/>
      <c r="HX137" s="39"/>
      <c r="HY137" s="39"/>
      <c r="HZ137" s="39"/>
      <c r="IA137" s="39"/>
      <c r="IB137" s="39"/>
      <c r="IC137" s="39"/>
      <c r="ID137" s="39"/>
      <c r="IE137" s="39"/>
      <c r="IF137" s="39"/>
      <c r="IG137" s="39"/>
      <c r="IH137" s="39"/>
      <c r="II137" s="39"/>
      <c r="IJ137" s="39"/>
      <c r="IK137" s="39"/>
      <c r="IL137" s="39"/>
      <c r="IM137" s="39"/>
      <c r="IN137" s="39"/>
      <c r="IO137" s="39"/>
      <c r="IP137" s="39"/>
      <c r="IQ137" s="39"/>
      <c r="IR137" s="39"/>
      <c r="IS137" s="39"/>
      <c r="IT137" s="39"/>
      <c r="IU137" s="39"/>
      <c r="IV137" s="39"/>
      <c r="IW137" s="39"/>
      <c r="IX137" s="39"/>
      <c r="IY137" s="39"/>
      <c r="IZ137" s="39"/>
      <c r="JA137" s="39"/>
      <c r="JB137" s="39"/>
      <c r="JC137" s="39"/>
      <c r="JD137" s="41" t="b">
        <f aca="false">TRUE()</f>
        <v>1</v>
      </c>
      <c r="JE137" s="39"/>
      <c r="JF137" s="39"/>
      <c r="JG137" s="39"/>
      <c r="JH137" s="39"/>
      <c r="JI137" s="39"/>
      <c r="JJ137" s="39"/>
      <c r="JK137" s="39"/>
      <c r="JL137" s="39"/>
      <c r="JM137" s="39"/>
      <c r="JN137" s="39"/>
      <c r="JO137" s="39"/>
      <c r="JP137" s="39"/>
      <c r="JQ137" s="39"/>
      <c r="JR137" s="39"/>
      <c r="JS137" s="39"/>
      <c r="JT137" s="41" t="b">
        <f aca="false">TRUE()</f>
        <v>1</v>
      </c>
      <c r="JU137" s="41" t="b">
        <f aca="false">TRUE()</f>
        <v>1</v>
      </c>
      <c r="JV137" s="39"/>
      <c r="JW137" s="39"/>
      <c r="JX137" s="39"/>
      <c r="JY137" s="39"/>
      <c r="JZ137" s="39"/>
      <c r="KA137" s="39"/>
      <c r="KB137" s="39"/>
      <c r="KC137" s="39"/>
      <c r="KD137" s="39"/>
      <c r="KE137" s="39"/>
      <c r="KF137" s="39"/>
      <c r="KG137" s="39"/>
      <c r="KH137" s="39"/>
      <c r="KI137" s="39"/>
      <c r="KJ137" s="39"/>
      <c r="KK137" s="39"/>
      <c r="KL137" s="39"/>
      <c r="KM137" s="39"/>
      <c r="KN137" s="39"/>
      <c r="KO137" s="39"/>
      <c r="KP137" s="41" t="b">
        <f aca="false">TRUE()</f>
        <v>1</v>
      </c>
      <c r="KQ137" s="41" t="b">
        <f aca="false">TRUE()</f>
        <v>1</v>
      </c>
      <c r="KR137" s="39"/>
      <c r="KS137" s="39"/>
      <c r="KT137" s="41" t="b">
        <f aca="false">TRUE()</f>
        <v>1</v>
      </c>
      <c r="KU137" s="39"/>
    </row>
    <row r="138" customFormat="false" ht="14.4" hidden="false" customHeight="false" outlineLevel="0" collapsed="false">
      <c r="A138" s="37" t="s">
        <v>305</v>
      </c>
      <c r="B138" s="37" t="s">
        <v>3140</v>
      </c>
      <c r="C138" s="37"/>
      <c r="D138" s="37"/>
      <c r="E138" s="37"/>
      <c r="F138" s="37" t="s">
        <v>3141</v>
      </c>
      <c r="G138" s="37" t="s">
        <v>3142</v>
      </c>
      <c r="H138" s="37" t="s">
        <v>536</v>
      </c>
      <c r="I138" s="37" t="s">
        <v>310</v>
      </c>
      <c r="J138" s="37" t="s">
        <v>311</v>
      </c>
      <c r="K138" s="37"/>
      <c r="L138" s="37"/>
      <c r="M138" s="37"/>
      <c r="N138" s="37"/>
      <c r="O138" s="37" t="s">
        <v>3143</v>
      </c>
      <c r="P138" s="37" t="s">
        <v>3144</v>
      </c>
      <c r="Q138" s="37" t="s">
        <v>3145</v>
      </c>
      <c r="R138" s="37" t="s">
        <v>3146</v>
      </c>
      <c r="S138" s="37" t="s">
        <v>3147</v>
      </c>
      <c r="T138" s="37" t="s">
        <v>3148</v>
      </c>
      <c r="U138" s="37" t="s">
        <v>3149</v>
      </c>
      <c r="V138" s="37"/>
      <c r="W138" s="37"/>
      <c r="X138" s="37" t="s">
        <v>3150</v>
      </c>
      <c r="Y138" s="37" t="s">
        <v>3151</v>
      </c>
      <c r="Z138" s="37" t="s">
        <v>3152</v>
      </c>
      <c r="AA138" s="37" t="n">
        <v>67</v>
      </c>
      <c r="AB138" s="37" t="n">
        <v>1</v>
      </c>
      <c r="AC138" s="37" t="n">
        <v>1</v>
      </c>
      <c r="AD138" s="37" t="n">
        <v>26</v>
      </c>
      <c r="AE138" s="37" t="n">
        <v>26</v>
      </c>
      <c r="AF138" s="37" t="s">
        <v>546</v>
      </c>
      <c r="AG138" s="37" t="s">
        <v>547</v>
      </c>
      <c r="AH138" s="37" t="s">
        <v>548</v>
      </c>
      <c r="AI138" s="37"/>
      <c r="AJ138" s="37" t="s">
        <v>549</v>
      </c>
      <c r="AK138" s="37"/>
      <c r="AL138" s="37" t="s">
        <v>536</v>
      </c>
      <c r="AM138" s="37" t="s">
        <v>550</v>
      </c>
      <c r="AN138" s="37" t="s">
        <v>132</v>
      </c>
      <c r="AO138" s="37" t="n">
        <v>2024</v>
      </c>
      <c r="AP138" s="37" t="n">
        <v>14</v>
      </c>
      <c r="AQ138" s="37" t="n">
        <v>9</v>
      </c>
      <c r="AR138" s="37"/>
      <c r="AS138" s="37"/>
      <c r="AT138" s="37"/>
      <c r="AU138" s="37" t="n">
        <v>1556</v>
      </c>
      <c r="AV138" s="37" t="s">
        <v>3153</v>
      </c>
      <c r="AW138" s="37" t="str">
        <f aca="false">HYPERLINK("http://dx.doi.org/10.3390/agriculture14091556","http://dx.doi.org/10.3390/agriculture14091556")</f>
        <v>http://dx.doi.org/10.3390/agriculture14091556</v>
      </c>
      <c r="AX138" s="37"/>
      <c r="AY138" s="37" t="n">
        <v>22</v>
      </c>
      <c r="AZ138" s="37" t="s">
        <v>552</v>
      </c>
      <c r="BA138" s="37" t="s">
        <v>331</v>
      </c>
      <c r="BB138" s="37" t="s">
        <v>553</v>
      </c>
      <c r="BC138" s="37" t="s">
        <v>3154</v>
      </c>
      <c r="BD138" s="37"/>
      <c r="BE138" s="37" t="s">
        <v>503</v>
      </c>
      <c r="BF138" s="37" t="s">
        <v>334</v>
      </c>
      <c r="BG138" s="37" t="s">
        <v>3155</v>
      </c>
      <c r="BH138" s="37" t="str">
        <f aca="false">HYPERLINK("https%3A%2F%2Fwww.webofscience.com%2Fwos%2Fwoscc%2Ffull-record%2FWOS:001326272800001","View Full Record in Web of Science")</f>
        <v>View Full Record in Web of Science</v>
      </c>
      <c r="BI138" s="39"/>
      <c r="BJ138" s="39"/>
      <c r="BK138" s="39"/>
      <c r="BL138" s="39"/>
      <c r="BM138" s="39"/>
      <c r="BN138" s="39"/>
      <c r="BO138" s="39"/>
      <c r="BP138" s="39"/>
      <c r="BQ138" s="39"/>
      <c r="BR138" s="39"/>
      <c r="BS138" s="39"/>
      <c r="BT138" s="39"/>
      <c r="BU138" s="41" t="b">
        <f aca="false">TRUE()</f>
        <v>1</v>
      </c>
      <c r="BV138" s="39"/>
      <c r="BW138" s="39"/>
      <c r="BX138" s="39"/>
      <c r="BY138" s="41" t="b">
        <f aca="false">TRUE()</f>
        <v>1</v>
      </c>
      <c r="BZ138" s="39"/>
      <c r="CA138" s="39"/>
      <c r="CB138" s="39"/>
      <c r="CC138" s="39"/>
      <c r="CD138" s="39"/>
      <c r="CE138" s="39"/>
      <c r="CF138" s="39"/>
      <c r="CG138" s="39"/>
      <c r="CH138" s="39"/>
      <c r="CI138" s="39"/>
      <c r="CJ138" s="39"/>
      <c r="CK138" s="39"/>
      <c r="CL138" s="39"/>
      <c r="CM138" s="39"/>
      <c r="CN138" s="39"/>
      <c r="CO138" s="39"/>
      <c r="CP138" s="39"/>
      <c r="CQ138" s="39"/>
      <c r="CR138" s="39"/>
      <c r="CS138" s="39"/>
      <c r="CT138" s="39"/>
      <c r="CU138" s="39"/>
      <c r="CV138" s="39"/>
      <c r="CW138" s="39"/>
      <c r="CX138" s="39"/>
      <c r="CY138" s="39"/>
      <c r="CZ138" s="39"/>
      <c r="DA138" s="39"/>
      <c r="DB138" s="39"/>
      <c r="DC138" s="39"/>
      <c r="DD138" s="39"/>
      <c r="DE138" s="39"/>
      <c r="DF138" s="39"/>
      <c r="DG138" s="39"/>
      <c r="DH138" s="39"/>
      <c r="DI138" s="39"/>
      <c r="DJ138" s="39"/>
      <c r="DK138" s="39"/>
      <c r="DL138" s="39"/>
      <c r="DM138" s="39"/>
      <c r="DN138" s="39"/>
      <c r="DO138" s="39"/>
      <c r="DP138" s="39"/>
      <c r="DQ138" s="39"/>
      <c r="DR138" s="39"/>
      <c r="DS138" s="39"/>
      <c r="DT138" s="39"/>
      <c r="DU138" s="39"/>
      <c r="DV138" s="39"/>
      <c r="DW138" s="39"/>
      <c r="DX138" s="39"/>
      <c r="DY138" s="39"/>
      <c r="DZ138" s="39"/>
      <c r="EA138" s="41" t="b">
        <f aca="false">TRUE()</f>
        <v>1</v>
      </c>
      <c r="EB138" s="39"/>
      <c r="EC138" s="39"/>
      <c r="ED138" s="39"/>
      <c r="EE138" s="39"/>
      <c r="EF138" s="39"/>
      <c r="EG138" s="39"/>
      <c r="EH138" s="39"/>
      <c r="EI138" s="41" t="b">
        <f aca="false">TRUE()</f>
        <v>1</v>
      </c>
      <c r="EJ138" s="39"/>
      <c r="EK138" s="39"/>
      <c r="EL138" s="39"/>
      <c r="EM138" s="39"/>
      <c r="EN138" s="41" t="b">
        <f aca="false">TRUE()</f>
        <v>1</v>
      </c>
      <c r="EO138" s="39"/>
      <c r="EP138" s="39"/>
      <c r="EQ138" s="39"/>
      <c r="ER138" s="39"/>
      <c r="ES138" s="39"/>
      <c r="ET138" s="39"/>
      <c r="EU138" s="39"/>
      <c r="EV138" s="39"/>
      <c r="EW138" s="39"/>
      <c r="EX138" s="39"/>
      <c r="EY138" s="41" t="b">
        <f aca="false">TRUE()</f>
        <v>1</v>
      </c>
      <c r="EZ138" s="39"/>
      <c r="FA138" s="39"/>
      <c r="FB138" s="39"/>
      <c r="FC138" s="39"/>
      <c r="FD138" s="39"/>
      <c r="FE138" s="39"/>
      <c r="FF138" s="39"/>
      <c r="FG138" s="39"/>
      <c r="FH138" s="39"/>
      <c r="FI138" s="39"/>
      <c r="FJ138" s="39"/>
      <c r="FK138" s="39"/>
      <c r="FL138" s="39"/>
      <c r="FM138" s="39"/>
      <c r="FN138" s="39"/>
      <c r="FO138" s="39"/>
      <c r="FP138" s="39"/>
      <c r="FQ138" s="39"/>
      <c r="FR138" s="39"/>
      <c r="FS138" s="39"/>
      <c r="FT138" s="39"/>
      <c r="FU138" s="39"/>
      <c r="FV138" s="39"/>
      <c r="FW138" s="39"/>
      <c r="FX138" s="39"/>
      <c r="FY138" s="39"/>
      <c r="FZ138" s="39"/>
      <c r="GA138" s="39"/>
      <c r="GB138" s="39"/>
      <c r="GC138" s="39"/>
      <c r="GD138" s="39"/>
      <c r="GE138" s="39"/>
      <c r="GF138" s="39"/>
      <c r="GG138" s="39"/>
      <c r="GH138" s="39"/>
      <c r="GI138" s="39"/>
      <c r="GJ138" s="39"/>
      <c r="GK138" s="41" t="b">
        <f aca="false">TRUE()</f>
        <v>1</v>
      </c>
      <c r="GL138" s="39"/>
      <c r="GM138" s="39"/>
      <c r="GN138" s="39"/>
      <c r="GO138" s="39"/>
      <c r="GP138" s="39"/>
      <c r="GQ138" s="39"/>
      <c r="GR138" s="39"/>
      <c r="GS138" s="39"/>
      <c r="GT138" s="39"/>
      <c r="GU138" s="39"/>
      <c r="GV138" s="39"/>
      <c r="GW138" s="39"/>
      <c r="GX138" s="39"/>
      <c r="GY138" s="39"/>
      <c r="GZ138" s="39"/>
      <c r="HA138" s="39"/>
      <c r="HB138" s="39"/>
      <c r="HC138" s="39"/>
      <c r="HD138" s="39"/>
      <c r="HE138" s="39"/>
      <c r="HF138" s="39"/>
      <c r="HG138" s="39"/>
      <c r="HH138" s="39"/>
      <c r="HI138" s="39"/>
      <c r="HJ138" s="39"/>
      <c r="HK138" s="41" t="b">
        <f aca="false">TRUE()</f>
        <v>1</v>
      </c>
      <c r="HL138" s="39"/>
      <c r="HM138" s="39"/>
      <c r="HN138" s="39"/>
      <c r="HO138" s="39"/>
      <c r="HP138" s="39"/>
      <c r="HQ138" s="39"/>
      <c r="HR138" s="39"/>
      <c r="HS138" s="39"/>
      <c r="HT138" s="39"/>
      <c r="HU138" s="39"/>
      <c r="HV138" s="39"/>
      <c r="HW138" s="39"/>
      <c r="HX138" s="39"/>
      <c r="HY138" s="39"/>
      <c r="HZ138" s="39"/>
      <c r="IA138" s="39"/>
      <c r="IB138" s="39"/>
      <c r="IC138" s="39"/>
      <c r="ID138" s="41" t="b">
        <f aca="false">TRUE()</f>
        <v>1</v>
      </c>
      <c r="IE138" s="39"/>
      <c r="IF138" s="39"/>
      <c r="IG138" s="39"/>
      <c r="IH138" s="39"/>
      <c r="II138" s="39"/>
      <c r="IJ138" s="39"/>
      <c r="IK138" s="39"/>
      <c r="IL138" s="39"/>
      <c r="IM138" s="39"/>
      <c r="IN138" s="39"/>
      <c r="IO138" s="39"/>
      <c r="IP138" s="39"/>
      <c r="IQ138" s="39"/>
      <c r="IR138" s="39"/>
      <c r="IS138" s="39"/>
      <c r="IT138" s="39"/>
      <c r="IU138" s="39"/>
      <c r="IV138" s="39"/>
      <c r="IW138" s="39"/>
      <c r="IX138" s="39"/>
      <c r="IY138" s="39"/>
      <c r="IZ138" s="39"/>
      <c r="JA138" s="39"/>
      <c r="JB138" s="39"/>
      <c r="JC138" s="39"/>
      <c r="JD138" s="39"/>
      <c r="JE138" s="39"/>
      <c r="JF138" s="39"/>
      <c r="JG138" s="39"/>
      <c r="JH138" s="39"/>
      <c r="JI138" s="39"/>
      <c r="JJ138" s="39"/>
      <c r="JK138" s="39"/>
      <c r="JL138" s="39"/>
      <c r="JM138" s="39"/>
      <c r="JN138" s="39"/>
      <c r="JO138" s="39"/>
      <c r="JP138" s="39"/>
      <c r="JQ138" s="39"/>
      <c r="JR138" s="39"/>
      <c r="JS138" s="39"/>
      <c r="JT138" s="41" t="b">
        <f aca="false">TRUE()</f>
        <v>1</v>
      </c>
      <c r="JU138" s="39"/>
      <c r="JV138" s="39"/>
      <c r="JW138" s="39"/>
      <c r="JX138" s="39"/>
      <c r="JY138" s="41" t="b">
        <f aca="false">TRUE()</f>
        <v>1</v>
      </c>
      <c r="JZ138" s="39"/>
      <c r="KA138" s="39"/>
      <c r="KB138" s="39"/>
      <c r="KC138" s="39"/>
      <c r="KD138" s="39"/>
      <c r="KE138" s="39"/>
      <c r="KF138" s="39"/>
      <c r="KG138" s="39"/>
      <c r="KH138" s="39"/>
      <c r="KI138" s="39"/>
      <c r="KJ138" s="39"/>
      <c r="KK138" s="39"/>
      <c r="KL138" s="39"/>
      <c r="KM138" s="39"/>
      <c r="KN138" s="39"/>
      <c r="KO138" s="39"/>
      <c r="KP138" s="39"/>
      <c r="KQ138" s="41" t="b">
        <f aca="false">TRUE()</f>
        <v>1</v>
      </c>
      <c r="KR138" s="41" t="b">
        <f aca="false">TRUE()</f>
        <v>1</v>
      </c>
      <c r="KS138" s="39"/>
      <c r="KT138" s="41" t="b">
        <f aca="false">TRUE()</f>
        <v>1</v>
      </c>
      <c r="KU138" s="39"/>
    </row>
    <row r="139" customFormat="false" ht="14.4" hidden="false" customHeight="false" outlineLevel="0" collapsed="false">
      <c r="A139" s="37" t="s">
        <v>305</v>
      </c>
      <c r="B139" s="37" t="s">
        <v>3156</v>
      </c>
      <c r="C139" s="37"/>
      <c r="D139" s="37"/>
      <c r="E139" s="37"/>
      <c r="F139" s="37" t="s">
        <v>3157</v>
      </c>
      <c r="G139" s="37" t="s">
        <v>3158</v>
      </c>
      <c r="H139" s="37" t="s">
        <v>3159</v>
      </c>
      <c r="I139" s="37" t="s">
        <v>310</v>
      </c>
      <c r="J139" s="37" t="s">
        <v>311</v>
      </c>
      <c r="K139" s="37"/>
      <c r="L139" s="37"/>
      <c r="M139" s="37"/>
      <c r="N139" s="37"/>
      <c r="O139" s="37" t="s">
        <v>3160</v>
      </c>
      <c r="P139" s="37" t="s">
        <v>3161</v>
      </c>
      <c r="Q139" s="37" t="s">
        <v>3162</v>
      </c>
      <c r="R139" s="37" t="s">
        <v>3163</v>
      </c>
      <c r="S139" s="37" t="s">
        <v>3164</v>
      </c>
      <c r="T139" s="37" t="s">
        <v>3165</v>
      </c>
      <c r="U139" s="37" t="s">
        <v>3166</v>
      </c>
      <c r="V139" s="37" t="s">
        <v>3167</v>
      </c>
      <c r="W139" s="37" t="s">
        <v>3168</v>
      </c>
      <c r="X139" s="37" t="s">
        <v>3169</v>
      </c>
      <c r="Y139" s="37" t="s">
        <v>3170</v>
      </c>
      <c r="Z139" s="37" t="s">
        <v>3171</v>
      </c>
      <c r="AA139" s="37" t="n">
        <v>78</v>
      </c>
      <c r="AB139" s="37" t="n">
        <v>3</v>
      </c>
      <c r="AC139" s="37" t="n">
        <v>3</v>
      </c>
      <c r="AD139" s="37" t="n">
        <v>22</v>
      </c>
      <c r="AE139" s="37" t="n">
        <v>49</v>
      </c>
      <c r="AF139" s="37" t="s">
        <v>769</v>
      </c>
      <c r="AG139" s="37" t="s">
        <v>525</v>
      </c>
      <c r="AH139" s="37" t="s">
        <v>770</v>
      </c>
      <c r="AI139" s="37" t="s">
        <v>3172</v>
      </c>
      <c r="AJ139" s="37" t="s">
        <v>3173</v>
      </c>
      <c r="AK139" s="37"/>
      <c r="AL139" s="37" t="s">
        <v>3174</v>
      </c>
      <c r="AM139" s="37" t="s">
        <v>3175</v>
      </c>
      <c r="AN139" s="37" t="s">
        <v>1046</v>
      </c>
      <c r="AO139" s="37" t="n">
        <v>2024</v>
      </c>
      <c r="AP139" s="37" t="n">
        <v>32</v>
      </c>
      <c r="AQ139" s="37" t="n">
        <v>1</v>
      </c>
      <c r="AR139" s="37"/>
      <c r="AS139" s="37" t="n">
        <v>307</v>
      </c>
      <c r="AT139" s="37" t="n">
        <v>320</v>
      </c>
      <c r="AU139" s="37"/>
      <c r="AV139" s="37" t="s">
        <v>3176</v>
      </c>
      <c r="AW139" s="37" t="str">
        <f aca="false">HYPERLINK("http://dx.doi.org/10.1007/s10040-023-02713-7","http://dx.doi.org/10.1007/s10040-023-02713-7")</f>
        <v>http://dx.doi.org/10.1007/s10040-023-02713-7</v>
      </c>
      <c r="AX139" s="37" t="s">
        <v>751</v>
      </c>
      <c r="AY139" s="37" t="n">
        <v>14</v>
      </c>
      <c r="AZ139" s="37" t="s">
        <v>1591</v>
      </c>
      <c r="BA139" s="37" t="s">
        <v>331</v>
      </c>
      <c r="BB139" s="37" t="s">
        <v>1592</v>
      </c>
      <c r="BC139" s="37" t="s">
        <v>3177</v>
      </c>
      <c r="BD139" s="37"/>
      <c r="BE139" s="37"/>
      <c r="BF139" s="37" t="s">
        <v>334</v>
      </c>
      <c r="BG139" s="37" t="s">
        <v>3178</v>
      </c>
      <c r="BH139" s="37" t="str">
        <f aca="false">HYPERLINK("https%3A%2F%2Fwww.webofscience.com%2Fwos%2Fwoscc%2Ffull-record%2FWOS:001070596600003","View Full Record in Web of Science")</f>
        <v>View Full Record in Web of Science</v>
      </c>
      <c r="BI139" s="41" t="b">
        <f aca="false">TRUE()</f>
        <v>1</v>
      </c>
      <c r="BJ139" s="39"/>
      <c r="BK139" s="39"/>
      <c r="BL139" s="39"/>
      <c r="BM139" s="39"/>
      <c r="BN139" s="39"/>
      <c r="BO139" s="39"/>
      <c r="BP139" s="39"/>
      <c r="BQ139" s="39"/>
      <c r="BR139" s="39"/>
      <c r="BS139" s="39"/>
      <c r="BT139" s="39"/>
      <c r="BU139" s="39"/>
      <c r="BV139" s="39"/>
      <c r="BW139" s="39"/>
      <c r="BX139" s="39"/>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c r="EP139" s="39"/>
      <c r="EQ139" s="39"/>
      <c r="ER139" s="39"/>
      <c r="ES139" s="39"/>
      <c r="ET139" s="39"/>
      <c r="EU139" s="39"/>
      <c r="EV139" s="39"/>
      <c r="EW139" s="39"/>
      <c r="EX139" s="39"/>
      <c r="EY139" s="39"/>
      <c r="EZ139" s="39"/>
      <c r="FA139" s="39"/>
      <c r="FB139" s="39"/>
      <c r="FC139" s="39"/>
      <c r="FD139" s="39"/>
      <c r="FE139" s="39"/>
      <c r="FF139" s="39"/>
      <c r="FG139" s="39"/>
      <c r="FH139" s="39"/>
      <c r="FI139" s="39"/>
      <c r="FJ139" s="39"/>
      <c r="FK139" s="39"/>
      <c r="FL139" s="39"/>
      <c r="FM139" s="39"/>
      <c r="FN139" s="39"/>
      <c r="FO139" s="39"/>
      <c r="FP139" s="39"/>
      <c r="FQ139" s="39"/>
      <c r="FR139" s="39"/>
      <c r="FS139" s="39"/>
      <c r="FT139" s="41" t="b">
        <f aca="false">TRUE()</f>
        <v>1</v>
      </c>
      <c r="FU139" s="39"/>
      <c r="FV139" s="39"/>
      <c r="FW139" s="39"/>
      <c r="FX139" s="39"/>
      <c r="FY139" s="39"/>
      <c r="FZ139" s="39"/>
      <c r="GA139" s="39"/>
      <c r="GB139" s="39"/>
      <c r="GC139" s="39"/>
      <c r="GD139" s="39"/>
      <c r="GE139" s="39"/>
      <c r="GF139" s="39"/>
      <c r="GG139" s="39"/>
      <c r="GH139" s="39"/>
      <c r="GI139" s="39"/>
      <c r="GJ139" s="39"/>
      <c r="GK139" s="39"/>
      <c r="GL139" s="39"/>
      <c r="GM139" s="39"/>
      <c r="GN139" s="39"/>
      <c r="GO139" s="39"/>
      <c r="GP139" s="39"/>
      <c r="GQ139" s="39"/>
      <c r="GR139" s="39"/>
      <c r="GS139" s="39"/>
      <c r="GT139" s="39"/>
      <c r="GU139" s="39"/>
      <c r="GV139" s="39"/>
      <c r="GW139" s="39"/>
      <c r="GX139" s="39"/>
      <c r="GY139" s="39"/>
      <c r="GZ139" s="39"/>
      <c r="HA139" s="39"/>
      <c r="HB139" s="39"/>
      <c r="HC139" s="39"/>
      <c r="HD139" s="39"/>
      <c r="HE139" s="39"/>
      <c r="HF139" s="39"/>
      <c r="HG139" s="39"/>
      <c r="HH139" s="39"/>
      <c r="HI139" s="39"/>
      <c r="HJ139" s="39"/>
      <c r="HK139" s="39"/>
      <c r="HL139" s="39"/>
      <c r="HM139" s="39"/>
      <c r="HN139" s="39"/>
      <c r="HO139" s="39"/>
      <c r="HP139" s="39"/>
      <c r="HQ139" s="39"/>
      <c r="HR139" s="39"/>
      <c r="HS139" s="39"/>
      <c r="HT139" s="39"/>
      <c r="HU139" s="39"/>
      <c r="HV139" s="39"/>
      <c r="HW139" s="39"/>
      <c r="HX139" s="39"/>
      <c r="HY139" s="39"/>
      <c r="HZ139" s="39"/>
      <c r="IA139" s="39"/>
      <c r="IB139" s="39"/>
      <c r="IC139" s="39"/>
      <c r="ID139" s="41" t="b">
        <f aca="false">TRUE()</f>
        <v>1</v>
      </c>
      <c r="IE139" s="39"/>
      <c r="IF139" s="39"/>
      <c r="IG139" s="39"/>
      <c r="IH139" s="39"/>
      <c r="II139" s="39"/>
      <c r="IJ139" s="39"/>
      <c r="IK139" s="39"/>
      <c r="IL139" s="39"/>
      <c r="IM139" s="39"/>
      <c r="IN139" s="39"/>
      <c r="IO139" s="39"/>
      <c r="IP139" s="39"/>
      <c r="IQ139" s="39"/>
      <c r="IR139" s="39"/>
      <c r="IS139" s="39"/>
      <c r="IT139" s="39"/>
      <c r="IU139" s="39"/>
      <c r="IV139" s="39"/>
      <c r="IW139" s="39"/>
      <c r="IX139" s="39"/>
      <c r="IY139" s="39"/>
      <c r="IZ139" s="39"/>
      <c r="JA139" s="39"/>
      <c r="JB139" s="39"/>
      <c r="JC139" s="39"/>
      <c r="JD139" s="39"/>
      <c r="JE139" s="39"/>
      <c r="JF139" s="39"/>
      <c r="JG139" s="39"/>
      <c r="JH139" s="39"/>
      <c r="JI139" s="39"/>
      <c r="JJ139" s="39"/>
      <c r="JK139" s="39"/>
      <c r="JL139" s="39"/>
      <c r="JM139" s="39"/>
      <c r="JN139" s="39"/>
      <c r="JO139" s="39"/>
      <c r="JP139" s="39"/>
      <c r="JQ139" s="39"/>
      <c r="JR139" s="39"/>
      <c r="JS139" s="39"/>
      <c r="JT139" s="41" t="b">
        <f aca="false">TRUE()</f>
        <v>1</v>
      </c>
      <c r="JU139" s="41" t="b">
        <f aca="false">TRUE()</f>
        <v>1</v>
      </c>
      <c r="JV139" s="39"/>
      <c r="JW139" s="39"/>
      <c r="JX139" s="39"/>
      <c r="JY139" s="39"/>
      <c r="JZ139" s="39"/>
      <c r="KA139" s="39"/>
      <c r="KB139" s="39"/>
      <c r="KC139" s="39"/>
      <c r="KD139" s="39"/>
      <c r="KE139" s="41" t="b">
        <f aca="false">TRUE()</f>
        <v>1</v>
      </c>
      <c r="KF139" s="39"/>
      <c r="KG139" s="39"/>
      <c r="KH139" s="39"/>
      <c r="KI139" s="39"/>
      <c r="KJ139" s="39"/>
      <c r="KK139" s="39"/>
      <c r="KL139" s="39"/>
      <c r="KM139" s="39"/>
      <c r="KN139" s="39"/>
      <c r="KO139" s="39"/>
      <c r="KP139" s="39"/>
      <c r="KQ139" s="41" t="b">
        <f aca="false">TRUE()</f>
        <v>1</v>
      </c>
      <c r="KR139" s="39"/>
      <c r="KS139" s="39"/>
      <c r="KT139" s="41" t="b">
        <f aca="false">TRUE()</f>
        <v>1</v>
      </c>
      <c r="KU139" s="39"/>
    </row>
    <row r="140" customFormat="false" ht="14.4" hidden="false" customHeight="false" outlineLevel="0" collapsed="false">
      <c r="A140" s="37" t="s">
        <v>305</v>
      </c>
      <c r="B140" s="37" t="s">
        <v>3179</v>
      </c>
      <c r="C140" s="37"/>
      <c r="D140" s="37"/>
      <c r="E140" s="37"/>
      <c r="F140" s="37" t="s">
        <v>3180</v>
      </c>
      <c r="G140" s="37" t="s">
        <v>3181</v>
      </c>
      <c r="H140" s="37" t="s">
        <v>3182</v>
      </c>
      <c r="I140" s="37" t="s">
        <v>310</v>
      </c>
      <c r="J140" s="37" t="s">
        <v>311</v>
      </c>
      <c r="K140" s="37"/>
      <c r="L140" s="37"/>
      <c r="M140" s="37"/>
      <c r="N140" s="37"/>
      <c r="O140" s="37" t="s">
        <v>3183</v>
      </c>
      <c r="P140" s="37" t="s">
        <v>3184</v>
      </c>
      <c r="Q140" s="37" t="s">
        <v>3185</v>
      </c>
      <c r="R140" s="37" t="s">
        <v>3186</v>
      </c>
      <c r="S140" s="37" t="s">
        <v>3187</v>
      </c>
      <c r="T140" s="37" t="s">
        <v>3188</v>
      </c>
      <c r="U140" s="37" t="s">
        <v>3189</v>
      </c>
      <c r="V140" s="37" t="s">
        <v>3190</v>
      </c>
      <c r="W140" s="37" t="s">
        <v>3191</v>
      </c>
      <c r="X140" s="37" t="s">
        <v>3192</v>
      </c>
      <c r="Y140" s="37" t="s">
        <v>3193</v>
      </c>
      <c r="Z140" s="37" t="s">
        <v>3194</v>
      </c>
      <c r="AA140" s="37" t="n">
        <v>92</v>
      </c>
      <c r="AB140" s="37" t="n">
        <v>35</v>
      </c>
      <c r="AC140" s="37" t="n">
        <v>39</v>
      </c>
      <c r="AD140" s="37" t="n">
        <v>18</v>
      </c>
      <c r="AE140" s="37" t="n">
        <v>47</v>
      </c>
      <c r="AF140" s="37" t="s">
        <v>401</v>
      </c>
      <c r="AG140" s="37" t="s">
        <v>402</v>
      </c>
      <c r="AH140" s="37" t="s">
        <v>403</v>
      </c>
      <c r="AI140" s="37" t="s">
        <v>3195</v>
      </c>
      <c r="AJ140" s="37" t="s">
        <v>3196</v>
      </c>
      <c r="AK140" s="37"/>
      <c r="AL140" s="37" t="s">
        <v>3197</v>
      </c>
      <c r="AM140" s="37" t="s">
        <v>3198</v>
      </c>
      <c r="AN140" s="37" t="s">
        <v>3199</v>
      </c>
      <c r="AO140" s="37" t="n">
        <v>2023</v>
      </c>
      <c r="AP140" s="37" t="n">
        <v>72</v>
      </c>
      <c r="AQ140" s="37" t="n">
        <v>2</v>
      </c>
      <c r="AR140" s="37"/>
      <c r="AS140" s="37" t="n">
        <v>426</v>
      </c>
      <c r="AT140" s="37" t="n">
        <v>443</v>
      </c>
      <c r="AU140" s="37"/>
      <c r="AV140" s="37" t="s">
        <v>3200</v>
      </c>
      <c r="AW140" s="37" t="str">
        <f aca="false">HYPERLINK("http://dx.doi.org/10.1016/j.asr.2023.03.026","http://dx.doi.org/10.1016/j.asr.2023.03.026")</f>
        <v>http://dx.doi.org/10.1016/j.asr.2023.03.026</v>
      </c>
      <c r="AX140" s="37" t="s">
        <v>803</v>
      </c>
      <c r="AY140" s="37" t="n">
        <v>18</v>
      </c>
      <c r="AZ140" s="37" t="s">
        <v>3201</v>
      </c>
      <c r="BA140" s="37" t="s">
        <v>331</v>
      </c>
      <c r="BB140" s="37" t="s">
        <v>3202</v>
      </c>
      <c r="BC140" s="37" t="s">
        <v>3203</v>
      </c>
      <c r="BD140" s="37"/>
      <c r="BE140" s="37"/>
      <c r="BF140" s="37" t="s">
        <v>334</v>
      </c>
      <c r="BG140" s="37" t="s">
        <v>3204</v>
      </c>
      <c r="BH140" s="37" t="str">
        <f aca="false">HYPERLINK("https%3A%2F%2Fwww.webofscience.com%2Fwos%2Fwoscc%2Ffull-record%2FWOS:001013510100001","View Full Record in Web of Science")</f>
        <v>View Full Record in Web of Science</v>
      </c>
      <c r="BI140" s="41" t="b">
        <f aca="false">TRUE()</f>
        <v>1</v>
      </c>
      <c r="BJ140" s="39"/>
      <c r="BK140" s="39"/>
      <c r="BL140" s="39"/>
      <c r="BM140" s="39"/>
      <c r="BN140" s="39"/>
      <c r="BO140" s="39"/>
      <c r="BP140" s="39"/>
      <c r="BQ140" s="39"/>
      <c r="BR140" s="39"/>
      <c r="BS140" s="39"/>
      <c r="BT140" s="39"/>
      <c r="BU140" s="39"/>
      <c r="BV140" s="39"/>
      <c r="BW140" s="39"/>
      <c r="BX140" s="39"/>
      <c r="BY140" s="39"/>
      <c r="BZ140" s="39"/>
      <c r="CA140" s="39"/>
      <c r="CB140" s="39"/>
      <c r="CC140" s="39"/>
      <c r="CD140" s="39"/>
      <c r="CE140" s="39"/>
      <c r="CF140" s="39"/>
      <c r="CG140" s="39"/>
      <c r="CH140" s="39"/>
      <c r="CI140" s="39"/>
      <c r="CJ140" s="39"/>
      <c r="CK140" s="39"/>
      <c r="CL140" s="39"/>
      <c r="CM140" s="39"/>
      <c r="CN140" s="39"/>
      <c r="CO140" s="39"/>
      <c r="CP140" s="39"/>
      <c r="CQ140" s="39"/>
      <c r="CR140" s="39"/>
      <c r="CS140" s="39"/>
      <c r="CT140" s="39"/>
      <c r="CU140" s="39"/>
      <c r="CV140" s="39"/>
      <c r="CW140" s="41" t="b">
        <f aca="false">TRUE()</f>
        <v>1</v>
      </c>
      <c r="CX140" s="39"/>
      <c r="CY140" s="39"/>
      <c r="CZ140" s="39"/>
      <c r="DA140" s="39"/>
      <c r="DB140" s="39"/>
      <c r="DC140" s="39"/>
      <c r="DD140" s="39"/>
      <c r="DE140" s="39"/>
      <c r="DF140" s="39"/>
      <c r="DG140" s="39"/>
      <c r="DH140" s="39"/>
      <c r="DI140" s="39"/>
      <c r="DJ140" s="39"/>
      <c r="DK140" s="39"/>
      <c r="DL140" s="39"/>
      <c r="DM140" s="39"/>
      <c r="DN140" s="39"/>
      <c r="DO140" s="39"/>
      <c r="DP140" s="39"/>
      <c r="DQ140" s="39"/>
      <c r="DR140" s="39"/>
      <c r="DS140" s="39"/>
      <c r="DT140" s="41" t="b">
        <f aca="false">TRUE()</f>
        <v>1</v>
      </c>
      <c r="DU140" s="39"/>
      <c r="DV140" s="39"/>
      <c r="DW140" s="39"/>
      <c r="DX140" s="39"/>
      <c r="DY140" s="39"/>
      <c r="DZ140" s="39"/>
      <c r="EA140" s="39"/>
      <c r="EB140" s="39"/>
      <c r="EC140" s="39"/>
      <c r="ED140" s="39"/>
      <c r="EE140" s="39"/>
      <c r="EF140" s="39"/>
      <c r="EG140" s="39"/>
      <c r="EH140" s="39"/>
      <c r="EI140" s="39"/>
      <c r="EJ140" s="39"/>
      <c r="EK140" s="39"/>
      <c r="EL140" s="39"/>
      <c r="EM140" s="39"/>
      <c r="EN140" s="39"/>
      <c r="EO140" s="39"/>
      <c r="EP140" s="39"/>
      <c r="EQ140" s="39"/>
      <c r="ER140" s="39"/>
      <c r="ES140" s="39"/>
      <c r="ET140" s="39"/>
      <c r="EU140" s="39"/>
      <c r="EV140" s="39"/>
      <c r="EW140" s="39"/>
      <c r="EX140" s="39"/>
      <c r="EY140" s="39"/>
      <c r="EZ140" s="39"/>
      <c r="FA140" s="39"/>
      <c r="FB140" s="39"/>
      <c r="FC140" s="39"/>
      <c r="FD140" s="39"/>
      <c r="FE140" s="39"/>
      <c r="FF140" s="39"/>
      <c r="FG140" s="39"/>
      <c r="FH140" s="39"/>
      <c r="FI140" s="41" t="b">
        <f aca="false">TRUE()</f>
        <v>1</v>
      </c>
      <c r="FJ140" s="39"/>
      <c r="FK140" s="39"/>
      <c r="FL140" s="39"/>
      <c r="FM140" s="39"/>
      <c r="FN140" s="39"/>
      <c r="FO140" s="39"/>
      <c r="FP140" s="39"/>
      <c r="FQ140" s="39"/>
      <c r="FR140" s="39"/>
      <c r="FS140" s="39"/>
      <c r="FT140" s="39"/>
      <c r="FU140" s="39"/>
      <c r="FV140" s="39"/>
      <c r="FW140" s="39"/>
      <c r="FX140" s="39"/>
      <c r="FY140" s="39"/>
      <c r="FZ140" s="39"/>
      <c r="GA140" s="41" t="b">
        <f aca="false">TRUE()</f>
        <v>1</v>
      </c>
      <c r="GB140" s="39"/>
      <c r="GC140" s="39"/>
      <c r="GD140" s="39"/>
      <c r="GE140" s="39"/>
      <c r="GF140" s="39"/>
      <c r="GG140" s="39"/>
      <c r="GH140" s="39"/>
      <c r="GI140" s="39"/>
      <c r="GJ140" s="39"/>
      <c r="GK140" s="39"/>
      <c r="GL140" s="39"/>
      <c r="GM140" s="39"/>
      <c r="GN140" s="39"/>
      <c r="GO140" s="39"/>
      <c r="GP140" s="39"/>
      <c r="GQ140" s="39"/>
      <c r="GR140" s="39"/>
      <c r="GS140" s="39"/>
      <c r="GT140" s="39"/>
      <c r="GU140" s="39"/>
      <c r="GV140" s="39"/>
      <c r="GW140" s="39"/>
      <c r="GX140" s="39"/>
      <c r="GY140" s="39"/>
      <c r="GZ140" s="39"/>
      <c r="HA140" s="39"/>
      <c r="HB140" s="39"/>
      <c r="HC140" s="39"/>
      <c r="HD140" s="41" t="b">
        <f aca="false">TRUE()</f>
        <v>1</v>
      </c>
      <c r="HE140" s="39"/>
      <c r="HF140" s="39"/>
      <c r="HG140" s="39"/>
      <c r="HH140" s="39"/>
      <c r="HI140" s="39"/>
      <c r="HJ140" s="39"/>
      <c r="HK140" s="39"/>
      <c r="HL140" s="39"/>
      <c r="HM140" s="39"/>
      <c r="HN140" s="39"/>
      <c r="HO140" s="39"/>
      <c r="HP140" s="39"/>
      <c r="HQ140" s="39"/>
      <c r="HR140" s="39"/>
      <c r="HS140" s="39"/>
      <c r="HT140" s="39"/>
      <c r="HU140" s="39"/>
      <c r="HV140" s="39"/>
      <c r="HW140" s="39"/>
      <c r="HX140" s="39"/>
      <c r="HY140" s="39"/>
      <c r="HZ140" s="39"/>
      <c r="IA140" s="39"/>
      <c r="IB140" s="39"/>
      <c r="IC140" s="39"/>
      <c r="ID140" s="39"/>
      <c r="IE140" s="39"/>
      <c r="IF140" s="41" t="b">
        <f aca="false">TRUE()</f>
        <v>1</v>
      </c>
      <c r="IG140" s="39"/>
      <c r="IH140" s="39"/>
      <c r="II140" s="39"/>
      <c r="IJ140" s="39"/>
      <c r="IK140" s="39"/>
      <c r="IL140" s="39"/>
      <c r="IM140" s="39"/>
      <c r="IN140" s="39"/>
      <c r="IO140" s="39"/>
      <c r="IP140" s="39"/>
      <c r="IQ140" s="39"/>
      <c r="IR140" s="39"/>
      <c r="IS140" s="39"/>
      <c r="IT140" s="39"/>
      <c r="IU140" s="39"/>
      <c r="IV140" s="39"/>
      <c r="IW140" s="39"/>
      <c r="IX140" s="39"/>
      <c r="IY140" s="39"/>
      <c r="IZ140" s="39"/>
      <c r="JA140" s="39"/>
      <c r="JB140" s="39"/>
      <c r="JC140" s="39"/>
      <c r="JD140" s="39"/>
      <c r="JE140" s="39"/>
      <c r="JF140" s="39"/>
      <c r="JG140" s="39"/>
      <c r="JH140" s="39"/>
      <c r="JI140" s="39"/>
      <c r="JJ140" s="39"/>
      <c r="JK140" s="39"/>
      <c r="JL140" s="39"/>
      <c r="JM140" s="39"/>
      <c r="JN140" s="39"/>
      <c r="JO140" s="39"/>
      <c r="JP140" s="39"/>
      <c r="JQ140" s="39"/>
      <c r="JR140" s="39"/>
      <c r="JS140" s="39"/>
      <c r="JT140" s="41" t="b">
        <f aca="false">TRUE()</f>
        <v>1</v>
      </c>
      <c r="JU140" s="39"/>
      <c r="JV140" s="39"/>
      <c r="JW140" s="39"/>
      <c r="JX140" s="39"/>
      <c r="JY140" s="39"/>
      <c r="JZ140" s="39"/>
      <c r="KA140" s="39"/>
      <c r="KB140" s="39"/>
      <c r="KC140" s="39"/>
      <c r="KD140" s="39"/>
      <c r="KE140" s="39"/>
      <c r="KF140" s="39"/>
      <c r="KG140" s="39"/>
      <c r="KH140" s="39"/>
      <c r="KI140" s="39"/>
      <c r="KJ140" s="39"/>
      <c r="KK140" s="39"/>
      <c r="KL140" s="39"/>
      <c r="KM140" s="39"/>
      <c r="KN140" s="39"/>
      <c r="KO140" s="39"/>
      <c r="KP140" s="39"/>
      <c r="KQ140" s="41" t="b">
        <f aca="false">TRUE()</f>
        <v>1</v>
      </c>
      <c r="KR140" s="39"/>
      <c r="KS140" s="39"/>
      <c r="KT140" s="41" t="b">
        <f aca="false">TRUE()</f>
        <v>1</v>
      </c>
      <c r="KU140" s="39"/>
    </row>
    <row r="141" customFormat="false" ht="14.4" hidden="false" customHeight="false" outlineLevel="0" collapsed="false">
      <c r="A141" s="37" t="s">
        <v>305</v>
      </c>
      <c r="B141" s="37" t="s">
        <v>3205</v>
      </c>
      <c r="C141" s="37"/>
      <c r="D141" s="37"/>
      <c r="E141" s="37"/>
      <c r="F141" s="37" t="s">
        <v>3206</v>
      </c>
      <c r="G141" s="37" t="s">
        <v>3207</v>
      </c>
      <c r="H141" s="37" t="s">
        <v>3208</v>
      </c>
      <c r="I141" s="37" t="s">
        <v>310</v>
      </c>
      <c r="J141" s="37" t="s">
        <v>311</v>
      </c>
      <c r="K141" s="37"/>
      <c r="L141" s="37"/>
      <c r="M141" s="37"/>
      <c r="N141" s="37"/>
      <c r="O141" s="37" t="s">
        <v>3209</v>
      </c>
      <c r="P141" s="37" t="s">
        <v>3210</v>
      </c>
      <c r="Q141" s="37" t="s">
        <v>3211</v>
      </c>
      <c r="R141" s="37" t="s">
        <v>3212</v>
      </c>
      <c r="S141" s="37" t="s">
        <v>3213</v>
      </c>
      <c r="T141" s="37" t="s">
        <v>3214</v>
      </c>
      <c r="U141" s="37" t="s">
        <v>3215</v>
      </c>
      <c r="V141" s="37" t="s">
        <v>3216</v>
      </c>
      <c r="W141" s="37" t="s">
        <v>3217</v>
      </c>
      <c r="X141" s="37" t="s">
        <v>3218</v>
      </c>
      <c r="Y141" s="37" t="s">
        <v>3219</v>
      </c>
      <c r="Z141" s="37" t="s">
        <v>3220</v>
      </c>
      <c r="AA141" s="37" t="n">
        <v>47</v>
      </c>
      <c r="AB141" s="37" t="n">
        <v>0</v>
      </c>
      <c r="AC141" s="37" t="n">
        <v>0</v>
      </c>
      <c r="AD141" s="37" t="n">
        <v>3</v>
      </c>
      <c r="AE141" s="37" t="n">
        <v>3</v>
      </c>
      <c r="AF141" s="37" t="s">
        <v>353</v>
      </c>
      <c r="AG141" s="37" t="s">
        <v>354</v>
      </c>
      <c r="AH141" s="37" t="s">
        <v>355</v>
      </c>
      <c r="AI141" s="37" t="s">
        <v>3221</v>
      </c>
      <c r="AJ141" s="37" t="s">
        <v>3222</v>
      </c>
      <c r="AK141" s="37"/>
      <c r="AL141" s="37" t="s">
        <v>3223</v>
      </c>
      <c r="AM141" s="37" t="s">
        <v>3224</v>
      </c>
      <c r="AN141" s="37" t="s">
        <v>700</v>
      </c>
      <c r="AO141" s="37" t="n">
        <v>2025</v>
      </c>
      <c r="AP141" s="37" t="n">
        <v>85</v>
      </c>
      <c r="AQ141" s="37"/>
      <c r="AR141" s="37"/>
      <c r="AS141" s="37"/>
      <c r="AT141" s="37"/>
      <c r="AU141" s="37" t="n">
        <v>102995</v>
      </c>
      <c r="AV141" s="37" t="s">
        <v>3225</v>
      </c>
      <c r="AW141" s="37" t="str">
        <f aca="false">HYPERLINK("http://dx.doi.org/10.1016/j.ecoinf.2025.102995","http://dx.doi.org/10.1016/j.ecoinf.2025.102995")</f>
        <v>http://dx.doi.org/10.1016/j.ecoinf.2025.102995</v>
      </c>
      <c r="AX141" s="37" t="s">
        <v>2368</v>
      </c>
      <c r="AY141" s="37" t="n">
        <v>13</v>
      </c>
      <c r="AZ141" s="37" t="s">
        <v>3226</v>
      </c>
      <c r="BA141" s="37" t="s">
        <v>331</v>
      </c>
      <c r="BB141" s="37" t="s">
        <v>501</v>
      </c>
      <c r="BC141" s="37" t="s">
        <v>3227</v>
      </c>
      <c r="BD141" s="37"/>
      <c r="BE141" s="37" t="s">
        <v>503</v>
      </c>
      <c r="BF141" s="37" t="s">
        <v>334</v>
      </c>
      <c r="BG141" s="37" t="s">
        <v>3228</v>
      </c>
      <c r="BH141" s="37" t="str">
        <f aca="false">HYPERLINK("https%3A%2F%2Fwww.webofscience.com%2Fwos%2Fwoscc%2Ffull-record%2FWOS:001399293400001","View Full Record in Web of Science")</f>
        <v>View Full Record in Web of Science</v>
      </c>
      <c r="BI141" s="41" t="b">
        <f aca="false">TRUE()</f>
        <v>1</v>
      </c>
      <c r="BJ141" s="39"/>
      <c r="BK141" s="39"/>
      <c r="BL141" s="39"/>
      <c r="BM141" s="39"/>
      <c r="BN141" s="39"/>
      <c r="BO141" s="41" t="b">
        <f aca="false">TRUE()</f>
        <v>1</v>
      </c>
      <c r="BP141" s="41" t="b">
        <f aca="false">TRUE()</f>
        <v>1</v>
      </c>
      <c r="BQ141" s="39"/>
      <c r="BR141" s="41" t="b">
        <f aca="false">TRUE()</f>
        <v>1</v>
      </c>
      <c r="BS141" s="39"/>
      <c r="BT141" s="39"/>
      <c r="BU141" s="39"/>
      <c r="BV141" s="39"/>
      <c r="BW141" s="39"/>
      <c r="BX141" s="39"/>
      <c r="BY141" s="41" t="b">
        <f aca="false">TRUE()</f>
        <v>1</v>
      </c>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41" t="b">
        <f aca="false">TRUE()</f>
        <v>1</v>
      </c>
      <c r="EB141" s="39"/>
      <c r="EC141" s="39"/>
      <c r="ED141" s="39"/>
      <c r="EE141" s="39"/>
      <c r="EF141" s="39"/>
      <c r="EG141" s="39"/>
      <c r="EH141" s="39"/>
      <c r="EI141" s="39"/>
      <c r="EJ141" s="39"/>
      <c r="EK141" s="39"/>
      <c r="EL141" s="39"/>
      <c r="EM141" s="39"/>
      <c r="EN141" s="39"/>
      <c r="EO141" s="39"/>
      <c r="EP141" s="39"/>
      <c r="EQ141" s="39"/>
      <c r="ER141" s="39"/>
      <c r="ES141" s="39"/>
      <c r="ET141" s="39"/>
      <c r="EU141" s="39"/>
      <c r="EV141" s="39"/>
      <c r="EW141" s="39"/>
      <c r="EX141" s="39"/>
      <c r="EY141" s="39"/>
      <c r="EZ141" s="39"/>
      <c r="FA141" s="39"/>
      <c r="FB141" s="39"/>
      <c r="FC141" s="39"/>
      <c r="FD141" s="39"/>
      <c r="FE141" s="39"/>
      <c r="FF141" s="39"/>
      <c r="FG141" s="39"/>
      <c r="FH141" s="39"/>
      <c r="FI141" s="39"/>
      <c r="FJ141" s="39"/>
      <c r="FK141" s="39"/>
      <c r="FL141" s="39"/>
      <c r="FM141" s="39"/>
      <c r="FN141" s="39"/>
      <c r="FO141" s="39"/>
      <c r="FP141" s="39"/>
      <c r="FQ141" s="39"/>
      <c r="FR141" s="39"/>
      <c r="FS141" s="39"/>
      <c r="FT141" s="39"/>
      <c r="FU141" s="39"/>
      <c r="FV141" s="39"/>
      <c r="FW141" s="39"/>
      <c r="FX141" s="39"/>
      <c r="FY141" s="39"/>
      <c r="FZ141" s="39"/>
      <c r="GA141" s="39"/>
      <c r="GB141" s="39"/>
      <c r="GC141" s="39"/>
      <c r="GD141" s="39"/>
      <c r="GE141" s="39"/>
      <c r="GF141" s="39"/>
      <c r="GG141" s="39"/>
      <c r="GH141" s="39"/>
      <c r="GI141" s="39"/>
      <c r="GJ141" s="39"/>
      <c r="GK141" s="39"/>
      <c r="GL141" s="39"/>
      <c r="GM141" s="39"/>
      <c r="GN141" s="39"/>
      <c r="GO141" s="39"/>
      <c r="GP141" s="39"/>
      <c r="GQ141" s="39"/>
      <c r="GR141" s="39"/>
      <c r="GS141" s="39"/>
      <c r="GT141" s="39"/>
      <c r="GU141" s="39"/>
      <c r="GV141" s="39"/>
      <c r="GW141" s="39"/>
      <c r="GX141" s="39"/>
      <c r="GY141" s="39"/>
      <c r="GZ141" s="39"/>
      <c r="HA141" s="39"/>
      <c r="HB141" s="39"/>
      <c r="HC141" s="39"/>
      <c r="HD141" s="39"/>
      <c r="HE141" s="39"/>
      <c r="HF141" s="39"/>
      <c r="HG141" s="39"/>
      <c r="HH141" s="39"/>
      <c r="HI141" s="39"/>
      <c r="HJ141" s="39"/>
      <c r="HK141" s="41" t="b">
        <f aca="false">TRUE()</f>
        <v>1</v>
      </c>
      <c r="HL141" s="39"/>
      <c r="HM141" s="39"/>
      <c r="HN141" s="39"/>
      <c r="HO141" s="39"/>
      <c r="HP141" s="39"/>
      <c r="HQ141" s="39"/>
      <c r="HR141" s="39"/>
      <c r="HS141" s="39"/>
      <c r="HT141" s="39"/>
      <c r="HU141" s="39"/>
      <c r="HV141" s="39"/>
      <c r="HW141" s="39"/>
      <c r="HX141" s="39"/>
      <c r="HY141" s="39"/>
      <c r="HZ141" s="39"/>
      <c r="IA141" s="39"/>
      <c r="IB141" s="41" t="b">
        <f aca="false">TRUE()</f>
        <v>1</v>
      </c>
      <c r="IC141" s="39"/>
      <c r="ID141" s="39"/>
      <c r="IE141" s="39"/>
      <c r="IF141" s="39"/>
      <c r="IG141" s="39"/>
      <c r="IH141" s="39"/>
      <c r="II141" s="39"/>
      <c r="IJ141" s="39"/>
      <c r="IK141" s="39"/>
      <c r="IL141" s="39"/>
      <c r="IM141" s="39"/>
      <c r="IN141" s="39"/>
      <c r="IO141" s="39"/>
      <c r="IP141" s="39"/>
      <c r="IQ141" s="39"/>
      <c r="IR141" s="39"/>
      <c r="IS141" s="39"/>
      <c r="IT141" s="39"/>
      <c r="IU141" s="39"/>
      <c r="IV141" s="39"/>
      <c r="IW141" s="39"/>
      <c r="IX141" s="39"/>
      <c r="IY141" s="39"/>
      <c r="IZ141" s="39"/>
      <c r="JA141" s="39"/>
      <c r="JB141" s="39"/>
      <c r="JC141" s="39"/>
      <c r="JD141" s="39"/>
      <c r="JE141" s="39"/>
      <c r="JF141" s="39"/>
      <c r="JG141" s="39"/>
      <c r="JH141" s="39"/>
      <c r="JI141" s="39"/>
      <c r="JJ141" s="39"/>
      <c r="JK141" s="39"/>
      <c r="JL141" s="39"/>
      <c r="JM141" s="39"/>
      <c r="JN141" s="39"/>
      <c r="JO141" s="39"/>
      <c r="JP141" s="39"/>
      <c r="JQ141" s="39"/>
      <c r="JR141" s="39"/>
      <c r="JS141" s="39"/>
      <c r="JT141" s="41" t="b">
        <f aca="false">TRUE()</f>
        <v>1</v>
      </c>
      <c r="JU141" s="39"/>
      <c r="JV141" s="39"/>
      <c r="JW141" s="39"/>
      <c r="JX141" s="39"/>
      <c r="JY141" s="39"/>
      <c r="JZ141" s="39"/>
      <c r="KA141" s="39"/>
      <c r="KB141" s="39"/>
      <c r="KC141" s="39"/>
      <c r="KD141" s="39"/>
      <c r="KE141" s="39"/>
      <c r="KF141" s="39"/>
      <c r="KG141" s="39"/>
      <c r="KH141" s="39"/>
      <c r="KI141" s="39"/>
      <c r="KJ141" s="39"/>
      <c r="KK141" s="39"/>
      <c r="KL141" s="39"/>
      <c r="KM141" s="39"/>
      <c r="KN141" s="39"/>
      <c r="KO141" s="39"/>
      <c r="KP141" s="41" t="b">
        <f aca="false">TRUE()</f>
        <v>1</v>
      </c>
      <c r="KQ141" s="39"/>
      <c r="KR141" s="39"/>
      <c r="KS141" s="41" t="b">
        <f aca="false">TRUE()</f>
        <v>1</v>
      </c>
      <c r="KT141" s="39"/>
      <c r="KU141" s="39"/>
    </row>
    <row r="142" customFormat="false" ht="14.4" hidden="false" customHeight="false" outlineLevel="0" collapsed="false">
      <c r="A142" s="37" t="s">
        <v>305</v>
      </c>
      <c r="B142" s="37" t="s">
        <v>3229</v>
      </c>
      <c r="C142" s="37"/>
      <c r="D142" s="37"/>
      <c r="E142" s="37"/>
      <c r="F142" s="37" t="s">
        <v>3230</v>
      </c>
      <c r="G142" s="37" t="s">
        <v>3231</v>
      </c>
      <c r="H142" s="37" t="s">
        <v>1873</v>
      </c>
      <c r="I142" s="37" t="s">
        <v>310</v>
      </c>
      <c r="J142" s="37" t="s">
        <v>311</v>
      </c>
      <c r="K142" s="37"/>
      <c r="L142" s="37"/>
      <c r="M142" s="37"/>
      <c r="N142" s="37"/>
      <c r="O142" s="37" t="s">
        <v>3232</v>
      </c>
      <c r="P142" s="37" t="s">
        <v>3233</v>
      </c>
      <c r="Q142" s="37" t="s">
        <v>3234</v>
      </c>
      <c r="R142" s="37" t="s">
        <v>3235</v>
      </c>
      <c r="S142" s="37" t="s">
        <v>3236</v>
      </c>
      <c r="T142" s="37" t="s">
        <v>3237</v>
      </c>
      <c r="U142" s="37" t="s">
        <v>3238</v>
      </c>
      <c r="V142" s="37" t="s">
        <v>3239</v>
      </c>
      <c r="W142" s="37"/>
      <c r="X142" s="37" t="s">
        <v>3240</v>
      </c>
      <c r="Y142" s="37" t="s">
        <v>3241</v>
      </c>
      <c r="Z142" s="37" t="s">
        <v>3242</v>
      </c>
      <c r="AA142" s="37" t="n">
        <v>96</v>
      </c>
      <c r="AB142" s="37" t="n">
        <v>6</v>
      </c>
      <c r="AC142" s="37" t="n">
        <v>6</v>
      </c>
      <c r="AD142" s="37" t="n">
        <v>65</v>
      </c>
      <c r="AE142" s="37" t="n">
        <v>91</v>
      </c>
      <c r="AF142" s="37" t="s">
        <v>795</v>
      </c>
      <c r="AG142" s="37" t="s">
        <v>525</v>
      </c>
      <c r="AH142" s="37" t="s">
        <v>796</v>
      </c>
      <c r="AI142" s="37" t="s">
        <v>1886</v>
      </c>
      <c r="AJ142" s="37" t="s">
        <v>1887</v>
      </c>
      <c r="AK142" s="37"/>
      <c r="AL142" s="37" t="s">
        <v>1888</v>
      </c>
      <c r="AM142" s="37" t="s">
        <v>1889</v>
      </c>
      <c r="AN142" s="37" t="s">
        <v>3243</v>
      </c>
      <c r="AO142" s="37" t="n">
        <v>2024</v>
      </c>
      <c r="AP142" s="37" t="n">
        <v>312</v>
      </c>
      <c r="AQ142" s="37"/>
      <c r="AR142" s="37"/>
      <c r="AS142" s="37"/>
      <c r="AT142" s="37"/>
      <c r="AU142" s="37" t="n">
        <v>114324</v>
      </c>
      <c r="AV142" s="37" t="s">
        <v>3244</v>
      </c>
      <c r="AW142" s="37" t="str">
        <f aca="false">HYPERLINK("http://dx.doi.org/10.1016/j.rse.2024.114324","http://dx.doi.org/10.1016/j.rse.2024.114324")</f>
        <v>http://dx.doi.org/10.1016/j.rse.2024.114324</v>
      </c>
      <c r="AX142" s="37" t="s">
        <v>3245</v>
      </c>
      <c r="AY142" s="37" t="n">
        <v>22</v>
      </c>
      <c r="AZ142" s="37" t="s">
        <v>1891</v>
      </c>
      <c r="BA142" s="37" t="s">
        <v>331</v>
      </c>
      <c r="BB142" s="37" t="s">
        <v>1892</v>
      </c>
      <c r="BC142" s="37" t="s">
        <v>3246</v>
      </c>
      <c r="BD142" s="37"/>
      <c r="BE142" s="37"/>
      <c r="BF142" s="37" t="s">
        <v>334</v>
      </c>
      <c r="BG142" s="37" t="s">
        <v>3247</v>
      </c>
      <c r="BH142" s="37" t="str">
        <f aca="false">HYPERLINK("https%3A%2F%2Fwww.webofscience.com%2Fwos%2Fwoscc%2Ffull-record%2FWOS:001280733500001","View Full Record in Web of Science")</f>
        <v>View Full Record in Web of Science</v>
      </c>
      <c r="BI142" s="39"/>
      <c r="BJ142" s="39"/>
      <c r="BK142" s="39"/>
      <c r="BL142" s="39"/>
      <c r="BM142" s="39"/>
      <c r="BN142" s="39"/>
      <c r="BO142" s="41" t="b">
        <f aca="false">TRUE()</f>
        <v>1</v>
      </c>
      <c r="BP142" s="39"/>
      <c r="BQ142" s="39"/>
      <c r="BR142" s="39"/>
      <c r="BS142" s="39"/>
      <c r="BT142" s="39"/>
      <c r="BU142" s="39"/>
      <c r="BV142" s="39"/>
      <c r="BW142" s="39"/>
      <c r="BX142" s="39"/>
      <c r="BY142" s="39"/>
      <c r="BZ142" s="39"/>
      <c r="CA142" s="39"/>
      <c r="CB142" s="39"/>
      <c r="CC142" s="39"/>
      <c r="CD142" s="39"/>
      <c r="CE142" s="39"/>
      <c r="CF142" s="39"/>
      <c r="CG142" s="39"/>
      <c r="CH142" s="39"/>
      <c r="CI142" s="39"/>
      <c r="CJ142" s="39"/>
      <c r="CK142" s="39"/>
      <c r="CL142" s="39"/>
      <c r="CM142" s="39"/>
      <c r="CN142" s="39"/>
      <c r="CO142" s="39"/>
      <c r="CP142" s="39"/>
      <c r="CQ142" s="39"/>
      <c r="CR142" s="39"/>
      <c r="CS142" s="39"/>
      <c r="CT142" s="39"/>
      <c r="CU142" s="39"/>
      <c r="CV142" s="39"/>
      <c r="CW142" s="39"/>
      <c r="CX142" s="39"/>
      <c r="CY142" s="39"/>
      <c r="CZ142" s="39"/>
      <c r="DA142" s="39"/>
      <c r="DB142" s="39"/>
      <c r="DC142" s="39"/>
      <c r="DD142" s="39"/>
      <c r="DE142" s="39"/>
      <c r="DF142" s="39"/>
      <c r="DG142" s="39"/>
      <c r="DH142" s="39"/>
      <c r="DI142" s="39"/>
      <c r="DJ142" s="39"/>
      <c r="DK142" s="39"/>
      <c r="DL142" s="39"/>
      <c r="DM142" s="39"/>
      <c r="DN142" s="39"/>
      <c r="DO142" s="39"/>
      <c r="DP142" s="39"/>
      <c r="DQ142" s="39"/>
      <c r="DR142" s="39"/>
      <c r="DS142" s="39"/>
      <c r="DT142" s="39"/>
      <c r="DU142" s="39"/>
      <c r="DV142" s="39"/>
      <c r="DW142" s="39"/>
      <c r="DX142" s="39"/>
      <c r="DY142" s="39"/>
      <c r="DZ142" s="39"/>
      <c r="EA142" s="39"/>
      <c r="EB142" s="39"/>
      <c r="EC142" s="39"/>
      <c r="ED142" s="39"/>
      <c r="EE142" s="39"/>
      <c r="EF142" s="39"/>
      <c r="EG142" s="39"/>
      <c r="EH142" s="39"/>
      <c r="EI142" s="39"/>
      <c r="EJ142" s="39"/>
      <c r="EK142" s="39"/>
      <c r="EL142" s="39"/>
      <c r="EM142" s="39"/>
      <c r="EN142" s="39"/>
      <c r="EO142" s="39"/>
      <c r="EP142" s="39"/>
      <c r="EQ142" s="39"/>
      <c r="ER142" s="39"/>
      <c r="ES142" s="39"/>
      <c r="ET142" s="39"/>
      <c r="EU142" s="39"/>
      <c r="EV142" s="39"/>
      <c r="EW142" s="39"/>
      <c r="EX142" s="41" t="b">
        <f aca="false">TRUE()</f>
        <v>1</v>
      </c>
      <c r="EY142" s="39"/>
      <c r="EZ142" s="39"/>
      <c r="FA142" s="39"/>
      <c r="FB142" s="39"/>
      <c r="FC142" s="39"/>
      <c r="FD142" s="39"/>
      <c r="FE142" s="39"/>
      <c r="FF142" s="39"/>
      <c r="FG142" s="39"/>
      <c r="FH142" s="39"/>
      <c r="FI142" s="39"/>
      <c r="FJ142" s="39"/>
      <c r="FK142" s="39"/>
      <c r="FL142" s="39"/>
      <c r="FM142" s="39"/>
      <c r="FN142" s="39"/>
      <c r="FO142" s="39"/>
      <c r="FP142" s="39"/>
      <c r="FQ142" s="39"/>
      <c r="FR142" s="39"/>
      <c r="FS142" s="39"/>
      <c r="FT142" s="39"/>
      <c r="FU142" s="39"/>
      <c r="FV142" s="39"/>
      <c r="FW142" s="39"/>
      <c r="FX142" s="39"/>
      <c r="FY142" s="39"/>
      <c r="FZ142" s="39"/>
      <c r="GA142" s="39"/>
      <c r="GB142" s="39"/>
      <c r="GC142" s="39"/>
      <c r="GD142" s="39"/>
      <c r="GE142" s="39"/>
      <c r="GF142" s="39"/>
      <c r="GG142" s="39"/>
      <c r="GH142" s="39"/>
      <c r="GI142" s="39"/>
      <c r="GJ142" s="39"/>
      <c r="GK142" s="39"/>
      <c r="GL142" s="39"/>
      <c r="GM142" s="41" t="b">
        <f aca="false">TRUE()</f>
        <v>1</v>
      </c>
      <c r="GN142" s="39"/>
      <c r="GO142" s="39"/>
      <c r="GP142" s="39"/>
      <c r="GQ142" s="39"/>
      <c r="GR142" s="39"/>
      <c r="GS142" s="39"/>
      <c r="GT142" s="39"/>
      <c r="GU142" s="39"/>
      <c r="GV142" s="39"/>
      <c r="GW142" s="39"/>
      <c r="GX142" s="39"/>
      <c r="GY142" s="39"/>
      <c r="GZ142" s="39"/>
      <c r="HA142" s="39"/>
      <c r="HB142" s="39"/>
      <c r="HC142" s="39"/>
      <c r="HD142" s="39"/>
      <c r="HE142" s="39"/>
      <c r="HF142" s="39"/>
      <c r="HG142" s="39"/>
      <c r="HH142" s="39"/>
      <c r="HI142" s="39"/>
      <c r="HJ142" s="39"/>
      <c r="HK142" s="39"/>
      <c r="HL142" s="39"/>
      <c r="HM142" s="39"/>
      <c r="HN142" s="39"/>
      <c r="HO142" s="39"/>
      <c r="HP142" s="39"/>
      <c r="HQ142" s="39"/>
      <c r="HR142" s="39"/>
      <c r="HS142" s="39"/>
      <c r="HT142" s="39"/>
      <c r="HU142" s="39"/>
      <c r="HV142" s="39"/>
      <c r="HW142" s="39"/>
      <c r="HX142" s="39"/>
      <c r="HY142" s="39"/>
      <c r="HZ142" s="39"/>
      <c r="IA142" s="39"/>
      <c r="IB142" s="39"/>
      <c r="IC142" s="39"/>
      <c r="ID142" s="41" t="b">
        <f aca="false">TRUE()</f>
        <v>1</v>
      </c>
      <c r="IE142" s="39"/>
      <c r="IF142" s="39"/>
      <c r="IG142" s="39"/>
      <c r="IH142" s="39"/>
      <c r="II142" s="39"/>
      <c r="IJ142" s="39"/>
      <c r="IK142" s="39"/>
      <c r="IL142" s="39"/>
      <c r="IM142" s="39"/>
      <c r="IN142" s="39"/>
      <c r="IO142" s="39"/>
      <c r="IP142" s="39"/>
      <c r="IQ142" s="39"/>
      <c r="IR142" s="39"/>
      <c r="IS142" s="39"/>
      <c r="IT142" s="39"/>
      <c r="IU142" s="39"/>
      <c r="IV142" s="39"/>
      <c r="IW142" s="39"/>
      <c r="IX142" s="39"/>
      <c r="IY142" s="39"/>
      <c r="IZ142" s="39"/>
      <c r="JA142" s="39"/>
      <c r="JB142" s="39"/>
      <c r="JC142" s="39"/>
      <c r="JD142" s="39"/>
      <c r="JE142" s="39"/>
      <c r="JF142" s="39"/>
      <c r="JG142" s="39"/>
      <c r="JH142" s="39"/>
      <c r="JI142" s="39"/>
      <c r="JJ142" s="39"/>
      <c r="JK142" s="39"/>
      <c r="JL142" s="39"/>
      <c r="JM142" s="39"/>
      <c r="JN142" s="39"/>
      <c r="JO142" s="39"/>
      <c r="JP142" s="39"/>
      <c r="JQ142" s="39"/>
      <c r="JR142" s="39"/>
      <c r="JS142" s="39"/>
      <c r="JT142" s="41" t="b">
        <f aca="false">TRUE()</f>
        <v>1</v>
      </c>
      <c r="JU142" s="39"/>
      <c r="JV142" s="39"/>
      <c r="JW142" s="39"/>
      <c r="JX142" s="39"/>
      <c r="JY142" s="39"/>
      <c r="JZ142" s="39"/>
      <c r="KA142" s="39"/>
      <c r="KB142" s="39"/>
      <c r="KC142" s="39"/>
      <c r="KD142" s="39"/>
      <c r="KE142" s="39"/>
      <c r="KF142" s="39"/>
      <c r="KG142" s="39"/>
      <c r="KH142" s="39"/>
      <c r="KI142" s="39"/>
      <c r="KJ142" s="39"/>
      <c r="KK142" s="39"/>
      <c r="KL142" s="39"/>
      <c r="KM142" s="39"/>
      <c r="KN142" s="39"/>
      <c r="KO142" s="39"/>
      <c r="KP142" s="41" t="b">
        <f aca="false">TRUE()</f>
        <v>1</v>
      </c>
      <c r="KQ142" s="41" t="b">
        <f aca="false">TRUE()</f>
        <v>1</v>
      </c>
      <c r="KR142" s="39"/>
      <c r="KS142" s="39"/>
      <c r="KT142" s="41" t="b">
        <f aca="false">TRUE()</f>
        <v>1</v>
      </c>
      <c r="KU142" s="39"/>
    </row>
    <row r="143" customFormat="false" ht="14.4" hidden="false" customHeight="false" outlineLevel="0" collapsed="false">
      <c r="A143" s="37" t="s">
        <v>305</v>
      </c>
      <c r="B143" s="37" t="s">
        <v>3248</v>
      </c>
      <c r="C143" s="37"/>
      <c r="D143" s="37"/>
      <c r="E143" s="37"/>
      <c r="F143" s="37" t="s">
        <v>3249</v>
      </c>
      <c r="G143" s="37" t="s">
        <v>3250</v>
      </c>
      <c r="H143" s="37" t="s">
        <v>1029</v>
      </c>
      <c r="I143" s="37" t="s">
        <v>310</v>
      </c>
      <c r="J143" s="37" t="s">
        <v>311</v>
      </c>
      <c r="K143" s="37"/>
      <c r="L143" s="37"/>
      <c r="M143" s="37"/>
      <c r="N143" s="37"/>
      <c r="O143" s="37" t="s">
        <v>3251</v>
      </c>
      <c r="P143" s="37" t="s">
        <v>3252</v>
      </c>
      <c r="Q143" s="37" t="s">
        <v>3253</v>
      </c>
      <c r="R143" s="37" t="s">
        <v>3254</v>
      </c>
      <c r="S143" s="37" t="s">
        <v>3255</v>
      </c>
      <c r="T143" s="37" t="s">
        <v>3256</v>
      </c>
      <c r="U143" s="37" t="s">
        <v>3257</v>
      </c>
      <c r="V143" s="37" t="s">
        <v>3258</v>
      </c>
      <c r="W143" s="37" t="s">
        <v>3259</v>
      </c>
      <c r="X143" s="37" t="s">
        <v>3260</v>
      </c>
      <c r="Y143" s="37" t="s">
        <v>3261</v>
      </c>
      <c r="Z143" s="37" t="s">
        <v>3262</v>
      </c>
      <c r="AA143" s="37" t="n">
        <v>98</v>
      </c>
      <c r="AB143" s="37" t="n">
        <v>13</v>
      </c>
      <c r="AC143" s="37" t="n">
        <v>13</v>
      </c>
      <c r="AD143" s="37" t="n">
        <v>10</v>
      </c>
      <c r="AE143" s="37" t="n">
        <v>27</v>
      </c>
      <c r="AF143" s="37" t="s">
        <v>1039</v>
      </c>
      <c r="AG143" s="37" t="s">
        <v>1040</v>
      </c>
      <c r="AH143" s="37" t="s">
        <v>1041</v>
      </c>
      <c r="AI143" s="37" t="s">
        <v>1042</v>
      </c>
      <c r="AJ143" s="37" t="s">
        <v>1043</v>
      </c>
      <c r="AK143" s="37"/>
      <c r="AL143" s="37" t="s">
        <v>1044</v>
      </c>
      <c r="AM143" s="37" t="s">
        <v>1045</v>
      </c>
      <c r="AN143" s="37" t="s">
        <v>749</v>
      </c>
      <c r="AO143" s="37" t="n">
        <v>2023</v>
      </c>
      <c r="AP143" s="37" t="n">
        <v>345</v>
      </c>
      <c r="AQ143" s="37"/>
      <c r="AR143" s="37"/>
      <c r="AS143" s="37"/>
      <c r="AT143" s="37"/>
      <c r="AU143" s="37" t="n">
        <v>118697</v>
      </c>
      <c r="AV143" s="37" t="s">
        <v>3263</v>
      </c>
      <c r="AW143" s="37" t="str">
        <f aca="false">HYPERLINK("http://dx.doi.org/10.1016/j.jenvman.2023.118697","http://dx.doi.org/10.1016/j.jenvman.2023.118697")</f>
        <v>http://dx.doi.org/10.1016/j.jenvman.2023.118697</v>
      </c>
      <c r="AX143" s="37" t="s">
        <v>751</v>
      </c>
      <c r="AY143" s="37" t="n">
        <v>16</v>
      </c>
      <c r="AZ143" s="37" t="s">
        <v>500</v>
      </c>
      <c r="BA143" s="37" t="s">
        <v>331</v>
      </c>
      <c r="BB143" s="37" t="s">
        <v>501</v>
      </c>
      <c r="BC143" s="37" t="s">
        <v>3264</v>
      </c>
      <c r="BD143" s="37" t="n">
        <v>37688967</v>
      </c>
      <c r="BE143" s="37"/>
      <c r="BF143" s="37" t="s">
        <v>334</v>
      </c>
      <c r="BG143" s="37" t="s">
        <v>3265</v>
      </c>
      <c r="BH143" s="37" t="str">
        <f aca="false">HYPERLINK("https%3A%2F%2Fwww.webofscience.com%2Fwos%2Fwoscc%2Ffull-record%2FWOS:001075540600001","View Full Record in Web of Science")</f>
        <v>View Full Record in Web of Science</v>
      </c>
      <c r="BI143" s="41" t="b">
        <f aca="false">TRUE()</f>
        <v>1</v>
      </c>
      <c r="BJ143" s="39"/>
      <c r="BK143" s="39"/>
      <c r="BL143" s="39"/>
      <c r="BM143" s="39"/>
      <c r="BN143" s="39"/>
      <c r="BO143" s="39"/>
      <c r="BP143" s="39"/>
      <c r="BQ143" s="39"/>
      <c r="BR143" s="39"/>
      <c r="BS143" s="39"/>
      <c r="BT143" s="39"/>
      <c r="BU143" s="39"/>
      <c r="BV143" s="39"/>
      <c r="BW143" s="39"/>
      <c r="BX143" s="39"/>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41" t="b">
        <f aca="false">TRUE()</f>
        <v>1</v>
      </c>
      <c r="CW143" s="41" t="b">
        <f aca="false">TRUE()</f>
        <v>1</v>
      </c>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41" t="b">
        <f aca="false">TRUE()</f>
        <v>1</v>
      </c>
      <c r="EB143" s="39"/>
      <c r="EC143" s="39"/>
      <c r="ED143" s="39"/>
      <c r="EE143" s="39"/>
      <c r="EF143" s="39"/>
      <c r="EG143" s="39"/>
      <c r="EH143" s="39"/>
      <c r="EI143" s="41" t="b">
        <f aca="false">TRUE()</f>
        <v>1</v>
      </c>
      <c r="EJ143" s="39"/>
      <c r="EK143" s="39"/>
      <c r="EL143" s="39"/>
      <c r="EM143" s="39"/>
      <c r="EN143" s="39"/>
      <c r="EO143" s="39"/>
      <c r="EP143" s="39"/>
      <c r="EQ143" s="39"/>
      <c r="ER143" s="39"/>
      <c r="ES143" s="39"/>
      <c r="ET143" s="39"/>
      <c r="EU143" s="39"/>
      <c r="EV143" s="41" t="b">
        <f aca="false">TRUE()</f>
        <v>1</v>
      </c>
      <c r="EW143" s="41" t="b">
        <f aca="false">TRUE()</f>
        <v>1</v>
      </c>
      <c r="EX143" s="39"/>
      <c r="EY143" s="39"/>
      <c r="EZ143" s="39"/>
      <c r="FA143" s="39"/>
      <c r="FB143" s="39"/>
      <c r="FC143" s="39"/>
      <c r="FD143" s="39"/>
      <c r="FE143" s="39"/>
      <c r="FF143" s="39"/>
      <c r="FG143" s="39"/>
      <c r="FH143" s="39"/>
      <c r="FI143" s="39"/>
      <c r="FJ143" s="39"/>
      <c r="FK143" s="39"/>
      <c r="FL143" s="39"/>
      <c r="FM143" s="39"/>
      <c r="FN143" s="39"/>
      <c r="FO143" s="39"/>
      <c r="FP143" s="39"/>
      <c r="FQ143" s="39"/>
      <c r="FR143" s="39"/>
      <c r="FS143" s="39"/>
      <c r="FT143" s="39"/>
      <c r="FU143" s="39"/>
      <c r="FV143" s="39"/>
      <c r="FW143" s="39"/>
      <c r="FX143" s="39"/>
      <c r="FY143" s="39"/>
      <c r="FZ143" s="39"/>
      <c r="GA143" s="39"/>
      <c r="GB143" s="39"/>
      <c r="GC143" s="39"/>
      <c r="GD143" s="39"/>
      <c r="GE143" s="39"/>
      <c r="GF143" s="39"/>
      <c r="GG143" s="39"/>
      <c r="GH143" s="39"/>
      <c r="GI143" s="39"/>
      <c r="GJ143" s="39"/>
      <c r="GK143" s="39"/>
      <c r="GL143" s="39"/>
      <c r="GM143" s="39"/>
      <c r="GN143" s="39"/>
      <c r="GO143" s="39"/>
      <c r="GP143" s="39"/>
      <c r="GQ143" s="39"/>
      <c r="GR143" s="39"/>
      <c r="GS143" s="39"/>
      <c r="GT143" s="39"/>
      <c r="GU143" s="39"/>
      <c r="GV143" s="39"/>
      <c r="GW143" s="39"/>
      <c r="GX143" s="39"/>
      <c r="GY143" s="39"/>
      <c r="GZ143" s="39"/>
      <c r="HA143" s="39"/>
      <c r="HB143" s="39"/>
      <c r="HC143" s="39"/>
      <c r="HD143" s="39"/>
      <c r="HE143" s="39"/>
      <c r="HF143" s="39"/>
      <c r="HG143" s="39"/>
      <c r="HH143" s="39"/>
      <c r="HI143" s="39"/>
      <c r="HJ143" s="39"/>
      <c r="HK143" s="39"/>
      <c r="HL143" s="39"/>
      <c r="HM143" s="39"/>
      <c r="HN143" s="39"/>
      <c r="HO143" s="39"/>
      <c r="HP143" s="39"/>
      <c r="HQ143" s="39"/>
      <c r="HR143" s="39"/>
      <c r="HS143" s="39"/>
      <c r="HT143" s="39"/>
      <c r="HU143" s="39"/>
      <c r="HV143" s="39"/>
      <c r="HW143" s="39"/>
      <c r="HX143" s="39"/>
      <c r="HY143" s="39"/>
      <c r="HZ143" s="39"/>
      <c r="IA143" s="39"/>
      <c r="IB143" s="39"/>
      <c r="IC143" s="39"/>
      <c r="ID143" s="41" t="b">
        <f aca="false">TRUE()</f>
        <v>1</v>
      </c>
      <c r="IE143" s="39"/>
      <c r="IF143" s="39"/>
      <c r="IG143" s="39"/>
      <c r="IH143" s="39"/>
      <c r="II143" s="39"/>
      <c r="IJ143" s="39"/>
      <c r="IK143" s="39"/>
      <c r="IL143" s="39"/>
      <c r="IM143" s="39"/>
      <c r="IN143" s="39"/>
      <c r="IO143" s="39"/>
      <c r="IP143" s="39"/>
      <c r="IQ143" s="39"/>
      <c r="IR143" s="39"/>
      <c r="IS143" s="39"/>
      <c r="IT143" s="39"/>
      <c r="IU143" s="39"/>
      <c r="IV143" s="39"/>
      <c r="IW143" s="39"/>
      <c r="IX143" s="39"/>
      <c r="IY143" s="39"/>
      <c r="IZ143" s="39"/>
      <c r="JA143" s="39"/>
      <c r="JB143" s="39"/>
      <c r="JC143" s="39"/>
      <c r="JD143" s="39"/>
      <c r="JE143" s="39"/>
      <c r="JF143" s="39"/>
      <c r="JG143" s="39"/>
      <c r="JH143" s="39"/>
      <c r="JI143" s="39"/>
      <c r="JJ143" s="39"/>
      <c r="JK143" s="39"/>
      <c r="JL143" s="39"/>
      <c r="JM143" s="39"/>
      <c r="JN143" s="39"/>
      <c r="JO143" s="39"/>
      <c r="JP143" s="39"/>
      <c r="JQ143" s="39"/>
      <c r="JR143" s="39"/>
      <c r="JS143" s="39"/>
      <c r="JT143" s="39"/>
      <c r="JU143" s="39"/>
      <c r="JV143" s="39"/>
      <c r="JW143" s="39"/>
      <c r="JX143" s="39"/>
      <c r="JY143" s="39"/>
      <c r="JZ143" s="39"/>
      <c r="KA143" s="39"/>
      <c r="KB143" s="39"/>
      <c r="KC143" s="39"/>
      <c r="KD143" s="39"/>
      <c r="KE143" s="39"/>
      <c r="KF143" s="41" t="b">
        <f aca="false">TRUE()</f>
        <v>1</v>
      </c>
      <c r="KG143" s="39"/>
      <c r="KH143" s="39"/>
      <c r="KI143" s="39"/>
      <c r="KJ143" s="39"/>
      <c r="KK143" s="39"/>
      <c r="KL143" s="39"/>
      <c r="KM143" s="39"/>
      <c r="KN143" s="39"/>
      <c r="KO143" s="39"/>
      <c r="KP143" s="39"/>
      <c r="KQ143" s="41" t="b">
        <f aca="false">TRUE()</f>
        <v>1</v>
      </c>
      <c r="KR143" s="39"/>
      <c r="KS143" s="39"/>
      <c r="KT143" s="41" t="b">
        <f aca="false">TRUE()</f>
        <v>1</v>
      </c>
      <c r="KU143" s="39"/>
    </row>
    <row r="144" customFormat="false" ht="14.4" hidden="false" customHeight="false" outlineLevel="0" collapsed="false">
      <c r="A144" s="37" t="s">
        <v>305</v>
      </c>
      <c r="B144" s="37" t="s">
        <v>3266</v>
      </c>
      <c r="C144" s="37"/>
      <c r="D144" s="37"/>
      <c r="E144" s="37"/>
      <c r="F144" s="37" t="s">
        <v>3267</v>
      </c>
      <c r="G144" s="37" t="s">
        <v>3268</v>
      </c>
      <c r="H144" s="37" t="s">
        <v>3208</v>
      </c>
      <c r="I144" s="37" t="s">
        <v>310</v>
      </c>
      <c r="J144" s="37" t="s">
        <v>311</v>
      </c>
      <c r="K144" s="37"/>
      <c r="L144" s="37"/>
      <c r="M144" s="37"/>
      <c r="N144" s="37"/>
      <c r="O144" s="37" t="s">
        <v>3269</v>
      </c>
      <c r="P144" s="37" t="s">
        <v>3270</v>
      </c>
      <c r="Q144" s="37" t="s">
        <v>3271</v>
      </c>
      <c r="R144" s="37" t="s">
        <v>3272</v>
      </c>
      <c r="S144" s="37" t="s">
        <v>3273</v>
      </c>
      <c r="T144" s="37" t="s">
        <v>3274</v>
      </c>
      <c r="U144" s="37" t="s">
        <v>3275</v>
      </c>
      <c r="V144" s="37" t="s">
        <v>3276</v>
      </c>
      <c r="W144" s="37"/>
      <c r="X144" s="37"/>
      <c r="Y144" s="37"/>
      <c r="Z144" s="37"/>
      <c r="AA144" s="37" t="n">
        <v>72</v>
      </c>
      <c r="AB144" s="37" t="n">
        <v>66</v>
      </c>
      <c r="AC144" s="37" t="n">
        <v>68</v>
      </c>
      <c r="AD144" s="37" t="n">
        <v>6</v>
      </c>
      <c r="AE144" s="37" t="n">
        <v>67</v>
      </c>
      <c r="AF144" s="37" t="s">
        <v>353</v>
      </c>
      <c r="AG144" s="37" t="s">
        <v>354</v>
      </c>
      <c r="AH144" s="37" t="s">
        <v>355</v>
      </c>
      <c r="AI144" s="37" t="s">
        <v>3221</v>
      </c>
      <c r="AJ144" s="37" t="s">
        <v>3222</v>
      </c>
      <c r="AK144" s="37"/>
      <c r="AL144" s="37" t="s">
        <v>3223</v>
      </c>
      <c r="AM144" s="37" t="s">
        <v>3224</v>
      </c>
      <c r="AN144" s="37" t="s">
        <v>572</v>
      </c>
      <c r="AO144" s="37" t="n">
        <v>2021</v>
      </c>
      <c r="AP144" s="37" t="n">
        <v>65</v>
      </c>
      <c r="AQ144" s="37"/>
      <c r="AR144" s="37"/>
      <c r="AS144" s="37"/>
      <c r="AT144" s="37"/>
      <c r="AU144" s="37" t="n">
        <v>101397</v>
      </c>
      <c r="AV144" s="37" t="s">
        <v>3277</v>
      </c>
      <c r="AW144" s="37" t="str">
        <f aca="false">HYPERLINK("http://dx.doi.org/10.1016/j.ecoinf.2021.101397","http://dx.doi.org/10.1016/j.ecoinf.2021.101397")</f>
        <v>http://dx.doi.org/10.1016/j.ecoinf.2021.101397</v>
      </c>
      <c r="AX144" s="37" t="s">
        <v>3278</v>
      </c>
      <c r="AY144" s="37" t="n">
        <v>15</v>
      </c>
      <c r="AZ144" s="37" t="s">
        <v>3226</v>
      </c>
      <c r="BA144" s="37" t="s">
        <v>331</v>
      </c>
      <c r="BB144" s="37" t="s">
        <v>501</v>
      </c>
      <c r="BC144" s="37" t="s">
        <v>3279</v>
      </c>
      <c r="BD144" s="37"/>
      <c r="BE144" s="37"/>
      <c r="BF144" s="37" t="s">
        <v>334</v>
      </c>
      <c r="BG144" s="37" t="s">
        <v>3280</v>
      </c>
      <c r="BH144" s="37" t="str">
        <f aca="false">HYPERLINK("https%3A%2F%2Fwww.webofscience.com%2Fwos%2Fwoscc%2Ffull-record%2FWOS:000703766700001","View Full Record in Web of Science")</f>
        <v>View Full Record in Web of Science</v>
      </c>
      <c r="BI144" s="39" t="s">
        <v>336</v>
      </c>
      <c r="BJ144" s="39"/>
      <c r="BK144" s="39"/>
      <c r="BL144" s="39"/>
      <c r="BM144" s="39"/>
      <c r="BN144" s="39"/>
      <c r="BO144" s="39"/>
      <c r="BP144" s="39"/>
      <c r="BQ144" s="39"/>
      <c r="BR144" s="39"/>
      <c r="BS144" s="39"/>
      <c r="BT144" s="39"/>
      <c r="BU144" s="39"/>
      <c r="BV144" s="39"/>
      <c r="BW144" s="39"/>
      <c r="BX144" s="39"/>
      <c r="BY144" s="41" t="b">
        <f aca="false">TRUE()</f>
        <v>1</v>
      </c>
      <c r="BZ144" s="39"/>
      <c r="CA144" s="39"/>
      <c r="CB144" s="39"/>
      <c r="CC144" s="39"/>
      <c r="CD144" s="39"/>
      <c r="CE144" s="39"/>
      <c r="CF144" s="39"/>
      <c r="CG144" s="39"/>
      <c r="CH144" s="39"/>
      <c r="CI144" s="39"/>
      <c r="CJ144" s="39"/>
      <c r="CK144" s="39"/>
      <c r="CL144" s="39"/>
      <c r="CM144" s="39"/>
      <c r="CN144" s="39"/>
      <c r="CO144" s="39"/>
      <c r="CP144" s="39"/>
      <c r="CQ144" s="39"/>
      <c r="CR144" s="39"/>
      <c r="CS144" s="39"/>
      <c r="CT144" s="39"/>
      <c r="CU144" s="39"/>
      <c r="CV144" s="39"/>
      <c r="CW144" s="39"/>
      <c r="CX144" s="39"/>
      <c r="CY144" s="39"/>
      <c r="CZ144" s="39"/>
      <c r="DA144" s="39"/>
      <c r="DB144" s="39"/>
      <c r="DC144" s="39"/>
      <c r="DD144" s="39"/>
      <c r="DE144" s="39"/>
      <c r="DF144" s="39"/>
      <c r="DG144" s="39"/>
      <c r="DH144" s="39"/>
      <c r="DI144" s="39"/>
      <c r="DJ144" s="39"/>
      <c r="DK144" s="39"/>
      <c r="DL144" s="39"/>
      <c r="DM144" s="39"/>
      <c r="DN144" s="39"/>
      <c r="DO144" s="39"/>
      <c r="DP144" s="39"/>
      <c r="DQ144" s="39"/>
      <c r="DR144" s="39"/>
      <c r="DS144" s="39"/>
      <c r="DT144" s="41" t="b">
        <f aca="false">TRUE()</f>
        <v>1</v>
      </c>
      <c r="DU144" s="39"/>
      <c r="DV144" s="39"/>
      <c r="DW144" s="39"/>
      <c r="DX144" s="39"/>
      <c r="DY144" s="39"/>
      <c r="DZ144" s="39"/>
      <c r="EA144" s="39"/>
      <c r="EB144" s="39"/>
      <c r="EC144" s="39"/>
      <c r="ED144" s="39"/>
      <c r="EE144" s="39"/>
      <c r="EF144" s="39"/>
      <c r="EG144" s="39"/>
      <c r="EH144" s="39"/>
      <c r="EI144" s="39"/>
      <c r="EJ144" s="39"/>
      <c r="EK144" s="39"/>
      <c r="EL144" s="39"/>
      <c r="EM144" s="39"/>
      <c r="EN144" s="39"/>
      <c r="EO144" s="39"/>
      <c r="EP144" s="39"/>
      <c r="EQ144" s="39"/>
      <c r="ER144" s="39"/>
      <c r="ES144" s="39"/>
      <c r="ET144" s="39"/>
      <c r="EU144" s="39"/>
      <c r="EV144" s="39"/>
      <c r="EW144" s="39"/>
      <c r="EX144" s="39"/>
      <c r="EY144" s="39"/>
      <c r="EZ144" s="39"/>
      <c r="FA144" s="39"/>
      <c r="FB144" s="39"/>
      <c r="FC144" s="39"/>
      <c r="FD144" s="39"/>
      <c r="FE144" s="39"/>
      <c r="FF144" s="41" t="b">
        <f aca="false">TRUE()</f>
        <v>1</v>
      </c>
      <c r="FG144" s="39"/>
      <c r="FH144" s="39"/>
      <c r="FI144" s="41" t="b">
        <f aca="false">TRUE()</f>
        <v>1</v>
      </c>
      <c r="FJ144" s="39"/>
      <c r="FK144" s="39"/>
      <c r="FL144" s="39"/>
      <c r="FM144" s="39"/>
      <c r="FN144" s="39"/>
      <c r="FO144" s="39"/>
      <c r="FP144" s="39"/>
      <c r="FQ144" s="39"/>
      <c r="FR144" s="39"/>
      <c r="FS144" s="39"/>
      <c r="FT144" s="39"/>
      <c r="FU144" s="39"/>
      <c r="FV144" s="39"/>
      <c r="FW144" s="39"/>
      <c r="FX144" s="39"/>
      <c r="FY144" s="39"/>
      <c r="FZ144" s="39"/>
      <c r="GA144" s="39"/>
      <c r="GB144" s="39"/>
      <c r="GC144" s="39"/>
      <c r="GD144" s="39"/>
      <c r="GE144" s="39"/>
      <c r="GF144" s="39"/>
      <c r="GG144" s="39"/>
      <c r="GH144" s="39"/>
      <c r="GI144" s="39"/>
      <c r="GJ144" s="39"/>
      <c r="GK144" s="39"/>
      <c r="GL144" s="39"/>
      <c r="GM144" s="39"/>
      <c r="GN144" s="39"/>
      <c r="GO144" s="39"/>
      <c r="GP144" s="39"/>
      <c r="GQ144" s="39"/>
      <c r="GR144" s="39"/>
      <c r="GS144" s="39"/>
      <c r="GT144" s="39"/>
      <c r="GU144" s="39"/>
      <c r="GV144" s="39"/>
      <c r="GW144" s="39"/>
      <c r="GX144" s="39"/>
      <c r="GY144" s="39"/>
      <c r="GZ144" s="39"/>
      <c r="HA144" s="39"/>
      <c r="HB144" s="39"/>
      <c r="HC144" s="39"/>
      <c r="HD144" s="39"/>
      <c r="HE144" s="39"/>
      <c r="HF144" s="39"/>
      <c r="HG144" s="39"/>
      <c r="HH144" s="39"/>
      <c r="HI144" s="39"/>
      <c r="HJ144" s="39"/>
      <c r="HK144" s="39"/>
      <c r="HL144" s="39"/>
      <c r="HM144" s="39"/>
      <c r="HN144" s="39"/>
      <c r="HO144" s="39"/>
      <c r="HP144" s="39"/>
      <c r="HQ144" s="39"/>
      <c r="HR144" s="39"/>
      <c r="HS144" s="39"/>
      <c r="HT144" s="39"/>
      <c r="HU144" s="39"/>
      <c r="HV144" s="39"/>
      <c r="HW144" s="39"/>
      <c r="HX144" s="39"/>
      <c r="HY144" s="39"/>
      <c r="HZ144" s="39"/>
      <c r="IA144" s="39"/>
      <c r="IB144" s="39"/>
      <c r="IC144" s="39"/>
      <c r="ID144" s="39"/>
      <c r="IE144" s="39"/>
      <c r="IF144" s="39"/>
      <c r="IG144" s="39"/>
      <c r="IH144" s="39"/>
      <c r="II144" s="39"/>
      <c r="IJ144" s="39"/>
      <c r="IK144" s="39"/>
      <c r="IL144" s="39"/>
      <c r="IM144" s="39"/>
      <c r="IN144" s="39"/>
      <c r="IO144" s="39"/>
      <c r="IP144" s="39"/>
      <c r="IQ144" s="39"/>
      <c r="IR144" s="39"/>
      <c r="IS144" s="39"/>
      <c r="IT144" s="39"/>
      <c r="IU144" s="39"/>
      <c r="IV144" s="39"/>
      <c r="IW144" s="39"/>
      <c r="IX144" s="39"/>
      <c r="IY144" s="39"/>
      <c r="IZ144" s="39"/>
      <c r="JA144" s="39"/>
      <c r="JB144" s="39"/>
      <c r="JC144" s="41" t="b">
        <f aca="false">TRUE()</f>
        <v>1</v>
      </c>
      <c r="JD144" s="39"/>
      <c r="JE144" s="39"/>
      <c r="JF144" s="39"/>
      <c r="JG144" s="39"/>
      <c r="JH144" s="39"/>
      <c r="JI144" s="39"/>
      <c r="JJ144" s="39"/>
      <c r="JK144" s="39"/>
      <c r="JL144" s="39"/>
      <c r="JM144" s="39"/>
      <c r="JN144" s="39"/>
      <c r="JO144" s="39"/>
      <c r="JP144" s="39"/>
      <c r="JQ144" s="39"/>
      <c r="JR144" s="39"/>
      <c r="JS144" s="39"/>
      <c r="JT144" s="41" t="b">
        <f aca="false">TRUE()</f>
        <v>1</v>
      </c>
      <c r="JU144" s="39"/>
      <c r="JV144" s="39"/>
      <c r="JW144" s="39"/>
      <c r="JX144" s="39"/>
      <c r="JY144" s="39"/>
      <c r="JZ144" s="39"/>
      <c r="KA144" s="39"/>
      <c r="KB144" s="39"/>
      <c r="KC144" s="39"/>
      <c r="KD144" s="39"/>
      <c r="KE144" s="39"/>
      <c r="KF144" s="39"/>
      <c r="KG144" s="39"/>
      <c r="KH144" s="39"/>
      <c r="KI144" s="39"/>
      <c r="KJ144" s="39"/>
      <c r="KK144" s="39"/>
      <c r="KL144" s="39"/>
      <c r="KM144" s="39"/>
      <c r="KN144" s="39"/>
      <c r="KO144" s="39"/>
      <c r="KP144" s="39"/>
      <c r="KQ144" s="41" t="b">
        <f aca="false">TRUE()</f>
        <v>1</v>
      </c>
      <c r="KR144" s="39"/>
      <c r="KS144" s="39"/>
      <c r="KT144" s="41" t="b">
        <f aca="false">TRUE()</f>
        <v>1</v>
      </c>
      <c r="KU144" s="39"/>
    </row>
    <row r="145" customFormat="false" ht="14.4" hidden="false" customHeight="false" outlineLevel="0" collapsed="false">
      <c r="A145" s="37" t="s">
        <v>305</v>
      </c>
      <c r="B145" s="37" t="s">
        <v>3281</v>
      </c>
      <c r="C145" s="37"/>
      <c r="D145" s="37"/>
      <c r="E145" s="37"/>
      <c r="F145" s="37" t="s">
        <v>3282</v>
      </c>
      <c r="G145" s="37" t="s">
        <v>3283</v>
      </c>
      <c r="H145" s="37" t="s">
        <v>3284</v>
      </c>
      <c r="I145" s="37" t="s">
        <v>310</v>
      </c>
      <c r="J145" s="37" t="s">
        <v>311</v>
      </c>
      <c r="K145" s="37"/>
      <c r="L145" s="37"/>
      <c r="M145" s="37"/>
      <c r="N145" s="37"/>
      <c r="O145" s="37" t="s">
        <v>3285</v>
      </c>
      <c r="P145" s="37" t="s">
        <v>3286</v>
      </c>
      <c r="Q145" s="37" t="s">
        <v>3287</v>
      </c>
      <c r="R145" s="37" t="s">
        <v>3288</v>
      </c>
      <c r="S145" s="37" t="s">
        <v>3289</v>
      </c>
      <c r="T145" s="37" t="s">
        <v>3290</v>
      </c>
      <c r="U145" s="37" t="s">
        <v>3291</v>
      </c>
      <c r="V145" s="37" t="s">
        <v>3292</v>
      </c>
      <c r="W145" s="37" t="s">
        <v>3293</v>
      </c>
      <c r="X145" s="37" t="s">
        <v>3294</v>
      </c>
      <c r="Y145" s="37" t="s">
        <v>3295</v>
      </c>
      <c r="Z145" s="37" t="s">
        <v>3296</v>
      </c>
      <c r="AA145" s="37" t="n">
        <v>81</v>
      </c>
      <c r="AB145" s="37" t="n">
        <v>44</v>
      </c>
      <c r="AC145" s="37" t="n">
        <v>46</v>
      </c>
      <c r="AD145" s="37" t="n">
        <v>11</v>
      </c>
      <c r="AE145" s="37" t="n">
        <v>118</v>
      </c>
      <c r="AF145" s="37" t="s">
        <v>353</v>
      </c>
      <c r="AG145" s="37" t="s">
        <v>354</v>
      </c>
      <c r="AH145" s="37" t="s">
        <v>355</v>
      </c>
      <c r="AI145" s="37" t="s">
        <v>3297</v>
      </c>
      <c r="AJ145" s="37" t="s">
        <v>3298</v>
      </c>
      <c r="AK145" s="37"/>
      <c r="AL145" s="37" t="s">
        <v>3299</v>
      </c>
      <c r="AM145" s="37" t="s">
        <v>3300</v>
      </c>
      <c r="AN145" s="37" t="s">
        <v>3301</v>
      </c>
      <c r="AO145" s="37" t="n">
        <v>2021</v>
      </c>
      <c r="AP145" s="37" t="n">
        <v>786</v>
      </c>
      <c r="AQ145" s="37"/>
      <c r="AR145" s="37"/>
      <c r="AS145" s="37"/>
      <c r="AT145" s="37"/>
      <c r="AU145" s="37" t="n">
        <v>147293</v>
      </c>
      <c r="AV145" s="37" t="s">
        <v>3302</v>
      </c>
      <c r="AW145" s="37" t="str">
        <f aca="false">HYPERLINK("http://dx.doi.org/10.1016/j.scitotenv.2021.147293","http://dx.doi.org/10.1016/j.scitotenv.2021.147293")</f>
        <v>http://dx.doi.org/10.1016/j.scitotenv.2021.147293</v>
      </c>
      <c r="AX145" s="37" t="s">
        <v>3303</v>
      </c>
      <c r="AY145" s="37" t="n">
        <v>13</v>
      </c>
      <c r="AZ145" s="37" t="s">
        <v>500</v>
      </c>
      <c r="BA145" s="37" t="s">
        <v>1694</v>
      </c>
      <c r="BB145" s="37" t="s">
        <v>501</v>
      </c>
      <c r="BC145" s="37" t="s">
        <v>3304</v>
      </c>
      <c r="BD145" s="37" t="n">
        <v>33975115</v>
      </c>
      <c r="BE145" s="37" t="s">
        <v>684</v>
      </c>
      <c r="BF145" s="37" t="s">
        <v>334</v>
      </c>
      <c r="BG145" s="37" t="s">
        <v>3305</v>
      </c>
      <c r="BH145" s="37" t="str">
        <f aca="false">HYPERLINK("https%3A%2F%2Fwww.webofscience.com%2Fwos%2Fwoscc%2Ffull-record%2FWOS:000660250700014","View Full Record in Web of Science")</f>
        <v>View Full Record in Web of Science</v>
      </c>
      <c r="BI145" s="39"/>
      <c r="BJ145" s="39"/>
      <c r="BK145" s="39"/>
      <c r="BL145" s="39"/>
      <c r="BM145" s="39"/>
      <c r="BN145" s="39"/>
      <c r="BO145" s="39"/>
      <c r="BP145" s="39"/>
      <c r="BQ145" s="39"/>
      <c r="BR145" s="39"/>
      <c r="BS145" s="39"/>
      <c r="BT145" s="39"/>
      <c r="BU145" s="39"/>
      <c r="BV145" s="39"/>
      <c r="BW145" s="39"/>
      <c r="BX145" s="39"/>
      <c r="BY145" s="41" t="b">
        <f aca="false">TRUE()</f>
        <v>1</v>
      </c>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41" t="b">
        <f aca="false">TRUE()</f>
        <v>1</v>
      </c>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41" t="b">
        <f aca="false">TRUE()</f>
        <v>1</v>
      </c>
      <c r="EB145" s="39"/>
      <c r="EC145" s="39"/>
      <c r="ED145" s="39"/>
      <c r="EE145" s="39"/>
      <c r="EF145" s="39"/>
      <c r="EG145" s="39"/>
      <c r="EH145" s="39"/>
      <c r="EI145" s="39"/>
      <c r="EJ145" s="39"/>
      <c r="EK145" s="39"/>
      <c r="EL145" s="39"/>
      <c r="EM145" s="39"/>
      <c r="EN145" s="39"/>
      <c r="EO145" s="39"/>
      <c r="EP145" s="39"/>
      <c r="EQ145" s="39"/>
      <c r="ER145" s="39"/>
      <c r="ES145" s="39"/>
      <c r="ET145" s="39"/>
      <c r="EU145" s="39"/>
      <c r="EV145" s="39"/>
      <c r="EW145" s="39"/>
      <c r="EX145" s="39"/>
      <c r="EY145" s="41" t="b">
        <f aca="false">TRUE()</f>
        <v>1</v>
      </c>
      <c r="EZ145" s="39"/>
      <c r="FA145" s="39"/>
      <c r="FB145" s="39"/>
      <c r="FC145" s="39"/>
      <c r="FD145" s="39"/>
      <c r="FE145" s="39"/>
      <c r="FF145" s="39"/>
      <c r="FG145" s="39"/>
      <c r="FH145" s="39"/>
      <c r="FI145" s="39"/>
      <c r="FJ145" s="39"/>
      <c r="FK145" s="39"/>
      <c r="FL145" s="39"/>
      <c r="FM145" s="39"/>
      <c r="FN145" s="39"/>
      <c r="FO145" s="39"/>
      <c r="FP145" s="39"/>
      <c r="FQ145" s="39"/>
      <c r="FR145" s="39"/>
      <c r="FS145" s="39"/>
      <c r="FT145" s="39"/>
      <c r="FU145" s="39"/>
      <c r="FV145" s="39"/>
      <c r="FW145" s="39"/>
      <c r="FX145" s="39"/>
      <c r="FY145" s="39"/>
      <c r="FZ145" s="41" t="b">
        <f aca="false">TRUE()</f>
        <v>1</v>
      </c>
      <c r="GA145" s="39"/>
      <c r="GB145" s="39"/>
      <c r="GC145" s="39"/>
      <c r="GD145" s="39"/>
      <c r="GE145" s="39"/>
      <c r="GF145" s="39"/>
      <c r="GG145" s="39"/>
      <c r="GH145" s="39"/>
      <c r="GI145" s="39"/>
      <c r="GJ145" s="39"/>
      <c r="GK145" s="39"/>
      <c r="GL145" s="39"/>
      <c r="GM145" s="39"/>
      <c r="GN145" s="39"/>
      <c r="GO145" s="39"/>
      <c r="GP145" s="39"/>
      <c r="GQ145" s="39"/>
      <c r="GR145" s="39"/>
      <c r="GS145" s="39"/>
      <c r="GT145" s="39"/>
      <c r="GU145" s="39"/>
      <c r="GV145" s="39"/>
      <c r="GW145" s="39"/>
      <c r="GX145" s="39"/>
      <c r="GY145" s="39"/>
      <c r="GZ145" s="39"/>
      <c r="HA145" s="39"/>
      <c r="HB145" s="39"/>
      <c r="HC145" s="39"/>
      <c r="HD145" s="39"/>
      <c r="HE145" s="39"/>
      <c r="HF145" s="39"/>
      <c r="HG145" s="39"/>
      <c r="HH145" s="39"/>
      <c r="HI145" s="39"/>
      <c r="HJ145" s="39"/>
      <c r="HK145" s="41" t="b">
        <f aca="false">TRUE()</f>
        <v>1</v>
      </c>
      <c r="HL145" s="39"/>
      <c r="HM145" s="39"/>
      <c r="HN145" s="39"/>
      <c r="HO145" s="39"/>
      <c r="HP145" s="39"/>
      <c r="HQ145" s="39"/>
      <c r="HR145" s="39"/>
      <c r="HS145" s="41" t="b">
        <f aca="false">TRUE()</f>
        <v>1</v>
      </c>
      <c r="HT145" s="39"/>
      <c r="HU145" s="39"/>
      <c r="HV145" s="39"/>
      <c r="HW145" s="39"/>
      <c r="HX145" s="39"/>
      <c r="HY145" s="39"/>
      <c r="HZ145" s="39"/>
      <c r="IA145" s="39"/>
      <c r="IB145" s="39"/>
      <c r="IC145" s="39"/>
      <c r="ID145" s="39"/>
      <c r="IE145" s="39"/>
      <c r="IF145" s="39"/>
      <c r="IG145" s="39"/>
      <c r="IH145" s="39"/>
      <c r="II145" s="39"/>
      <c r="IJ145" s="39"/>
      <c r="IK145" s="39"/>
      <c r="IL145" s="39"/>
      <c r="IM145" s="39"/>
      <c r="IN145" s="39"/>
      <c r="IO145" s="39"/>
      <c r="IP145" s="39"/>
      <c r="IQ145" s="39"/>
      <c r="IR145" s="39"/>
      <c r="IS145" s="39"/>
      <c r="IT145" s="39"/>
      <c r="IU145" s="39"/>
      <c r="IV145" s="39"/>
      <c r="IW145" s="41" t="b">
        <f aca="false">TRUE()</f>
        <v>1</v>
      </c>
      <c r="IX145" s="39"/>
      <c r="IY145" s="39"/>
      <c r="IZ145" s="39"/>
      <c r="JA145" s="39"/>
      <c r="JB145" s="39"/>
      <c r="JC145" s="39"/>
      <c r="JD145" s="39"/>
      <c r="JE145" s="39"/>
      <c r="JF145" s="39"/>
      <c r="JG145" s="39"/>
      <c r="JH145" s="39"/>
      <c r="JI145" s="39"/>
      <c r="JJ145" s="39"/>
      <c r="JK145" s="39"/>
      <c r="JL145" s="39"/>
      <c r="JM145" s="39"/>
      <c r="JN145" s="39"/>
      <c r="JO145" s="39"/>
      <c r="JP145" s="39"/>
      <c r="JQ145" s="39"/>
      <c r="JR145" s="39"/>
      <c r="JS145" s="39"/>
      <c r="JT145" s="41" t="b">
        <f aca="false">TRUE()</f>
        <v>1</v>
      </c>
      <c r="JU145" s="41" t="b">
        <f aca="false">TRUE()</f>
        <v>1</v>
      </c>
      <c r="JV145" s="39"/>
      <c r="JW145" s="39"/>
      <c r="JX145" s="39"/>
      <c r="JY145" s="39"/>
      <c r="JZ145" s="39"/>
      <c r="KA145" s="39"/>
      <c r="KB145" s="39"/>
      <c r="KC145" s="39"/>
      <c r="KD145" s="39"/>
      <c r="KE145" s="39"/>
      <c r="KF145" s="39"/>
      <c r="KG145" s="39"/>
      <c r="KH145" s="39"/>
      <c r="KI145" s="39"/>
      <c r="KJ145" s="39"/>
      <c r="KK145" s="39"/>
      <c r="KL145" s="39"/>
      <c r="KM145" s="39"/>
      <c r="KN145" s="39"/>
      <c r="KO145" s="39"/>
      <c r="KP145" s="39"/>
      <c r="KQ145" s="41" t="b">
        <f aca="false">TRUE()</f>
        <v>1</v>
      </c>
      <c r="KR145" s="39"/>
      <c r="KS145" s="41" t="b">
        <f aca="false">TRUE()</f>
        <v>1</v>
      </c>
      <c r="KT145" s="39"/>
      <c r="KU145" s="39"/>
    </row>
    <row r="146" customFormat="false" ht="14.4" hidden="false" customHeight="false" outlineLevel="0" collapsed="false">
      <c r="A146" s="45" t="s">
        <v>505</v>
      </c>
      <c r="B146" s="45" t="s">
        <v>3306</v>
      </c>
      <c r="C146" s="45"/>
      <c r="D146" s="45"/>
      <c r="E146" s="45" t="s">
        <v>1159</v>
      </c>
      <c r="F146" s="45" t="s">
        <v>3307</v>
      </c>
      <c r="G146" s="45" t="s">
        <v>3308</v>
      </c>
      <c r="H146" s="45" t="s">
        <v>3309</v>
      </c>
      <c r="I146" s="45" t="s">
        <v>310</v>
      </c>
      <c r="J146" s="45" t="s">
        <v>511</v>
      </c>
      <c r="K146" s="45" t="s">
        <v>1163</v>
      </c>
      <c r="L146" s="45" t="s">
        <v>3310</v>
      </c>
      <c r="M146" s="45" t="s">
        <v>3311</v>
      </c>
      <c r="N146" s="45" t="s">
        <v>1159</v>
      </c>
      <c r="O146" s="45" t="s">
        <v>3312</v>
      </c>
      <c r="P146" s="45" t="s">
        <v>1031</v>
      </c>
      <c r="Q146" s="45" t="s">
        <v>3313</v>
      </c>
      <c r="R146" s="45" t="s">
        <v>3314</v>
      </c>
      <c r="S146" s="45" t="s">
        <v>3315</v>
      </c>
      <c r="T146" s="45" t="s">
        <v>3316</v>
      </c>
      <c r="U146" s="45"/>
      <c r="V146" s="45" t="s">
        <v>3317</v>
      </c>
      <c r="W146" s="45" t="s">
        <v>3318</v>
      </c>
      <c r="X146" s="45" t="s">
        <v>3319</v>
      </c>
      <c r="Y146" s="45" t="s">
        <v>3320</v>
      </c>
      <c r="Z146" s="45" t="s">
        <v>3321</v>
      </c>
      <c r="AA146" s="45" t="n">
        <v>24</v>
      </c>
      <c r="AB146" s="45" t="n">
        <v>1</v>
      </c>
      <c r="AC146" s="45" t="n">
        <v>1</v>
      </c>
      <c r="AD146" s="45" t="n">
        <v>0</v>
      </c>
      <c r="AE146" s="45" t="n">
        <v>0</v>
      </c>
      <c r="AF146" s="45" t="s">
        <v>1159</v>
      </c>
      <c r="AG146" s="45" t="s">
        <v>525</v>
      </c>
      <c r="AH146" s="45" t="s">
        <v>1174</v>
      </c>
      <c r="AI146" s="45" t="s">
        <v>1175</v>
      </c>
      <c r="AJ146" s="45"/>
      <c r="AK146" s="45" t="s">
        <v>3322</v>
      </c>
      <c r="AL146" s="45" t="s">
        <v>1177</v>
      </c>
      <c r="AM146" s="45"/>
      <c r="AN146" s="45"/>
      <c r="AO146" s="45" t="n">
        <v>2022</v>
      </c>
      <c r="AP146" s="45"/>
      <c r="AQ146" s="45"/>
      <c r="AR146" s="45"/>
      <c r="AS146" s="45" t="n">
        <v>3195</v>
      </c>
      <c r="AT146" s="45" t="n">
        <v>3198</v>
      </c>
      <c r="AU146" s="45"/>
      <c r="AV146" s="45" t="s">
        <v>3323</v>
      </c>
      <c r="AW146" s="45" t="str">
        <f aca="false">HYPERLINK("http://dx.doi.org/10.1109/IGARSS46834.2022.9883703","http://dx.doi.org/10.1109/IGARSS46834.2022.9883703")</f>
        <v>http://dx.doi.org/10.1109/IGARSS46834.2022.9883703</v>
      </c>
      <c r="AX146" s="45"/>
      <c r="AY146" s="45" t="n">
        <v>4</v>
      </c>
      <c r="AZ146" s="45" t="s">
        <v>3324</v>
      </c>
      <c r="BA146" s="45" t="s">
        <v>530</v>
      </c>
      <c r="BB146" s="45" t="s">
        <v>3325</v>
      </c>
      <c r="BC146" s="45" t="s">
        <v>3326</v>
      </c>
      <c r="BD146" s="45"/>
      <c r="BE146" s="45"/>
      <c r="BF146" s="45" t="s">
        <v>334</v>
      </c>
      <c r="BG146" s="45" t="s">
        <v>3327</v>
      </c>
      <c r="BH146" s="45" t="str">
        <f aca="false">HYPERLINK("https%3A%2F%2Fwww.webofscience.com%2Fwos%2Fwoscc%2Ffull-record%2FWOS:000920916603096","View Full Record in Web of Science")</f>
        <v>View Full Record in Web of Science</v>
      </c>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47"/>
      <c r="EJ146" s="47"/>
      <c r="EK146" s="47"/>
      <c r="EL146" s="47"/>
      <c r="EM146" s="47"/>
      <c r="EN146" s="47"/>
      <c r="EO146" s="47"/>
      <c r="EP146" s="47"/>
      <c r="EQ146" s="47"/>
      <c r="ER146" s="47"/>
      <c r="ES146" s="47"/>
      <c r="ET146" s="47"/>
      <c r="EU146" s="47"/>
      <c r="EV146" s="47"/>
      <c r="EW146" s="47"/>
      <c r="EX146" s="47"/>
      <c r="EY146" s="47"/>
      <c r="EZ146" s="47"/>
      <c r="FA146" s="47"/>
      <c r="FB146" s="47"/>
      <c r="FC146" s="47"/>
      <c r="FD146" s="47"/>
      <c r="FE146" s="47"/>
      <c r="FF146" s="47"/>
      <c r="FG146" s="47"/>
      <c r="FH146" s="47"/>
      <c r="FI146" s="47"/>
      <c r="FJ146" s="47"/>
      <c r="FK146" s="47"/>
      <c r="FL146" s="47"/>
      <c r="FM146" s="47"/>
      <c r="FN146" s="47"/>
      <c r="FO146" s="47"/>
      <c r="FP146" s="47"/>
      <c r="FQ146" s="47"/>
      <c r="FR146" s="47"/>
      <c r="FS146" s="47"/>
      <c r="FT146" s="47"/>
      <c r="FU146" s="47"/>
      <c r="FV146" s="47"/>
      <c r="FW146" s="47"/>
      <c r="FX146" s="47"/>
      <c r="FY146" s="47"/>
      <c r="FZ146" s="47"/>
      <c r="GA146" s="47"/>
      <c r="GB146" s="47"/>
      <c r="GC146" s="47"/>
      <c r="GD146" s="47"/>
      <c r="GE146" s="47"/>
      <c r="GF146" s="47"/>
      <c r="GG146" s="47"/>
      <c r="GH146" s="47"/>
      <c r="GI146" s="47"/>
      <c r="GJ146" s="47"/>
      <c r="GK146" s="47"/>
      <c r="GL146" s="47"/>
      <c r="GM146" s="47"/>
      <c r="GN146" s="47"/>
      <c r="GO146" s="47"/>
      <c r="GP146" s="47"/>
      <c r="GQ146" s="47"/>
      <c r="GR146" s="47"/>
      <c r="GS146" s="47"/>
      <c r="GT146" s="47"/>
      <c r="GU146" s="47"/>
      <c r="GV146" s="47"/>
      <c r="GW146" s="47"/>
      <c r="GX146" s="47"/>
      <c r="GY146" s="47"/>
      <c r="GZ146" s="47"/>
      <c r="HA146" s="47"/>
      <c r="HB146" s="47"/>
      <c r="HC146" s="47"/>
      <c r="HD146" s="47"/>
      <c r="HE146" s="47"/>
      <c r="HF146" s="47"/>
      <c r="HG146" s="47"/>
      <c r="HH146" s="47"/>
      <c r="HI146" s="47"/>
      <c r="HJ146" s="47"/>
      <c r="HK146" s="52" t="b">
        <f aca="false">TRUE()</f>
        <v>1</v>
      </c>
      <c r="HL146" s="47"/>
      <c r="HM146" s="47"/>
      <c r="HN146" s="47"/>
      <c r="HO146" s="47"/>
      <c r="HP146" s="47"/>
      <c r="HQ146" s="47"/>
      <c r="HR146" s="47"/>
      <c r="HS146" s="47"/>
      <c r="HT146" s="47"/>
      <c r="HU146" s="47"/>
      <c r="HV146" s="47"/>
      <c r="HW146" s="47"/>
      <c r="HX146" s="47"/>
      <c r="HY146" s="47"/>
      <c r="HZ146" s="47"/>
      <c r="IA146" s="47"/>
      <c r="IB146" s="47"/>
      <c r="IC146" s="47"/>
      <c r="ID146" s="47"/>
      <c r="IE146" s="47"/>
      <c r="IF146" s="47"/>
      <c r="IG146" s="47"/>
      <c r="IH146" s="47"/>
      <c r="II146" s="47"/>
      <c r="IJ146" s="47"/>
      <c r="IK146" s="47"/>
      <c r="IL146" s="47"/>
      <c r="IM146" s="47"/>
      <c r="IN146" s="47"/>
      <c r="IO146" s="47"/>
      <c r="IP146" s="47"/>
      <c r="IQ146" s="47"/>
      <c r="IR146" s="47"/>
      <c r="IS146" s="47"/>
      <c r="IT146" s="47"/>
      <c r="IU146" s="47"/>
      <c r="IV146" s="47"/>
      <c r="IW146" s="47"/>
      <c r="IX146" s="47"/>
      <c r="IY146" s="47"/>
      <c r="IZ146" s="47"/>
      <c r="JA146" s="52" t="b">
        <f aca="false">TRUE()</f>
        <v>1</v>
      </c>
      <c r="JB146" s="47"/>
      <c r="JC146" s="47"/>
      <c r="JD146" s="47"/>
      <c r="JE146" s="47"/>
      <c r="JF146" s="47"/>
      <c r="JG146" s="47"/>
      <c r="JH146" s="47"/>
      <c r="JI146" s="47"/>
      <c r="JJ146" s="47"/>
      <c r="JK146" s="47"/>
      <c r="JL146" s="47"/>
      <c r="JM146" s="47"/>
      <c r="JN146" s="47"/>
      <c r="JO146" s="47"/>
      <c r="JP146" s="47"/>
      <c r="JQ146" s="47"/>
      <c r="JR146" s="47"/>
      <c r="JS146" s="47"/>
      <c r="JT146" s="52" t="b">
        <f aca="false">TRUE()</f>
        <v>1</v>
      </c>
      <c r="JU146" s="47"/>
      <c r="JV146" s="47"/>
      <c r="JW146" s="47"/>
      <c r="JX146" s="47"/>
      <c r="JY146" s="47"/>
      <c r="JZ146" s="47"/>
      <c r="KA146" s="47"/>
      <c r="KB146" s="47"/>
      <c r="KC146" s="47"/>
      <c r="KD146" s="47"/>
      <c r="KE146" s="47"/>
      <c r="KF146" s="47"/>
      <c r="KG146" s="47"/>
      <c r="KH146" s="47"/>
      <c r="KI146" s="47"/>
      <c r="KJ146" s="47"/>
      <c r="KK146" s="47"/>
      <c r="KL146" s="47"/>
      <c r="KM146" s="47"/>
      <c r="KN146" s="47"/>
      <c r="KO146" s="47"/>
      <c r="KP146" s="47"/>
      <c r="KQ146" s="52" t="b">
        <f aca="false">TRUE()</f>
        <v>1</v>
      </c>
      <c r="KR146" s="52" t="b">
        <f aca="false">TRUE()</f>
        <v>1</v>
      </c>
      <c r="KS146" s="47"/>
      <c r="KT146" s="52" t="b">
        <f aca="false">TRUE()</f>
        <v>1</v>
      </c>
      <c r="KU146" s="47"/>
    </row>
    <row r="147" customFormat="false" ht="14.4" hidden="false" customHeight="false" outlineLevel="0" collapsed="false">
      <c r="A147" s="37" t="s">
        <v>305</v>
      </c>
      <c r="B147" s="37" t="s">
        <v>3328</v>
      </c>
      <c r="C147" s="37"/>
      <c r="D147" s="37"/>
      <c r="E147" s="37"/>
      <c r="F147" s="37" t="s">
        <v>3329</v>
      </c>
      <c r="G147" s="37" t="s">
        <v>3330</v>
      </c>
      <c r="H147" s="37" t="s">
        <v>340</v>
      </c>
      <c r="I147" s="37" t="s">
        <v>310</v>
      </c>
      <c r="J147" s="37" t="s">
        <v>311</v>
      </c>
      <c r="K147" s="37"/>
      <c r="L147" s="37"/>
      <c r="M147" s="37"/>
      <c r="N147" s="37"/>
      <c r="O147" s="37" t="s">
        <v>3331</v>
      </c>
      <c r="P147" s="37" t="s">
        <v>3332</v>
      </c>
      <c r="Q147" s="37" t="s">
        <v>3333</v>
      </c>
      <c r="R147" s="37" t="s">
        <v>3334</v>
      </c>
      <c r="S147" s="37" t="s">
        <v>3335</v>
      </c>
      <c r="T147" s="37" t="s">
        <v>3336</v>
      </c>
      <c r="U147" s="37" t="s">
        <v>3337</v>
      </c>
      <c r="V147" s="37" t="s">
        <v>3338</v>
      </c>
      <c r="W147" s="37" t="s">
        <v>3339</v>
      </c>
      <c r="X147" s="37" t="s">
        <v>3340</v>
      </c>
      <c r="Y147" s="37" t="s">
        <v>3341</v>
      </c>
      <c r="Z147" s="37" t="s">
        <v>3342</v>
      </c>
      <c r="AA147" s="37" t="n">
        <v>72</v>
      </c>
      <c r="AB147" s="37" t="n">
        <v>7</v>
      </c>
      <c r="AC147" s="37" t="n">
        <v>7</v>
      </c>
      <c r="AD147" s="37" t="n">
        <v>17</v>
      </c>
      <c r="AE147" s="37" t="n">
        <v>38</v>
      </c>
      <c r="AF147" s="37" t="s">
        <v>353</v>
      </c>
      <c r="AG147" s="37" t="s">
        <v>354</v>
      </c>
      <c r="AH147" s="37" t="s">
        <v>355</v>
      </c>
      <c r="AI147" s="37" t="s">
        <v>356</v>
      </c>
      <c r="AJ147" s="37" t="s">
        <v>357</v>
      </c>
      <c r="AK147" s="37"/>
      <c r="AL147" s="37" t="s">
        <v>358</v>
      </c>
      <c r="AM147" s="37" t="s">
        <v>359</v>
      </c>
      <c r="AN147" s="37" t="s">
        <v>435</v>
      </c>
      <c r="AO147" s="37" t="n">
        <v>2023</v>
      </c>
      <c r="AP147" s="37" t="n">
        <v>625</v>
      </c>
      <c r="AQ147" s="37"/>
      <c r="AR147" s="37" t="s">
        <v>652</v>
      </c>
      <c r="AS147" s="37"/>
      <c r="AT147" s="37"/>
      <c r="AU147" s="37" t="n">
        <v>130148</v>
      </c>
      <c r="AV147" s="37" t="s">
        <v>3343</v>
      </c>
      <c r="AW147" s="37" t="str">
        <f aca="false">HYPERLINK("http://dx.doi.org/10.1016/j.jhydrol.2023.130148","http://dx.doi.org/10.1016/j.jhydrol.2023.130148")</f>
        <v>http://dx.doi.org/10.1016/j.jhydrol.2023.130148</v>
      </c>
      <c r="AX147" s="37" t="s">
        <v>751</v>
      </c>
      <c r="AY147" s="37" t="n">
        <v>11</v>
      </c>
      <c r="AZ147" s="37" t="s">
        <v>362</v>
      </c>
      <c r="BA147" s="37" t="s">
        <v>331</v>
      </c>
      <c r="BB147" s="37" t="s">
        <v>363</v>
      </c>
      <c r="BC147" s="37" t="s">
        <v>3344</v>
      </c>
      <c r="BD147" s="37"/>
      <c r="BE147" s="37"/>
      <c r="BF147" s="37" t="s">
        <v>334</v>
      </c>
      <c r="BG147" s="37" t="s">
        <v>3345</v>
      </c>
      <c r="BH147" s="37" t="str">
        <f aca="false">HYPERLINK("https%3A%2F%2Fwww.webofscience.com%2Fwos%2Fwoscc%2Ffull-record%2FWOS:001091484900001","View Full Record in Web of Science")</f>
        <v>View Full Record in Web of Science</v>
      </c>
      <c r="BI147" s="39"/>
      <c r="BJ147" s="39"/>
      <c r="BK147" s="39"/>
      <c r="BL147" s="39"/>
      <c r="BM147" s="39"/>
      <c r="BN147" s="39"/>
      <c r="BO147" s="39"/>
      <c r="BP147" s="39"/>
      <c r="BQ147" s="39"/>
      <c r="BR147" s="39"/>
      <c r="BS147" s="39"/>
      <c r="BT147" s="39"/>
      <c r="BU147" s="39"/>
      <c r="BV147" s="39"/>
      <c r="BW147" s="39"/>
      <c r="BX147" s="39"/>
      <c r="BY147" s="41" t="b">
        <f aca="false">TRUE()</f>
        <v>1</v>
      </c>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41" t="b">
        <f aca="false">TRUE()</f>
        <v>1</v>
      </c>
      <c r="EB147" s="39"/>
      <c r="EC147" s="39"/>
      <c r="ED147" s="39"/>
      <c r="EE147" s="39"/>
      <c r="EF147" s="39"/>
      <c r="EG147" s="39"/>
      <c r="EH147" s="39"/>
      <c r="EI147" s="39"/>
      <c r="EJ147" s="39"/>
      <c r="EK147" s="39"/>
      <c r="EL147" s="39"/>
      <c r="EM147" s="39"/>
      <c r="EN147" s="39"/>
      <c r="EO147" s="39"/>
      <c r="EP147" s="39"/>
      <c r="EQ147" s="39"/>
      <c r="ER147" s="39"/>
      <c r="ES147" s="39"/>
      <c r="ET147" s="39"/>
      <c r="EU147" s="39"/>
      <c r="EV147" s="39"/>
      <c r="EW147" s="39"/>
      <c r="EX147" s="39"/>
      <c r="EY147" s="39"/>
      <c r="EZ147" s="39"/>
      <c r="FA147" s="39"/>
      <c r="FB147" s="39"/>
      <c r="FC147" s="39"/>
      <c r="FD147" s="39"/>
      <c r="FE147" s="39"/>
      <c r="FF147" s="39"/>
      <c r="FG147" s="39"/>
      <c r="FH147" s="39"/>
      <c r="FI147" s="39"/>
      <c r="FJ147" s="39"/>
      <c r="FK147" s="39"/>
      <c r="FL147" s="39"/>
      <c r="FM147" s="39"/>
      <c r="FN147" s="39"/>
      <c r="FO147" s="39"/>
      <c r="FP147" s="39"/>
      <c r="FQ147" s="39"/>
      <c r="FR147" s="39"/>
      <c r="FS147" s="39"/>
      <c r="FT147" s="39"/>
      <c r="FU147" s="39"/>
      <c r="FV147" s="39"/>
      <c r="FW147" s="39"/>
      <c r="FX147" s="39"/>
      <c r="FY147" s="39"/>
      <c r="FZ147" s="39"/>
      <c r="GA147" s="39"/>
      <c r="GB147" s="39"/>
      <c r="GC147" s="39"/>
      <c r="GD147" s="39"/>
      <c r="GE147" s="39"/>
      <c r="GF147" s="39"/>
      <c r="GG147" s="39"/>
      <c r="GH147" s="39"/>
      <c r="GI147" s="39"/>
      <c r="GJ147" s="39"/>
      <c r="GK147" s="39"/>
      <c r="GL147" s="39"/>
      <c r="GM147" s="39"/>
      <c r="GN147" s="39"/>
      <c r="GO147" s="39"/>
      <c r="GP147" s="39"/>
      <c r="GQ147" s="39"/>
      <c r="GR147" s="39"/>
      <c r="GS147" s="39"/>
      <c r="GT147" s="39"/>
      <c r="GU147" s="39"/>
      <c r="GV147" s="39"/>
      <c r="GW147" s="39"/>
      <c r="GX147" s="39"/>
      <c r="GY147" s="39"/>
      <c r="GZ147" s="39"/>
      <c r="HA147" s="39"/>
      <c r="HB147" s="39"/>
      <c r="HC147" s="39"/>
      <c r="HD147" s="39"/>
      <c r="HE147" s="39"/>
      <c r="HF147" s="39"/>
      <c r="HG147" s="39"/>
      <c r="HH147" s="39"/>
      <c r="HI147" s="39"/>
      <c r="HJ147" s="39"/>
      <c r="HK147" s="39"/>
      <c r="HL147" s="39"/>
      <c r="HM147" s="39"/>
      <c r="HN147" s="39"/>
      <c r="HO147" s="39"/>
      <c r="HP147" s="39"/>
      <c r="HQ147" s="39"/>
      <c r="HR147" s="39"/>
      <c r="HS147" s="39"/>
      <c r="HT147" s="39"/>
      <c r="HU147" s="39"/>
      <c r="HV147" s="39"/>
      <c r="HW147" s="39"/>
      <c r="HX147" s="39"/>
      <c r="HY147" s="39"/>
      <c r="HZ147" s="39"/>
      <c r="IA147" s="39"/>
      <c r="IB147" s="39"/>
      <c r="IC147" s="39"/>
      <c r="ID147" s="39"/>
      <c r="IE147" s="39"/>
      <c r="IF147" s="39"/>
      <c r="IG147" s="39"/>
      <c r="IH147" s="39"/>
      <c r="II147" s="39"/>
      <c r="IJ147" s="39"/>
      <c r="IK147" s="39"/>
      <c r="IL147" s="39"/>
      <c r="IM147" s="39"/>
      <c r="IN147" s="39"/>
      <c r="IO147" s="39"/>
      <c r="IP147" s="39"/>
      <c r="IQ147" s="39"/>
      <c r="IR147" s="39"/>
      <c r="IS147" s="39"/>
      <c r="IT147" s="39"/>
      <c r="IU147" s="39"/>
      <c r="IV147" s="39"/>
      <c r="IW147" s="39"/>
      <c r="IX147" s="39"/>
      <c r="IY147" s="39"/>
      <c r="IZ147" s="39"/>
      <c r="JA147" s="39"/>
      <c r="JB147" s="39"/>
      <c r="JC147" s="39"/>
      <c r="JD147" s="39"/>
      <c r="JE147" s="39"/>
      <c r="JF147" s="39"/>
      <c r="JG147" s="39"/>
      <c r="JH147" s="39"/>
      <c r="JI147" s="39"/>
      <c r="JJ147" s="39"/>
      <c r="JK147" s="39"/>
      <c r="JL147" s="39"/>
      <c r="JM147" s="39"/>
      <c r="JN147" s="39"/>
      <c r="JO147" s="39"/>
      <c r="JP147" s="39"/>
      <c r="JQ147" s="39"/>
      <c r="JR147" s="41" t="b">
        <f aca="false">TRUE()</f>
        <v>1</v>
      </c>
      <c r="JS147" s="39"/>
      <c r="JT147" s="41" t="b">
        <f aca="false">TRUE()</f>
        <v>1</v>
      </c>
      <c r="JU147" s="41" t="b">
        <f aca="false">TRUE()</f>
        <v>1</v>
      </c>
      <c r="JV147" s="39"/>
      <c r="JW147" s="39"/>
      <c r="JX147" s="39"/>
      <c r="JY147" s="39"/>
      <c r="JZ147" s="39"/>
      <c r="KA147" s="39"/>
      <c r="KB147" s="39"/>
      <c r="KC147" s="39"/>
      <c r="KD147" s="39"/>
      <c r="KE147" s="39"/>
      <c r="KF147" s="39"/>
      <c r="KG147" s="39"/>
      <c r="KH147" s="39"/>
      <c r="KI147" s="39"/>
      <c r="KJ147" s="39"/>
      <c r="KK147" s="39"/>
      <c r="KL147" s="39"/>
      <c r="KM147" s="39"/>
      <c r="KN147" s="39"/>
      <c r="KO147" s="39"/>
      <c r="KP147" s="39"/>
      <c r="KQ147" s="41" t="b">
        <f aca="false">TRUE()</f>
        <v>1</v>
      </c>
      <c r="KR147" s="39"/>
      <c r="KS147" s="39"/>
      <c r="KT147" s="39"/>
      <c r="KU147" s="41" t="b">
        <f aca="false">TRUE()</f>
        <v>1</v>
      </c>
    </row>
    <row r="148" customFormat="false" ht="14.4" hidden="false" customHeight="false" outlineLevel="0" collapsed="false">
      <c r="A148" s="37" t="s">
        <v>305</v>
      </c>
      <c r="B148" s="37" t="s">
        <v>3346</v>
      </c>
      <c r="C148" s="37"/>
      <c r="D148" s="37"/>
      <c r="E148" s="37"/>
      <c r="F148" s="37" t="s">
        <v>3347</v>
      </c>
      <c r="G148" s="37" t="s">
        <v>3348</v>
      </c>
      <c r="H148" s="37" t="s">
        <v>3349</v>
      </c>
      <c r="I148" s="37" t="s">
        <v>310</v>
      </c>
      <c r="J148" s="37" t="s">
        <v>311</v>
      </c>
      <c r="K148" s="37"/>
      <c r="L148" s="37"/>
      <c r="M148" s="37"/>
      <c r="N148" s="37"/>
      <c r="O148" s="37"/>
      <c r="P148" s="37" t="s">
        <v>3350</v>
      </c>
      <c r="Q148" s="37" t="s">
        <v>3351</v>
      </c>
      <c r="R148" s="37" t="s">
        <v>3352</v>
      </c>
      <c r="S148" s="37" t="s">
        <v>3353</v>
      </c>
      <c r="T148" s="37" t="s">
        <v>3354</v>
      </c>
      <c r="U148" s="37" t="s">
        <v>3355</v>
      </c>
      <c r="V148" s="37" t="s">
        <v>3356</v>
      </c>
      <c r="W148" s="37" t="s">
        <v>3357</v>
      </c>
      <c r="X148" s="37"/>
      <c r="Y148" s="37"/>
      <c r="Z148" s="37"/>
      <c r="AA148" s="37" t="n">
        <v>57</v>
      </c>
      <c r="AB148" s="37" t="n">
        <v>22</v>
      </c>
      <c r="AC148" s="37" t="n">
        <v>22</v>
      </c>
      <c r="AD148" s="37" t="n">
        <v>7</v>
      </c>
      <c r="AE148" s="37" t="n">
        <v>40</v>
      </c>
      <c r="AF148" s="37" t="s">
        <v>769</v>
      </c>
      <c r="AG148" s="37" t="s">
        <v>525</v>
      </c>
      <c r="AH148" s="37" t="s">
        <v>770</v>
      </c>
      <c r="AI148" s="37" t="s">
        <v>3358</v>
      </c>
      <c r="AJ148" s="37" t="s">
        <v>3359</v>
      </c>
      <c r="AK148" s="37"/>
      <c r="AL148" s="37" t="s">
        <v>3360</v>
      </c>
      <c r="AM148" s="37" t="s">
        <v>3361</v>
      </c>
      <c r="AN148" s="37" t="s">
        <v>328</v>
      </c>
      <c r="AO148" s="37" t="n">
        <v>2022</v>
      </c>
      <c r="AP148" s="37" t="n">
        <v>40</v>
      </c>
      <c r="AQ148" s="37" t="n">
        <v>1</v>
      </c>
      <c r="AR148" s="37"/>
      <c r="AS148" s="37" t="n">
        <v>55</v>
      </c>
      <c r="AT148" s="37" t="n">
        <v>69</v>
      </c>
      <c r="AU148" s="37"/>
      <c r="AV148" s="37" t="s">
        <v>3362</v>
      </c>
      <c r="AW148" s="37" t="str">
        <f aca="false">HYPERLINK("http://dx.doi.org/10.1007/s00271-021-00751-1","http://dx.doi.org/10.1007/s00271-021-00751-1")</f>
        <v>http://dx.doi.org/10.1007/s00271-021-00751-1</v>
      </c>
      <c r="AX148" s="37" t="s">
        <v>1353</v>
      </c>
      <c r="AY148" s="37" t="n">
        <v>15</v>
      </c>
      <c r="AZ148" s="37" t="s">
        <v>438</v>
      </c>
      <c r="BA148" s="37" t="s">
        <v>331</v>
      </c>
      <c r="BB148" s="37" t="s">
        <v>439</v>
      </c>
      <c r="BC148" s="37" t="s">
        <v>3363</v>
      </c>
      <c r="BD148" s="37"/>
      <c r="BE148" s="37"/>
      <c r="BF148" s="37" t="s">
        <v>334</v>
      </c>
      <c r="BG148" s="37" t="s">
        <v>3364</v>
      </c>
      <c r="BH148" s="37" t="str">
        <f aca="false">HYPERLINK("https%3A%2F%2Fwww.webofscience.com%2Fwos%2Fwoscc%2Ffull-record%2FWOS:000710598400001","View Full Record in Web of Science")</f>
        <v>View Full Record in Web of Science</v>
      </c>
      <c r="BI148" s="39"/>
      <c r="BJ148" s="39"/>
      <c r="BK148" s="39"/>
      <c r="BL148" s="39"/>
      <c r="BM148" s="39"/>
      <c r="BN148" s="39"/>
      <c r="BO148" s="39"/>
      <c r="BP148" s="39"/>
      <c r="BQ148" s="39"/>
      <c r="BR148" s="41" t="b">
        <f aca="false">TRUE()</f>
        <v>1</v>
      </c>
      <c r="BS148" s="39"/>
      <c r="BT148" s="39"/>
      <c r="BU148" s="39"/>
      <c r="BV148" s="39"/>
      <c r="BW148" s="41" t="b">
        <f aca="false">TRUE()</f>
        <v>1</v>
      </c>
      <c r="BX148" s="39"/>
      <c r="BY148" s="41" t="b">
        <f aca="false">TRUE()</f>
        <v>1</v>
      </c>
      <c r="BZ148" s="39"/>
      <c r="CA148" s="39"/>
      <c r="CB148" s="39"/>
      <c r="CC148" s="39"/>
      <c r="CD148" s="39"/>
      <c r="CE148" s="39"/>
      <c r="CF148" s="39"/>
      <c r="CG148" s="39"/>
      <c r="CH148" s="39"/>
      <c r="CI148" s="39"/>
      <c r="CJ148" s="39"/>
      <c r="CK148" s="39"/>
      <c r="CL148" s="39"/>
      <c r="CM148" s="39"/>
      <c r="CN148" s="39"/>
      <c r="CO148" s="39"/>
      <c r="CP148" s="39"/>
      <c r="CQ148" s="39"/>
      <c r="CR148" s="39"/>
      <c r="CS148" s="39"/>
      <c r="CT148" s="39"/>
      <c r="CU148" s="39"/>
      <c r="CV148" s="39"/>
      <c r="CW148" s="39"/>
      <c r="CX148" s="39"/>
      <c r="CY148" s="39"/>
      <c r="CZ148" s="39"/>
      <c r="DA148" s="39"/>
      <c r="DB148" s="39"/>
      <c r="DC148" s="39"/>
      <c r="DD148" s="39"/>
      <c r="DE148" s="39"/>
      <c r="DF148" s="39"/>
      <c r="DG148" s="39"/>
      <c r="DH148" s="39"/>
      <c r="DI148" s="39"/>
      <c r="DJ148" s="39"/>
      <c r="DK148" s="39"/>
      <c r="DL148" s="39"/>
      <c r="DM148" s="39"/>
      <c r="DN148" s="39"/>
      <c r="DO148" s="39"/>
      <c r="DP148" s="39"/>
      <c r="DQ148" s="39"/>
      <c r="DR148" s="39"/>
      <c r="DS148" s="39"/>
      <c r="DT148" s="39"/>
      <c r="DU148" s="39"/>
      <c r="DV148" s="39"/>
      <c r="DW148" s="39"/>
      <c r="DX148" s="39"/>
      <c r="DY148" s="39"/>
      <c r="DZ148" s="39"/>
      <c r="EA148" s="41" t="b">
        <f aca="false">TRUE()</f>
        <v>1</v>
      </c>
      <c r="EB148" s="39"/>
      <c r="EC148" s="39"/>
      <c r="ED148" s="39"/>
      <c r="EE148" s="39"/>
      <c r="EF148" s="39"/>
      <c r="EG148" s="39"/>
      <c r="EH148" s="39"/>
      <c r="EI148" s="39"/>
      <c r="EJ148" s="39"/>
      <c r="EK148" s="39"/>
      <c r="EL148" s="39"/>
      <c r="EM148" s="39"/>
      <c r="EN148" s="39"/>
      <c r="EO148" s="39"/>
      <c r="EP148" s="39"/>
      <c r="EQ148" s="39"/>
      <c r="ER148" s="39"/>
      <c r="ES148" s="39"/>
      <c r="ET148" s="39"/>
      <c r="EU148" s="39"/>
      <c r="EV148" s="39"/>
      <c r="EW148" s="39"/>
      <c r="EX148" s="39"/>
      <c r="EY148" s="41" t="b">
        <f aca="false">TRUE()</f>
        <v>1</v>
      </c>
      <c r="EZ148" s="39"/>
      <c r="FA148" s="39"/>
      <c r="FB148" s="39"/>
      <c r="FC148" s="41" t="b">
        <f aca="false">TRUE()</f>
        <v>1</v>
      </c>
      <c r="FD148" s="39"/>
      <c r="FE148" s="39"/>
      <c r="FF148" s="39"/>
      <c r="FG148" s="39"/>
      <c r="FH148" s="39"/>
      <c r="FI148" s="39"/>
      <c r="FJ148" s="39"/>
      <c r="FK148" s="39"/>
      <c r="FL148" s="39"/>
      <c r="FM148" s="39"/>
      <c r="FN148" s="39"/>
      <c r="FO148" s="39"/>
      <c r="FP148" s="39"/>
      <c r="FQ148" s="39"/>
      <c r="FR148" s="39"/>
      <c r="FS148" s="39"/>
      <c r="FT148" s="39"/>
      <c r="FU148" s="39"/>
      <c r="FV148" s="39"/>
      <c r="FW148" s="39"/>
      <c r="FX148" s="39"/>
      <c r="FY148" s="39"/>
      <c r="FZ148" s="39"/>
      <c r="GA148" s="39"/>
      <c r="GB148" s="39"/>
      <c r="GC148" s="39"/>
      <c r="GD148" s="39"/>
      <c r="GE148" s="39"/>
      <c r="GF148" s="39"/>
      <c r="GG148" s="39"/>
      <c r="GH148" s="39"/>
      <c r="GI148" s="39"/>
      <c r="GJ148" s="39"/>
      <c r="GK148" s="39"/>
      <c r="GL148" s="39"/>
      <c r="GM148" s="39"/>
      <c r="GN148" s="39"/>
      <c r="GO148" s="39"/>
      <c r="GP148" s="39"/>
      <c r="GQ148" s="39"/>
      <c r="GR148" s="39"/>
      <c r="GS148" s="39"/>
      <c r="GT148" s="39"/>
      <c r="GU148" s="39"/>
      <c r="GV148" s="39"/>
      <c r="GW148" s="39"/>
      <c r="GX148" s="39"/>
      <c r="GY148" s="39"/>
      <c r="GZ148" s="39"/>
      <c r="HA148" s="39"/>
      <c r="HB148" s="39"/>
      <c r="HC148" s="39"/>
      <c r="HD148" s="39"/>
      <c r="HE148" s="39"/>
      <c r="HF148" s="39"/>
      <c r="HG148" s="39"/>
      <c r="HH148" s="39"/>
      <c r="HI148" s="39"/>
      <c r="HJ148" s="39"/>
      <c r="HK148" s="41" t="b">
        <f aca="false">TRUE()</f>
        <v>1</v>
      </c>
      <c r="HL148" s="39"/>
      <c r="HM148" s="39"/>
      <c r="HN148" s="39"/>
      <c r="HO148" s="39"/>
      <c r="HP148" s="39"/>
      <c r="HQ148" s="39"/>
      <c r="HR148" s="39"/>
      <c r="HS148" s="39"/>
      <c r="HT148" s="39"/>
      <c r="HU148" s="39"/>
      <c r="HV148" s="39"/>
      <c r="HW148" s="39"/>
      <c r="HX148" s="39"/>
      <c r="HY148" s="39"/>
      <c r="HZ148" s="39"/>
      <c r="IA148" s="41" t="b">
        <f aca="false">TRUE()</f>
        <v>1</v>
      </c>
      <c r="IB148" s="39"/>
      <c r="IC148" s="39"/>
      <c r="ID148" s="39"/>
      <c r="IE148" s="39"/>
      <c r="IF148" s="39"/>
      <c r="IG148" s="39"/>
      <c r="IH148" s="39"/>
      <c r="II148" s="39"/>
      <c r="IJ148" s="39"/>
      <c r="IK148" s="39"/>
      <c r="IL148" s="39"/>
      <c r="IM148" s="39"/>
      <c r="IN148" s="39"/>
      <c r="IO148" s="39"/>
      <c r="IP148" s="39"/>
      <c r="IQ148" s="39"/>
      <c r="IR148" s="39"/>
      <c r="IS148" s="39"/>
      <c r="IT148" s="39"/>
      <c r="IU148" s="39"/>
      <c r="IV148" s="39"/>
      <c r="IW148" s="39"/>
      <c r="IX148" s="39"/>
      <c r="IY148" s="39"/>
      <c r="IZ148" s="39"/>
      <c r="JA148" s="39"/>
      <c r="JB148" s="39"/>
      <c r="JC148" s="39"/>
      <c r="JD148" s="39"/>
      <c r="JE148" s="39"/>
      <c r="JF148" s="39"/>
      <c r="JG148" s="39"/>
      <c r="JH148" s="39"/>
      <c r="JI148" s="39"/>
      <c r="JJ148" s="39"/>
      <c r="JK148" s="39"/>
      <c r="JL148" s="39"/>
      <c r="JM148" s="39"/>
      <c r="JN148" s="39"/>
      <c r="JO148" s="39"/>
      <c r="JP148" s="39"/>
      <c r="JQ148" s="39"/>
      <c r="JR148" s="39"/>
      <c r="JS148" s="39"/>
      <c r="JT148" s="41" t="b">
        <f aca="false">TRUE()</f>
        <v>1</v>
      </c>
      <c r="JU148" s="39"/>
      <c r="JV148" s="39"/>
      <c r="JW148" s="39"/>
      <c r="JX148" s="39"/>
      <c r="JY148" s="39"/>
      <c r="JZ148" s="39"/>
      <c r="KA148" s="39"/>
      <c r="KB148" s="39"/>
      <c r="KC148" s="39"/>
      <c r="KD148" s="39"/>
      <c r="KE148" s="39"/>
      <c r="KF148" s="39"/>
      <c r="KG148" s="39"/>
      <c r="KH148" s="39"/>
      <c r="KI148" s="39"/>
      <c r="KJ148" s="39"/>
      <c r="KK148" s="39"/>
      <c r="KL148" s="39"/>
      <c r="KM148" s="39"/>
      <c r="KN148" s="39"/>
      <c r="KO148" s="39"/>
      <c r="KP148" s="41" t="b">
        <f aca="false">TRUE()</f>
        <v>1</v>
      </c>
      <c r="KQ148" s="39"/>
      <c r="KR148" s="39"/>
      <c r="KS148" s="39"/>
      <c r="KT148" s="39"/>
      <c r="KU148" s="39"/>
    </row>
    <row r="149" customFormat="false" ht="14.4" hidden="false" customHeight="false" outlineLevel="0" collapsed="false">
      <c r="A149" s="37" t="s">
        <v>305</v>
      </c>
      <c r="B149" s="37" t="s">
        <v>3365</v>
      </c>
      <c r="C149" s="37"/>
      <c r="D149" s="37"/>
      <c r="E149" s="37"/>
      <c r="F149" s="37" t="s">
        <v>3366</v>
      </c>
      <c r="G149" s="37" t="s">
        <v>3367</v>
      </c>
      <c r="H149" s="37" t="s">
        <v>2979</v>
      </c>
      <c r="I149" s="37" t="s">
        <v>310</v>
      </c>
      <c r="J149" s="37" t="s">
        <v>311</v>
      </c>
      <c r="K149" s="37"/>
      <c r="L149" s="37"/>
      <c r="M149" s="37"/>
      <c r="N149" s="37"/>
      <c r="O149" s="37" t="s">
        <v>3368</v>
      </c>
      <c r="P149" s="37" t="s">
        <v>3369</v>
      </c>
      <c r="Q149" s="37" t="s">
        <v>3370</v>
      </c>
      <c r="R149" s="37" t="s">
        <v>3371</v>
      </c>
      <c r="S149" s="37" t="s">
        <v>3372</v>
      </c>
      <c r="T149" s="37" t="s">
        <v>3373</v>
      </c>
      <c r="U149" s="37" t="s">
        <v>3374</v>
      </c>
      <c r="V149" s="37"/>
      <c r="W149" s="37" t="s">
        <v>3375</v>
      </c>
      <c r="X149" s="37"/>
      <c r="Y149" s="37"/>
      <c r="Z149" s="37"/>
      <c r="AA149" s="37" t="n">
        <v>32</v>
      </c>
      <c r="AB149" s="37" t="n">
        <v>4</v>
      </c>
      <c r="AC149" s="37" t="n">
        <v>4</v>
      </c>
      <c r="AD149" s="37" t="n">
        <v>34</v>
      </c>
      <c r="AE149" s="37" t="n">
        <v>69</v>
      </c>
      <c r="AF149" s="37" t="s">
        <v>769</v>
      </c>
      <c r="AG149" s="37" t="s">
        <v>2989</v>
      </c>
      <c r="AH149" s="37" t="s">
        <v>2990</v>
      </c>
      <c r="AI149" s="37" t="s">
        <v>2991</v>
      </c>
      <c r="AJ149" s="37" t="s">
        <v>2992</v>
      </c>
      <c r="AK149" s="37"/>
      <c r="AL149" s="37" t="s">
        <v>2993</v>
      </c>
      <c r="AM149" s="37" t="s">
        <v>2994</v>
      </c>
      <c r="AN149" s="37" t="s">
        <v>775</v>
      </c>
      <c r="AO149" s="37" t="n">
        <v>2024</v>
      </c>
      <c r="AP149" s="37" t="n">
        <v>38</v>
      </c>
      <c r="AQ149" s="37" t="n">
        <v>7</v>
      </c>
      <c r="AR149" s="37"/>
      <c r="AS149" s="37" t="n">
        <v>2471</v>
      </c>
      <c r="AT149" s="37" t="n">
        <v>2488</v>
      </c>
      <c r="AU149" s="37"/>
      <c r="AV149" s="37" t="s">
        <v>3376</v>
      </c>
      <c r="AW149" s="37" t="str">
        <f aca="false">HYPERLINK("http://dx.doi.org/10.1007/s11269-024-03780-5","http://dx.doi.org/10.1007/s11269-024-03780-5")</f>
        <v>http://dx.doi.org/10.1007/s11269-024-03780-5</v>
      </c>
      <c r="AX149" s="37" t="s">
        <v>437</v>
      </c>
      <c r="AY149" s="37" t="n">
        <v>18</v>
      </c>
      <c r="AZ149" s="37" t="s">
        <v>2997</v>
      </c>
      <c r="BA149" s="37" t="s">
        <v>331</v>
      </c>
      <c r="BB149" s="37" t="s">
        <v>2998</v>
      </c>
      <c r="BC149" s="37" t="s">
        <v>3377</v>
      </c>
      <c r="BD149" s="37"/>
      <c r="BE149" s="37"/>
      <c r="BF149" s="37" t="s">
        <v>334</v>
      </c>
      <c r="BG149" s="37" t="s">
        <v>3378</v>
      </c>
      <c r="BH149" s="37" t="str">
        <f aca="false">HYPERLINK("https%3A%2F%2Fwww.webofscience.com%2Fwos%2Fwoscc%2Ffull-record%2FWOS:001159919700001","View Full Record in Web of Science")</f>
        <v>View Full Record in Web of Science</v>
      </c>
      <c r="BI149" s="39"/>
      <c r="BJ149" s="39"/>
      <c r="BK149" s="39"/>
      <c r="BL149" s="39"/>
      <c r="BM149" s="39"/>
      <c r="BN149" s="39"/>
      <c r="BO149" s="39"/>
      <c r="BP149" s="39"/>
      <c r="BQ149" s="39"/>
      <c r="BR149" s="41" t="b">
        <f aca="false">TRUE()</f>
        <v>1</v>
      </c>
      <c r="BS149" s="39"/>
      <c r="BT149" s="39"/>
      <c r="BU149" s="39"/>
      <c r="BV149" s="39"/>
      <c r="BW149" s="39"/>
      <c r="BX149" s="39"/>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41" t="b">
        <f aca="false">TRUE()</f>
        <v>1</v>
      </c>
      <c r="DP149" s="39"/>
      <c r="DQ149" s="39"/>
      <c r="DR149" s="39"/>
      <c r="DS149" s="39"/>
      <c r="DT149" s="39"/>
      <c r="DU149" s="39"/>
      <c r="DV149" s="39"/>
      <c r="DW149" s="39"/>
      <c r="DX149" s="39"/>
      <c r="DY149" s="39"/>
      <c r="DZ149" s="39"/>
      <c r="EA149" s="39"/>
      <c r="EB149" s="41" t="b">
        <f aca="false">TRUE()</f>
        <v>1</v>
      </c>
      <c r="EC149" s="39"/>
      <c r="ED149" s="39"/>
      <c r="EE149" s="39"/>
      <c r="EF149" s="39"/>
      <c r="EG149" s="39"/>
      <c r="EH149" s="39"/>
      <c r="EI149" s="39"/>
      <c r="EJ149" s="39"/>
      <c r="EK149" s="39"/>
      <c r="EL149" s="39"/>
      <c r="EM149" s="39"/>
      <c r="EN149" s="39"/>
      <c r="EO149" s="39"/>
      <c r="EP149" s="39"/>
      <c r="EQ149" s="41" t="b">
        <f aca="false">TRUE()</f>
        <v>1</v>
      </c>
      <c r="ER149" s="39"/>
      <c r="ES149" s="39"/>
      <c r="ET149" s="39"/>
      <c r="EU149" s="39"/>
      <c r="EV149" s="39"/>
      <c r="EW149" s="39"/>
      <c r="EX149" s="41" t="b">
        <f aca="false">TRUE()</f>
        <v>1</v>
      </c>
      <c r="EY149" s="39"/>
      <c r="EZ149" s="39"/>
      <c r="FA149" s="39"/>
      <c r="FB149" s="41" t="b">
        <f aca="false">TRUE()</f>
        <v>1</v>
      </c>
      <c r="FC149" s="41" t="b">
        <f aca="false">TRUE()</f>
        <v>1</v>
      </c>
      <c r="FD149" s="39"/>
      <c r="FE149" s="39"/>
      <c r="FF149" s="39"/>
      <c r="FG149" s="39"/>
      <c r="FH149" s="39"/>
      <c r="FI149" s="39"/>
      <c r="FJ149" s="39"/>
      <c r="FK149" s="41" t="b">
        <f aca="false">TRUE()</f>
        <v>1</v>
      </c>
      <c r="FL149" s="39"/>
      <c r="FM149" s="39"/>
      <c r="FN149" s="39"/>
      <c r="FO149" s="39"/>
      <c r="FP149" s="39"/>
      <c r="FQ149" s="39"/>
      <c r="FR149" s="39"/>
      <c r="FS149" s="39"/>
      <c r="FT149" s="39"/>
      <c r="FU149" s="39"/>
      <c r="FV149" s="39"/>
      <c r="FW149" s="39"/>
      <c r="FX149" s="39"/>
      <c r="FY149" s="39"/>
      <c r="FZ149" s="39"/>
      <c r="GA149" s="39"/>
      <c r="GB149" s="39"/>
      <c r="GC149" s="39"/>
      <c r="GD149" s="39"/>
      <c r="GE149" s="39"/>
      <c r="GF149" s="39"/>
      <c r="GG149" s="39"/>
      <c r="GH149" s="39"/>
      <c r="GI149" s="39"/>
      <c r="GJ149" s="39"/>
      <c r="GK149" s="39"/>
      <c r="GL149" s="39"/>
      <c r="GM149" s="39"/>
      <c r="GN149" s="39"/>
      <c r="GO149" s="39"/>
      <c r="GP149" s="39"/>
      <c r="GQ149" s="39"/>
      <c r="GR149" s="39"/>
      <c r="GS149" s="39"/>
      <c r="GT149" s="39"/>
      <c r="GU149" s="39"/>
      <c r="GV149" s="39"/>
      <c r="GW149" s="39"/>
      <c r="GX149" s="39"/>
      <c r="GY149" s="39"/>
      <c r="GZ149" s="39"/>
      <c r="HA149" s="39"/>
      <c r="HB149" s="39"/>
      <c r="HC149" s="39"/>
      <c r="HD149" s="39"/>
      <c r="HE149" s="39"/>
      <c r="HF149" s="39"/>
      <c r="HG149" s="39"/>
      <c r="HH149" s="39"/>
      <c r="HI149" s="39"/>
      <c r="HJ149" s="39"/>
      <c r="HK149" s="41" t="b">
        <f aca="false">TRUE()</f>
        <v>1</v>
      </c>
      <c r="HL149" s="39"/>
      <c r="HM149" s="39"/>
      <c r="HN149" s="39"/>
      <c r="HO149" s="39"/>
      <c r="HP149" s="39"/>
      <c r="HQ149" s="39"/>
      <c r="HR149" s="39"/>
      <c r="HS149" s="39"/>
      <c r="HT149" s="39"/>
      <c r="HU149" s="39"/>
      <c r="HV149" s="39"/>
      <c r="HW149" s="39"/>
      <c r="HX149" s="39"/>
      <c r="HY149" s="39"/>
      <c r="HZ149" s="39"/>
      <c r="IA149" s="39"/>
      <c r="IB149" s="39"/>
      <c r="IC149" s="39"/>
      <c r="ID149" s="41" t="b">
        <f aca="false">TRUE()</f>
        <v>1</v>
      </c>
      <c r="IE149" s="39"/>
      <c r="IF149" s="39"/>
      <c r="IG149" s="39"/>
      <c r="IH149" s="39"/>
      <c r="II149" s="39"/>
      <c r="IJ149" s="39"/>
      <c r="IK149" s="39"/>
      <c r="IL149" s="39"/>
      <c r="IM149" s="39"/>
      <c r="IN149" s="39"/>
      <c r="IO149" s="39"/>
      <c r="IP149" s="39"/>
      <c r="IQ149" s="39"/>
      <c r="IR149" s="39"/>
      <c r="IS149" s="39"/>
      <c r="IT149" s="39"/>
      <c r="IU149" s="39"/>
      <c r="IV149" s="39"/>
      <c r="IW149" s="39"/>
      <c r="IX149" s="39"/>
      <c r="IY149" s="39"/>
      <c r="IZ149" s="39"/>
      <c r="JA149" s="39"/>
      <c r="JB149" s="39"/>
      <c r="JC149" s="39"/>
      <c r="JD149" s="39"/>
      <c r="JE149" s="39"/>
      <c r="JF149" s="39"/>
      <c r="JG149" s="39"/>
      <c r="JH149" s="39"/>
      <c r="JI149" s="39"/>
      <c r="JJ149" s="39"/>
      <c r="JK149" s="39"/>
      <c r="JL149" s="39"/>
      <c r="JM149" s="39"/>
      <c r="JN149" s="39"/>
      <c r="JO149" s="39"/>
      <c r="JP149" s="39"/>
      <c r="JQ149" s="39"/>
      <c r="JR149" s="39"/>
      <c r="JS149" s="39"/>
      <c r="JT149" s="41" t="b">
        <f aca="false">TRUE()</f>
        <v>1</v>
      </c>
      <c r="JU149" s="39"/>
      <c r="JV149" s="39"/>
      <c r="JW149" s="39"/>
      <c r="JX149" s="39"/>
      <c r="JY149" s="39"/>
      <c r="JZ149" s="39"/>
      <c r="KA149" s="39"/>
      <c r="KB149" s="39"/>
      <c r="KC149" s="39"/>
      <c r="KD149" s="39"/>
      <c r="KE149" s="39"/>
      <c r="KF149" s="39"/>
      <c r="KG149" s="39"/>
      <c r="KH149" s="39"/>
      <c r="KI149" s="39"/>
      <c r="KJ149" s="39"/>
      <c r="KK149" s="39"/>
      <c r="KL149" s="39"/>
      <c r="KM149" s="39"/>
      <c r="KN149" s="39"/>
      <c r="KO149" s="39"/>
      <c r="KP149" s="41" t="b">
        <f aca="false">TRUE()</f>
        <v>1</v>
      </c>
      <c r="KQ149" s="39"/>
      <c r="KR149" s="39"/>
      <c r="KS149" s="39"/>
      <c r="KT149" s="41" t="b">
        <f aca="false">TRUE()</f>
        <v>1</v>
      </c>
      <c r="KU149" s="39"/>
    </row>
    <row r="150" customFormat="false" ht="14.4" hidden="false" customHeight="false" outlineLevel="0" collapsed="false">
      <c r="A150" s="37" t="s">
        <v>305</v>
      </c>
      <c r="B150" s="37" t="s">
        <v>3379</v>
      </c>
      <c r="C150" s="37"/>
      <c r="D150" s="37"/>
      <c r="E150" s="37"/>
      <c r="F150" s="37" t="s">
        <v>3380</v>
      </c>
      <c r="G150" s="37" t="s">
        <v>3381</v>
      </c>
      <c r="H150" s="37" t="s">
        <v>388</v>
      </c>
      <c r="I150" s="37" t="s">
        <v>310</v>
      </c>
      <c r="J150" s="37" t="s">
        <v>311</v>
      </c>
      <c r="K150" s="37"/>
      <c r="L150" s="37"/>
      <c r="M150" s="37"/>
      <c r="N150" s="37"/>
      <c r="O150" s="37" t="s">
        <v>3382</v>
      </c>
      <c r="P150" s="37" t="s">
        <v>3383</v>
      </c>
      <c r="Q150" s="37" t="s">
        <v>3384</v>
      </c>
      <c r="R150" s="37" t="s">
        <v>3385</v>
      </c>
      <c r="S150" s="37" t="s">
        <v>3386</v>
      </c>
      <c r="T150" s="37" t="s">
        <v>3387</v>
      </c>
      <c r="U150" s="37" t="s">
        <v>3388</v>
      </c>
      <c r="V150" s="37" t="s">
        <v>3389</v>
      </c>
      <c r="W150" s="37" t="s">
        <v>3390</v>
      </c>
      <c r="X150" s="37"/>
      <c r="Y150" s="37"/>
      <c r="Z150" s="37"/>
      <c r="AA150" s="37" t="n">
        <v>94</v>
      </c>
      <c r="AB150" s="37" t="n">
        <v>54</v>
      </c>
      <c r="AC150" s="37" t="n">
        <v>54</v>
      </c>
      <c r="AD150" s="37" t="n">
        <v>8</v>
      </c>
      <c r="AE150" s="37" t="n">
        <v>36</v>
      </c>
      <c r="AF150" s="37" t="s">
        <v>401</v>
      </c>
      <c r="AG150" s="37" t="s">
        <v>402</v>
      </c>
      <c r="AH150" s="37" t="s">
        <v>403</v>
      </c>
      <c r="AI150" s="37" t="s">
        <v>404</v>
      </c>
      <c r="AJ150" s="37" t="s">
        <v>405</v>
      </c>
      <c r="AK150" s="37"/>
      <c r="AL150" s="37" t="s">
        <v>406</v>
      </c>
      <c r="AM150" s="37" t="s">
        <v>407</v>
      </c>
      <c r="AN150" s="37" t="s">
        <v>2054</v>
      </c>
      <c r="AO150" s="37" t="n">
        <v>2022</v>
      </c>
      <c r="AP150" s="37" t="n">
        <v>198</v>
      </c>
      <c r="AQ150" s="37"/>
      <c r="AR150" s="37"/>
      <c r="AS150" s="37"/>
      <c r="AT150" s="37"/>
      <c r="AU150" s="37" t="n">
        <v>107121</v>
      </c>
      <c r="AV150" s="37" t="s">
        <v>3391</v>
      </c>
      <c r="AW150" s="37" t="str">
        <f aca="false">HYPERLINK("http://dx.doi.org/10.1016/j.compag.2022.107121","http://dx.doi.org/10.1016/j.compag.2022.107121")</f>
        <v>http://dx.doi.org/10.1016/j.compag.2022.107121</v>
      </c>
      <c r="AX150" s="37" t="s">
        <v>777</v>
      </c>
      <c r="AY150" s="37" t="n">
        <v>17</v>
      </c>
      <c r="AZ150" s="37" t="s">
        <v>411</v>
      </c>
      <c r="BA150" s="37" t="s">
        <v>331</v>
      </c>
      <c r="BB150" s="37" t="s">
        <v>412</v>
      </c>
      <c r="BC150" s="37" t="s">
        <v>3392</v>
      </c>
      <c r="BD150" s="37"/>
      <c r="BE150" s="37"/>
      <c r="BF150" s="37" t="s">
        <v>334</v>
      </c>
      <c r="BG150" s="37" t="s">
        <v>3393</v>
      </c>
      <c r="BH150" s="37" t="str">
        <f aca="false">HYPERLINK("https%3A%2F%2Fwww.webofscience.com%2Fwos%2Fwoscc%2Ffull-record%2FWOS:000818589000001","View Full Record in Web of Science")</f>
        <v>View Full Record in Web of Science</v>
      </c>
      <c r="BI150" s="39"/>
      <c r="BJ150" s="39"/>
      <c r="BK150" s="39"/>
      <c r="BL150" s="39"/>
      <c r="BM150" s="41" t="b">
        <f aca="false">TRUE()</f>
        <v>1</v>
      </c>
      <c r="BN150" s="39"/>
      <c r="BO150" s="39"/>
      <c r="BP150" s="39"/>
      <c r="BQ150" s="39"/>
      <c r="BR150" s="39"/>
      <c r="BS150" s="41" t="b">
        <f aca="false">TRUE()</f>
        <v>1</v>
      </c>
      <c r="BT150" s="39"/>
      <c r="BU150" s="39"/>
      <c r="BV150" s="39"/>
      <c r="BW150" s="39"/>
      <c r="BX150" s="39"/>
      <c r="BY150" s="39"/>
      <c r="BZ150" s="39"/>
      <c r="CA150" s="39"/>
      <c r="CB150" s="39"/>
      <c r="CC150" s="39"/>
      <c r="CD150" s="39"/>
      <c r="CE150" s="39"/>
      <c r="CF150" s="39"/>
      <c r="CG150" s="39"/>
      <c r="CH150" s="39"/>
      <c r="CI150" s="39"/>
      <c r="CJ150" s="39"/>
      <c r="CK150" s="39"/>
      <c r="CL150" s="39"/>
      <c r="CM150" s="39"/>
      <c r="CN150" s="39"/>
      <c r="CO150" s="39"/>
      <c r="CP150" s="39"/>
      <c r="CQ150" s="39"/>
      <c r="CR150" s="39"/>
      <c r="CS150" s="39"/>
      <c r="CT150" s="39"/>
      <c r="CU150" s="39"/>
      <c r="CV150" s="39"/>
      <c r="CW150" s="39"/>
      <c r="CX150" s="39"/>
      <c r="CY150" s="39"/>
      <c r="CZ150" s="39"/>
      <c r="DA150" s="41" t="b">
        <f aca="false">TRUE()</f>
        <v>1</v>
      </c>
      <c r="DB150" s="39"/>
      <c r="DC150" s="39"/>
      <c r="DD150" s="39"/>
      <c r="DE150" s="39"/>
      <c r="DF150" s="39"/>
      <c r="DG150" s="39"/>
      <c r="DH150" s="39"/>
      <c r="DI150" s="39"/>
      <c r="DJ150" s="39"/>
      <c r="DK150" s="39"/>
      <c r="DL150" s="39"/>
      <c r="DM150" s="39"/>
      <c r="DN150" s="39"/>
      <c r="DO150" s="39"/>
      <c r="DP150" s="39"/>
      <c r="DQ150" s="39"/>
      <c r="DR150" s="39"/>
      <c r="DS150" s="39"/>
      <c r="DT150" s="39"/>
      <c r="DU150" s="39"/>
      <c r="DV150" s="39"/>
      <c r="DW150" s="39"/>
      <c r="DX150" s="39"/>
      <c r="DY150" s="39"/>
      <c r="DZ150" s="39"/>
      <c r="EA150" s="41" t="b">
        <f aca="false">TRUE()</f>
        <v>1</v>
      </c>
      <c r="EB150" s="39"/>
      <c r="EC150" s="39"/>
      <c r="ED150" s="39"/>
      <c r="EE150" s="39"/>
      <c r="EF150" s="39"/>
      <c r="EG150" s="39"/>
      <c r="EH150" s="39"/>
      <c r="EI150" s="39"/>
      <c r="EJ150" s="39"/>
      <c r="EK150" s="39"/>
      <c r="EL150" s="39"/>
      <c r="EM150" s="39"/>
      <c r="EN150" s="41" t="b">
        <f aca="false">TRUE()</f>
        <v>1</v>
      </c>
      <c r="EO150" s="39"/>
      <c r="EP150" s="39"/>
      <c r="EQ150" s="39"/>
      <c r="ER150" s="39"/>
      <c r="ES150" s="39"/>
      <c r="ET150" s="39"/>
      <c r="EU150" s="39"/>
      <c r="EV150" s="39"/>
      <c r="EW150" s="39"/>
      <c r="EX150" s="41" t="b">
        <f aca="false">TRUE()</f>
        <v>1</v>
      </c>
      <c r="EY150" s="39"/>
      <c r="EZ150" s="39"/>
      <c r="FA150" s="39"/>
      <c r="FB150" s="39"/>
      <c r="FC150" s="39"/>
      <c r="FD150" s="39"/>
      <c r="FE150" s="39"/>
      <c r="FF150" s="39"/>
      <c r="FG150" s="39"/>
      <c r="FH150" s="39"/>
      <c r="FI150" s="39"/>
      <c r="FJ150" s="39"/>
      <c r="FK150" s="39"/>
      <c r="FL150" s="39"/>
      <c r="FM150" s="39"/>
      <c r="FN150" s="39"/>
      <c r="FO150" s="39"/>
      <c r="FP150" s="39"/>
      <c r="FQ150" s="39"/>
      <c r="FR150" s="39"/>
      <c r="FS150" s="39"/>
      <c r="FT150" s="39"/>
      <c r="FU150" s="39"/>
      <c r="FV150" s="39"/>
      <c r="FW150" s="39"/>
      <c r="FX150" s="39"/>
      <c r="FY150" s="39"/>
      <c r="FZ150" s="39"/>
      <c r="GA150" s="39"/>
      <c r="GB150" s="39"/>
      <c r="GC150" s="39"/>
      <c r="GD150" s="39"/>
      <c r="GE150" s="39"/>
      <c r="GF150" s="39"/>
      <c r="GG150" s="39"/>
      <c r="GH150" s="39"/>
      <c r="GI150" s="39"/>
      <c r="GJ150" s="39"/>
      <c r="GK150" s="39"/>
      <c r="GL150" s="39"/>
      <c r="GM150" s="39"/>
      <c r="GN150" s="39"/>
      <c r="GO150" s="39"/>
      <c r="GP150" s="39"/>
      <c r="GQ150" s="39"/>
      <c r="GR150" s="39"/>
      <c r="GS150" s="39"/>
      <c r="GT150" s="39"/>
      <c r="GU150" s="39"/>
      <c r="GV150" s="39"/>
      <c r="GW150" s="39"/>
      <c r="GX150" s="39"/>
      <c r="GY150" s="39"/>
      <c r="GZ150" s="39"/>
      <c r="HA150" s="39"/>
      <c r="HB150" s="39"/>
      <c r="HC150" s="39"/>
      <c r="HD150" s="39"/>
      <c r="HE150" s="39"/>
      <c r="HF150" s="39"/>
      <c r="HG150" s="39"/>
      <c r="HH150" s="39"/>
      <c r="HI150" s="39"/>
      <c r="HJ150" s="39"/>
      <c r="HK150" s="41" t="b">
        <f aca="false">TRUE()</f>
        <v>1</v>
      </c>
      <c r="HL150" s="39"/>
      <c r="HM150" s="39"/>
      <c r="HN150" s="39"/>
      <c r="HO150" s="39"/>
      <c r="HP150" s="39"/>
      <c r="HQ150" s="39"/>
      <c r="HR150" s="39"/>
      <c r="HS150" s="39"/>
      <c r="HT150" s="39"/>
      <c r="HU150" s="39"/>
      <c r="HV150" s="39"/>
      <c r="HW150" s="39"/>
      <c r="HX150" s="41" t="b">
        <f aca="false">TRUE()</f>
        <v>1</v>
      </c>
      <c r="HY150" s="39"/>
      <c r="HZ150" s="39"/>
      <c r="IA150" s="39"/>
      <c r="IB150" s="39"/>
      <c r="IC150" s="39"/>
      <c r="ID150" s="39"/>
      <c r="IE150" s="39"/>
      <c r="IF150" s="39"/>
      <c r="IG150" s="39"/>
      <c r="IH150" s="39"/>
      <c r="II150" s="39"/>
      <c r="IJ150" s="39"/>
      <c r="IK150" s="39"/>
      <c r="IL150" s="39"/>
      <c r="IM150" s="39"/>
      <c r="IN150" s="39"/>
      <c r="IO150" s="39"/>
      <c r="IP150" s="39"/>
      <c r="IQ150" s="39"/>
      <c r="IR150" s="39"/>
      <c r="IS150" s="39"/>
      <c r="IT150" s="39"/>
      <c r="IU150" s="39"/>
      <c r="IV150" s="39"/>
      <c r="IW150" s="39"/>
      <c r="IX150" s="39"/>
      <c r="IY150" s="39"/>
      <c r="IZ150" s="39"/>
      <c r="JA150" s="39"/>
      <c r="JB150" s="39"/>
      <c r="JC150" s="39"/>
      <c r="JD150" s="39"/>
      <c r="JE150" s="39"/>
      <c r="JF150" s="39"/>
      <c r="JG150" s="39"/>
      <c r="JH150" s="39"/>
      <c r="JI150" s="39"/>
      <c r="JJ150" s="39"/>
      <c r="JK150" s="39"/>
      <c r="JL150" s="39"/>
      <c r="JM150" s="39"/>
      <c r="JN150" s="39"/>
      <c r="JO150" s="39"/>
      <c r="JP150" s="39"/>
      <c r="JQ150" s="39"/>
      <c r="JR150" s="39"/>
      <c r="JS150" s="39"/>
      <c r="JT150" s="41" t="b">
        <f aca="false">TRUE()</f>
        <v>1</v>
      </c>
      <c r="JU150" s="39"/>
      <c r="JV150" s="39"/>
      <c r="JW150" s="39"/>
      <c r="JX150" s="39"/>
      <c r="JY150" s="39"/>
      <c r="JZ150" s="39"/>
      <c r="KA150" s="39"/>
      <c r="KB150" s="39"/>
      <c r="KC150" s="39"/>
      <c r="KD150" s="39"/>
      <c r="KE150" s="39"/>
      <c r="KF150" s="39"/>
      <c r="KG150" s="39"/>
      <c r="KH150" s="39"/>
      <c r="KI150" s="39"/>
      <c r="KJ150" s="39"/>
      <c r="KK150" s="39"/>
      <c r="KL150" s="39"/>
      <c r="KM150" s="39"/>
      <c r="KN150" s="39"/>
      <c r="KO150" s="39"/>
      <c r="KP150" s="41" t="b">
        <f aca="false">TRUE()</f>
        <v>1</v>
      </c>
      <c r="KQ150" s="41" t="b">
        <f aca="false">TRUE()</f>
        <v>1</v>
      </c>
      <c r="KR150" s="39"/>
      <c r="KS150" s="39"/>
      <c r="KT150" s="41" t="b">
        <f aca="false">TRUE()</f>
        <v>1</v>
      </c>
      <c r="KU150" s="39"/>
    </row>
    <row r="151" customFormat="false" ht="14.4" hidden="false" customHeight="false" outlineLevel="0" collapsed="false">
      <c r="A151" s="37" t="s">
        <v>305</v>
      </c>
      <c r="B151" s="37" t="s">
        <v>3394</v>
      </c>
      <c r="C151" s="37"/>
      <c r="D151" s="37"/>
      <c r="E151" s="37"/>
      <c r="F151" s="37" t="s">
        <v>3395</v>
      </c>
      <c r="G151" s="37" t="s">
        <v>3396</v>
      </c>
      <c r="H151" s="37" t="s">
        <v>619</v>
      </c>
      <c r="I151" s="37" t="s">
        <v>310</v>
      </c>
      <c r="J151" s="37" t="s">
        <v>311</v>
      </c>
      <c r="K151" s="37"/>
      <c r="L151" s="37"/>
      <c r="M151" s="37"/>
      <c r="N151" s="37"/>
      <c r="O151" s="37" t="s">
        <v>3397</v>
      </c>
      <c r="P151" s="37" t="s">
        <v>3398</v>
      </c>
      <c r="Q151" s="37" t="s">
        <v>3399</v>
      </c>
      <c r="R151" s="37" t="s">
        <v>3400</v>
      </c>
      <c r="S151" s="37" t="s">
        <v>3401</v>
      </c>
      <c r="T151" s="37" t="s">
        <v>3402</v>
      </c>
      <c r="U151" s="37" t="s">
        <v>3403</v>
      </c>
      <c r="V151" s="37" t="s">
        <v>3404</v>
      </c>
      <c r="W151" s="37" t="s">
        <v>3405</v>
      </c>
      <c r="X151" s="37" t="s">
        <v>3406</v>
      </c>
      <c r="Y151" s="37" t="s">
        <v>3407</v>
      </c>
      <c r="Z151" s="37" t="s">
        <v>3408</v>
      </c>
      <c r="AA151" s="37" t="n">
        <v>56</v>
      </c>
      <c r="AB151" s="37" t="n">
        <v>0</v>
      </c>
      <c r="AC151" s="37" t="n">
        <v>0</v>
      </c>
      <c r="AD151" s="37" t="n">
        <v>8</v>
      </c>
      <c r="AE151" s="37" t="n">
        <v>40</v>
      </c>
      <c r="AF151" s="37" t="s">
        <v>546</v>
      </c>
      <c r="AG151" s="37" t="s">
        <v>547</v>
      </c>
      <c r="AH151" s="37" t="s">
        <v>548</v>
      </c>
      <c r="AI151" s="37"/>
      <c r="AJ151" s="37" t="s">
        <v>629</v>
      </c>
      <c r="AK151" s="37"/>
      <c r="AL151" s="37" t="s">
        <v>630</v>
      </c>
      <c r="AM151" s="37" t="s">
        <v>631</v>
      </c>
      <c r="AN151" s="37" t="s">
        <v>132</v>
      </c>
      <c r="AO151" s="37" t="n">
        <v>2022</v>
      </c>
      <c r="AP151" s="37" t="n">
        <v>14</v>
      </c>
      <c r="AQ151" s="37" t="n">
        <v>18</v>
      </c>
      <c r="AR151" s="37"/>
      <c r="AS151" s="37"/>
      <c r="AT151" s="37"/>
      <c r="AU151" s="37" t="n">
        <v>2800</v>
      </c>
      <c r="AV151" s="37" t="s">
        <v>3409</v>
      </c>
      <c r="AW151" s="37" t="str">
        <f aca="false">HYPERLINK("http://dx.doi.org/10.3390/w14182800","http://dx.doi.org/10.3390/w14182800")</f>
        <v>http://dx.doi.org/10.3390/w14182800</v>
      </c>
      <c r="AX151" s="37"/>
      <c r="AY151" s="37" t="n">
        <v>13</v>
      </c>
      <c r="AZ151" s="37" t="s">
        <v>633</v>
      </c>
      <c r="BA151" s="37" t="s">
        <v>331</v>
      </c>
      <c r="BB151" s="37" t="s">
        <v>634</v>
      </c>
      <c r="BC151" s="37" t="s">
        <v>3410</v>
      </c>
      <c r="BD151" s="37"/>
      <c r="BE151" s="37" t="s">
        <v>503</v>
      </c>
      <c r="BF151" s="37" t="s">
        <v>334</v>
      </c>
      <c r="BG151" s="37" t="s">
        <v>3411</v>
      </c>
      <c r="BH151" s="37" t="str">
        <f aca="false">HYPERLINK("https%3A%2F%2Fwww.webofscience.com%2Fwos%2Fwoscc%2Ffull-record%2FWOS:000857059400001","View Full Record in Web of Science")</f>
        <v>View Full Record in Web of Science</v>
      </c>
      <c r="BI151" s="39"/>
      <c r="BJ151" s="39"/>
      <c r="BK151" s="39"/>
      <c r="BL151" s="39"/>
      <c r="BM151" s="39"/>
      <c r="BN151" s="39"/>
      <c r="BO151" s="39"/>
      <c r="BP151" s="39"/>
      <c r="BQ151" s="39"/>
      <c r="BR151" s="39"/>
      <c r="BS151" s="39"/>
      <c r="BT151" s="39"/>
      <c r="BU151" s="39"/>
      <c r="BV151" s="39"/>
      <c r="BW151" s="39"/>
      <c r="BX151" s="39"/>
      <c r="BY151" s="41" t="b">
        <f aca="false">TRUE()</f>
        <v>1</v>
      </c>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41" t="b">
        <f aca="false">TRUE()</f>
        <v>1</v>
      </c>
      <c r="EB151" s="41" t="b">
        <f aca="false">TRUE()</f>
        <v>1</v>
      </c>
      <c r="EC151" s="39"/>
      <c r="ED151" s="39"/>
      <c r="EE151" s="41" t="b">
        <f aca="false">TRUE()</f>
        <v>1</v>
      </c>
      <c r="EF151" s="39"/>
      <c r="EG151" s="39"/>
      <c r="EH151" s="39"/>
      <c r="EI151" s="41" t="b">
        <f aca="false">TRUE()</f>
        <v>1</v>
      </c>
      <c r="EJ151" s="39"/>
      <c r="EK151" s="39"/>
      <c r="EL151" s="39"/>
      <c r="EM151" s="39"/>
      <c r="EN151" s="39"/>
      <c r="EO151" s="39"/>
      <c r="EP151" s="39"/>
      <c r="EQ151" s="39"/>
      <c r="ER151" s="39"/>
      <c r="ES151" s="39"/>
      <c r="ET151" s="39"/>
      <c r="EU151" s="39"/>
      <c r="EV151" s="41" t="b">
        <f aca="false">TRUE()</f>
        <v>1</v>
      </c>
      <c r="EW151" s="39"/>
      <c r="EX151" s="41" t="b">
        <f aca="false">TRUE()</f>
        <v>1</v>
      </c>
      <c r="EY151" s="39"/>
      <c r="EZ151" s="39"/>
      <c r="FA151" s="39"/>
      <c r="FB151" s="39"/>
      <c r="FC151" s="39"/>
      <c r="FD151" s="39"/>
      <c r="FE151" s="39"/>
      <c r="FF151" s="39"/>
      <c r="FG151" s="39"/>
      <c r="FH151" s="39"/>
      <c r="FI151" s="39"/>
      <c r="FJ151" s="39"/>
      <c r="FK151" s="39"/>
      <c r="FL151" s="39"/>
      <c r="FM151" s="39"/>
      <c r="FN151" s="39"/>
      <c r="FO151" s="39"/>
      <c r="FP151" s="39"/>
      <c r="FQ151" s="39"/>
      <c r="FR151" s="39"/>
      <c r="FS151" s="39"/>
      <c r="FT151" s="39"/>
      <c r="FU151" s="39"/>
      <c r="FV151" s="39"/>
      <c r="FW151" s="39"/>
      <c r="FX151" s="39"/>
      <c r="FY151" s="39"/>
      <c r="FZ151" s="39"/>
      <c r="GA151" s="39"/>
      <c r="GB151" s="39"/>
      <c r="GC151" s="41" t="b">
        <f aca="false">TRUE()</f>
        <v>1</v>
      </c>
      <c r="GD151" s="39"/>
      <c r="GE151" s="39"/>
      <c r="GF151" s="41" t="b">
        <f aca="false">TRUE()</f>
        <v>1</v>
      </c>
      <c r="GG151" s="39"/>
      <c r="GH151" s="39"/>
      <c r="GI151" s="39"/>
      <c r="GJ151" s="39"/>
      <c r="GK151" s="41" t="b">
        <f aca="false">TRUE()</f>
        <v>1</v>
      </c>
      <c r="GL151" s="39"/>
      <c r="GM151" s="39"/>
      <c r="GN151" s="39"/>
      <c r="GO151" s="39"/>
      <c r="GP151" s="39"/>
      <c r="GQ151" s="39"/>
      <c r="GR151" s="39"/>
      <c r="GS151" s="39"/>
      <c r="GT151" s="39"/>
      <c r="GU151" s="39"/>
      <c r="GV151" s="39"/>
      <c r="GW151" s="39"/>
      <c r="GX151" s="39"/>
      <c r="GY151" s="39"/>
      <c r="GZ151" s="39"/>
      <c r="HA151" s="39"/>
      <c r="HB151" s="39"/>
      <c r="HC151" s="39"/>
      <c r="HD151" s="39"/>
      <c r="HE151" s="39"/>
      <c r="HF151" s="39"/>
      <c r="HG151" s="39"/>
      <c r="HH151" s="39"/>
      <c r="HI151" s="39"/>
      <c r="HJ151" s="39"/>
      <c r="HK151" s="39"/>
      <c r="HL151" s="39"/>
      <c r="HM151" s="39"/>
      <c r="HN151" s="39"/>
      <c r="HO151" s="39"/>
      <c r="HP151" s="39"/>
      <c r="HQ151" s="39"/>
      <c r="HR151" s="39"/>
      <c r="HS151" s="39"/>
      <c r="HT151" s="39"/>
      <c r="HU151" s="39"/>
      <c r="HV151" s="39"/>
      <c r="HW151" s="39"/>
      <c r="HX151" s="39"/>
      <c r="HY151" s="39"/>
      <c r="HZ151" s="39"/>
      <c r="IA151" s="39"/>
      <c r="IB151" s="39"/>
      <c r="IC151" s="39"/>
      <c r="ID151" s="41" t="b">
        <f aca="false">TRUE()</f>
        <v>1</v>
      </c>
      <c r="IE151" s="39"/>
      <c r="IF151" s="39"/>
      <c r="IG151" s="39"/>
      <c r="IH151" s="39"/>
      <c r="II151" s="39"/>
      <c r="IJ151" s="39"/>
      <c r="IK151" s="39"/>
      <c r="IL151" s="39"/>
      <c r="IM151" s="39"/>
      <c r="IN151" s="39"/>
      <c r="IO151" s="39"/>
      <c r="IP151" s="39"/>
      <c r="IQ151" s="39"/>
      <c r="IR151" s="39"/>
      <c r="IS151" s="39"/>
      <c r="IT151" s="39"/>
      <c r="IU151" s="39"/>
      <c r="IV151" s="39"/>
      <c r="IW151" s="39"/>
      <c r="IX151" s="39"/>
      <c r="IY151" s="39"/>
      <c r="IZ151" s="39"/>
      <c r="JA151" s="39"/>
      <c r="JB151" s="39"/>
      <c r="JC151" s="39"/>
      <c r="JD151" s="39"/>
      <c r="JE151" s="39"/>
      <c r="JF151" s="39"/>
      <c r="JG151" s="39"/>
      <c r="JH151" s="39"/>
      <c r="JI151" s="39"/>
      <c r="JJ151" s="39"/>
      <c r="JK151" s="39"/>
      <c r="JL151" s="39"/>
      <c r="JM151" s="39"/>
      <c r="JN151" s="39"/>
      <c r="JO151" s="39"/>
      <c r="JP151" s="39"/>
      <c r="JQ151" s="39"/>
      <c r="JR151" s="39"/>
      <c r="JS151" s="39"/>
      <c r="JT151" s="41" t="b">
        <f aca="false">TRUE()</f>
        <v>1</v>
      </c>
      <c r="JU151" s="41" t="b">
        <f aca="false">TRUE()</f>
        <v>1</v>
      </c>
      <c r="JV151" s="39"/>
      <c r="JW151" s="39"/>
      <c r="JX151" s="39"/>
      <c r="JY151" s="39"/>
      <c r="JZ151" s="39"/>
      <c r="KA151" s="39"/>
      <c r="KB151" s="39"/>
      <c r="KC151" s="39"/>
      <c r="KD151" s="39"/>
      <c r="KE151" s="39"/>
      <c r="KF151" s="39"/>
      <c r="KG151" s="39"/>
      <c r="KH151" s="39"/>
      <c r="KI151" s="39"/>
      <c r="KJ151" s="39"/>
      <c r="KK151" s="39"/>
      <c r="KL151" s="39"/>
      <c r="KM151" s="39"/>
      <c r="KN151" s="39"/>
      <c r="KO151" s="39"/>
      <c r="KP151" s="39"/>
      <c r="KQ151" s="41" t="b">
        <f aca="false">TRUE()</f>
        <v>1</v>
      </c>
      <c r="KR151" s="41" t="b">
        <f aca="false">TRUE()</f>
        <v>1</v>
      </c>
      <c r="KS151" s="39"/>
      <c r="KT151" s="41" t="b">
        <f aca="false">TRUE()</f>
        <v>1</v>
      </c>
      <c r="KU151" s="39"/>
    </row>
    <row r="152" customFormat="false" ht="14.4" hidden="false" customHeight="false" outlineLevel="0" collapsed="false">
      <c r="A152" s="37" t="s">
        <v>305</v>
      </c>
      <c r="B152" s="37" t="s">
        <v>3412</v>
      </c>
      <c r="C152" s="37"/>
      <c r="D152" s="37"/>
      <c r="E152" s="37"/>
      <c r="F152" s="37" t="s">
        <v>3413</v>
      </c>
      <c r="G152" s="37" t="s">
        <v>3414</v>
      </c>
      <c r="H152" s="37" t="s">
        <v>1873</v>
      </c>
      <c r="I152" s="37" t="s">
        <v>310</v>
      </c>
      <c r="J152" s="37" t="s">
        <v>311</v>
      </c>
      <c r="K152" s="37"/>
      <c r="L152" s="37"/>
      <c r="M152" s="37"/>
      <c r="N152" s="37"/>
      <c r="O152" s="37" t="s">
        <v>3415</v>
      </c>
      <c r="P152" s="37" t="s">
        <v>3416</v>
      </c>
      <c r="Q152" s="37" t="s">
        <v>3417</v>
      </c>
      <c r="R152" s="37" t="s">
        <v>3418</v>
      </c>
      <c r="S152" s="37" t="s">
        <v>3419</v>
      </c>
      <c r="T152" s="37" t="s">
        <v>3420</v>
      </c>
      <c r="U152" s="37" t="s">
        <v>3421</v>
      </c>
      <c r="V152" s="37" t="s">
        <v>3422</v>
      </c>
      <c r="W152" s="37" t="s">
        <v>3423</v>
      </c>
      <c r="X152" s="37"/>
      <c r="Y152" s="37"/>
      <c r="Z152" s="37"/>
      <c r="AA152" s="37" t="n">
        <v>67</v>
      </c>
      <c r="AB152" s="37" t="n">
        <v>75</v>
      </c>
      <c r="AC152" s="37" t="n">
        <v>79</v>
      </c>
      <c r="AD152" s="37" t="n">
        <v>8</v>
      </c>
      <c r="AE152" s="37" t="n">
        <v>93</v>
      </c>
      <c r="AF152" s="37" t="s">
        <v>795</v>
      </c>
      <c r="AG152" s="37" t="s">
        <v>525</v>
      </c>
      <c r="AH152" s="37" t="s">
        <v>796</v>
      </c>
      <c r="AI152" s="37" t="s">
        <v>1886</v>
      </c>
      <c r="AJ152" s="37" t="s">
        <v>1887</v>
      </c>
      <c r="AK152" s="37"/>
      <c r="AL152" s="37" t="s">
        <v>1888</v>
      </c>
      <c r="AM152" s="37" t="s">
        <v>1889</v>
      </c>
      <c r="AN152" s="37" t="s">
        <v>572</v>
      </c>
      <c r="AO152" s="37" t="n">
        <v>2019</v>
      </c>
      <c r="AP152" s="37" t="n">
        <v>233</v>
      </c>
      <c r="AQ152" s="37"/>
      <c r="AR152" s="37"/>
      <c r="AS152" s="37"/>
      <c r="AT152" s="37"/>
      <c r="AU152" s="37" t="n">
        <v>111411</v>
      </c>
      <c r="AV152" s="37" t="s">
        <v>3424</v>
      </c>
      <c r="AW152" s="37" t="str">
        <f aca="false">HYPERLINK("http://dx.doi.org/10.1016/j.rse.2019.111411","http://dx.doi.org/10.1016/j.rse.2019.111411")</f>
        <v>http://dx.doi.org/10.1016/j.rse.2019.111411</v>
      </c>
      <c r="AX152" s="37"/>
      <c r="AY152" s="37" t="n">
        <v>17</v>
      </c>
      <c r="AZ152" s="37" t="s">
        <v>1891</v>
      </c>
      <c r="BA152" s="37" t="s">
        <v>331</v>
      </c>
      <c r="BB152" s="37" t="s">
        <v>1892</v>
      </c>
      <c r="BC152" s="37" t="s">
        <v>3425</v>
      </c>
      <c r="BD152" s="37"/>
      <c r="BE152" s="37"/>
      <c r="BF152" s="37" t="s">
        <v>334</v>
      </c>
      <c r="BG152" s="37" t="s">
        <v>3426</v>
      </c>
      <c r="BH152" s="37" t="str">
        <f aca="false">HYPERLINK("https%3A%2F%2Fwww.webofscience.com%2Fwos%2Fwoscc%2Ffull-record%2FWOS:000497601000043","View Full Record in Web of Science")</f>
        <v>View Full Record in Web of Science</v>
      </c>
      <c r="BI152" s="39"/>
      <c r="BJ152" s="39"/>
      <c r="BK152" s="39"/>
      <c r="BL152" s="39"/>
      <c r="BM152" s="39"/>
      <c r="BN152" s="39"/>
      <c r="BO152" s="39"/>
      <c r="BP152" s="39"/>
      <c r="BQ152" s="39"/>
      <c r="BR152" s="39"/>
      <c r="BS152" s="39"/>
      <c r="BT152" s="39"/>
      <c r="BU152" s="39"/>
      <c r="BV152" s="39"/>
      <c r="BW152" s="39"/>
      <c r="BX152" s="39"/>
      <c r="BY152" s="41" t="b">
        <f aca="false">TRUE()</f>
        <v>1</v>
      </c>
      <c r="BZ152" s="39"/>
      <c r="CA152" s="39"/>
      <c r="CB152" s="39"/>
      <c r="CC152" s="39"/>
      <c r="CD152" s="39"/>
      <c r="CE152" s="39"/>
      <c r="CF152" s="39"/>
      <c r="CG152" s="39"/>
      <c r="CH152" s="39"/>
      <c r="CI152" s="39"/>
      <c r="CJ152" s="39"/>
      <c r="CK152" s="39"/>
      <c r="CL152" s="39"/>
      <c r="CM152" s="39"/>
      <c r="CN152" s="39"/>
      <c r="CO152" s="39"/>
      <c r="CP152" s="39"/>
      <c r="CQ152" s="39"/>
      <c r="CR152" s="39"/>
      <c r="CS152" s="39"/>
      <c r="CT152" s="39"/>
      <c r="CU152" s="39"/>
      <c r="CV152" s="39"/>
      <c r="CW152" s="39"/>
      <c r="CX152" s="39"/>
      <c r="CY152" s="39"/>
      <c r="CZ152" s="39"/>
      <c r="DA152" s="39"/>
      <c r="DB152" s="39"/>
      <c r="DC152" s="39"/>
      <c r="DD152" s="39"/>
      <c r="DE152" s="39"/>
      <c r="DF152" s="39"/>
      <c r="DG152" s="39"/>
      <c r="DH152" s="39"/>
      <c r="DI152" s="39"/>
      <c r="DJ152" s="39"/>
      <c r="DK152" s="39"/>
      <c r="DL152" s="39"/>
      <c r="DM152" s="39"/>
      <c r="DN152" s="39"/>
      <c r="DO152" s="39"/>
      <c r="DP152" s="39"/>
      <c r="DQ152" s="39"/>
      <c r="DR152" s="39"/>
      <c r="DS152" s="39"/>
      <c r="DT152" s="39"/>
      <c r="DU152" s="39"/>
      <c r="DV152" s="39"/>
      <c r="DW152" s="39"/>
      <c r="DX152" s="39"/>
      <c r="DY152" s="39"/>
      <c r="DZ152" s="39"/>
      <c r="EA152" s="39"/>
      <c r="EB152" s="39"/>
      <c r="EC152" s="39"/>
      <c r="ED152" s="39"/>
      <c r="EE152" s="39"/>
      <c r="EF152" s="39"/>
      <c r="EG152" s="39"/>
      <c r="EH152" s="39"/>
      <c r="EI152" s="39"/>
      <c r="EJ152" s="39"/>
      <c r="EK152" s="39"/>
      <c r="EL152" s="39"/>
      <c r="EM152" s="39"/>
      <c r="EN152" s="39"/>
      <c r="EO152" s="39"/>
      <c r="EP152" s="39"/>
      <c r="EQ152" s="39"/>
      <c r="ER152" s="39"/>
      <c r="ES152" s="39"/>
      <c r="ET152" s="39"/>
      <c r="EU152" s="39"/>
      <c r="EV152" s="39"/>
      <c r="EW152" s="39"/>
      <c r="EX152" s="39"/>
      <c r="EY152" s="39"/>
      <c r="EZ152" s="39"/>
      <c r="FA152" s="39"/>
      <c r="FB152" s="39"/>
      <c r="FC152" s="39"/>
      <c r="FD152" s="39"/>
      <c r="FE152" s="39"/>
      <c r="FF152" s="41" t="b">
        <f aca="false">TRUE()</f>
        <v>1</v>
      </c>
      <c r="FG152" s="39"/>
      <c r="FH152" s="41" t="b">
        <f aca="false">TRUE()</f>
        <v>1</v>
      </c>
      <c r="FI152" s="39"/>
      <c r="FJ152" s="39"/>
      <c r="FK152" s="41" t="b">
        <f aca="false">TRUE()</f>
        <v>1</v>
      </c>
      <c r="FL152" s="39"/>
      <c r="FM152" s="39"/>
      <c r="FN152" s="39"/>
      <c r="FO152" s="39"/>
      <c r="FP152" s="39"/>
      <c r="FQ152" s="39"/>
      <c r="FR152" s="39"/>
      <c r="FS152" s="39"/>
      <c r="FT152" s="39"/>
      <c r="FU152" s="39"/>
      <c r="FV152" s="39"/>
      <c r="FW152" s="39"/>
      <c r="FX152" s="39"/>
      <c r="FY152" s="39"/>
      <c r="FZ152" s="39"/>
      <c r="GA152" s="39"/>
      <c r="GB152" s="39"/>
      <c r="GC152" s="39"/>
      <c r="GD152" s="39"/>
      <c r="GE152" s="39"/>
      <c r="GF152" s="39"/>
      <c r="GG152" s="39"/>
      <c r="GH152" s="39"/>
      <c r="GI152" s="39"/>
      <c r="GJ152" s="39"/>
      <c r="GK152" s="39"/>
      <c r="GL152" s="39"/>
      <c r="GM152" s="39"/>
      <c r="GN152" s="39"/>
      <c r="GO152" s="39"/>
      <c r="GP152" s="39"/>
      <c r="GQ152" s="39"/>
      <c r="GR152" s="39"/>
      <c r="GS152" s="39"/>
      <c r="GT152" s="39"/>
      <c r="GU152" s="39"/>
      <c r="GV152" s="39"/>
      <c r="GW152" s="39"/>
      <c r="GX152" s="39"/>
      <c r="GY152" s="39"/>
      <c r="GZ152" s="39"/>
      <c r="HA152" s="39"/>
      <c r="HB152" s="39"/>
      <c r="HC152" s="39"/>
      <c r="HD152" s="39"/>
      <c r="HE152" s="39"/>
      <c r="HF152" s="39"/>
      <c r="HG152" s="39"/>
      <c r="HH152" s="39"/>
      <c r="HI152" s="39"/>
      <c r="HJ152" s="39"/>
      <c r="HK152" s="41" t="b">
        <f aca="false">TRUE()</f>
        <v>1</v>
      </c>
      <c r="HL152" s="39"/>
      <c r="HM152" s="39"/>
      <c r="HN152" s="39"/>
      <c r="HO152" s="39"/>
      <c r="HP152" s="39"/>
      <c r="HQ152" s="39"/>
      <c r="HR152" s="39"/>
      <c r="HS152" s="39"/>
      <c r="HT152" s="39"/>
      <c r="HU152" s="39"/>
      <c r="HV152" s="39"/>
      <c r="HW152" s="39"/>
      <c r="HX152" s="39"/>
      <c r="HY152" s="39"/>
      <c r="HZ152" s="39"/>
      <c r="IA152" s="39"/>
      <c r="IB152" s="39"/>
      <c r="IC152" s="41" t="b">
        <f aca="false">TRUE()</f>
        <v>1</v>
      </c>
      <c r="ID152" s="39"/>
      <c r="IE152" s="39"/>
      <c r="IF152" s="39"/>
      <c r="IG152" s="39"/>
      <c r="IH152" s="39"/>
      <c r="II152" s="39"/>
      <c r="IJ152" s="39"/>
      <c r="IK152" s="39"/>
      <c r="IL152" s="39"/>
      <c r="IM152" s="39"/>
      <c r="IN152" s="39"/>
      <c r="IO152" s="39"/>
      <c r="IP152" s="39"/>
      <c r="IQ152" s="39"/>
      <c r="IR152" s="39"/>
      <c r="IS152" s="39"/>
      <c r="IT152" s="39"/>
      <c r="IU152" s="39"/>
      <c r="IV152" s="39"/>
      <c r="IW152" s="39"/>
      <c r="IX152" s="39"/>
      <c r="IY152" s="39"/>
      <c r="IZ152" s="39"/>
      <c r="JA152" s="39"/>
      <c r="JB152" s="39"/>
      <c r="JC152" s="39"/>
      <c r="JD152" s="39"/>
      <c r="JE152" s="39"/>
      <c r="JF152" s="39"/>
      <c r="JG152" s="39"/>
      <c r="JH152" s="39"/>
      <c r="JI152" s="39"/>
      <c r="JJ152" s="39"/>
      <c r="JK152" s="39"/>
      <c r="JL152" s="39"/>
      <c r="JM152" s="39"/>
      <c r="JN152" s="39"/>
      <c r="JO152" s="39"/>
      <c r="JP152" s="39"/>
      <c r="JQ152" s="39"/>
      <c r="JR152" s="39"/>
      <c r="JS152" s="39"/>
      <c r="JT152" s="41" t="b">
        <f aca="false">TRUE()</f>
        <v>1</v>
      </c>
      <c r="JU152" s="39"/>
      <c r="JV152" s="39"/>
      <c r="JW152" s="39"/>
      <c r="JX152" s="39"/>
      <c r="JY152" s="39"/>
      <c r="JZ152" s="39"/>
      <c r="KA152" s="39"/>
      <c r="KB152" s="39"/>
      <c r="KC152" s="39"/>
      <c r="KD152" s="39"/>
      <c r="KE152" s="39"/>
      <c r="KF152" s="39"/>
      <c r="KG152" s="39"/>
      <c r="KH152" s="39"/>
      <c r="KI152" s="39"/>
      <c r="KJ152" s="39"/>
      <c r="KK152" s="39"/>
      <c r="KL152" s="39"/>
      <c r="KM152" s="39"/>
      <c r="KN152" s="39"/>
      <c r="KO152" s="41" t="b">
        <f aca="false">TRUE()</f>
        <v>1</v>
      </c>
      <c r="KP152" s="39"/>
      <c r="KQ152" s="41" t="b">
        <f aca="false">TRUE()</f>
        <v>1</v>
      </c>
      <c r="KR152" s="39"/>
      <c r="KS152" s="39"/>
      <c r="KT152" s="41" t="b">
        <f aca="false">TRUE()</f>
        <v>1</v>
      </c>
      <c r="KU152" s="39"/>
    </row>
    <row r="153" customFormat="false" ht="14.4" hidden="false" customHeight="false" outlineLevel="0" collapsed="false">
      <c r="A153" s="37" t="s">
        <v>305</v>
      </c>
      <c r="B153" s="37" t="s">
        <v>3427</v>
      </c>
      <c r="C153" s="37"/>
      <c r="D153" s="37"/>
      <c r="E153" s="37"/>
      <c r="F153" s="37" t="s">
        <v>3428</v>
      </c>
      <c r="G153" s="37" t="s">
        <v>3429</v>
      </c>
      <c r="H153" s="37" t="s">
        <v>3430</v>
      </c>
      <c r="I153" s="37" t="s">
        <v>310</v>
      </c>
      <c r="J153" s="37" t="s">
        <v>2650</v>
      </c>
      <c r="K153" s="37"/>
      <c r="L153" s="37"/>
      <c r="M153" s="37"/>
      <c r="N153" s="37"/>
      <c r="O153" s="37" t="s">
        <v>3431</v>
      </c>
      <c r="P153" s="37"/>
      <c r="Q153" s="37" t="s">
        <v>3432</v>
      </c>
      <c r="R153" s="37" t="s">
        <v>3433</v>
      </c>
      <c r="S153" s="37" t="s">
        <v>3434</v>
      </c>
      <c r="T153" s="37" t="s">
        <v>3435</v>
      </c>
      <c r="U153" s="37" t="s">
        <v>3436</v>
      </c>
      <c r="V153" s="37" t="s">
        <v>3437</v>
      </c>
      <c r="W153" s="37" t="s">
        <v>3438</v>
      </c>
      <c r="X153" s="37"/>
      <c r="Y153" s="37"/>
      <c r="Z153" s="37"/>
      <c r="AA153" s="37" t="n">
        <v>36</v>
      </c>
      <c r="AB153" s="37" t="n">
        <v>114</v>
      </c>
      <c r="AC153" s="37" t="n">
        <v>115</v>
      </c>
      <c r="AD153" s="37" t="n">
        <v>27</v>
      </c>
      <c r="AE153" s="37" t="n">
        <v>203</v>
      </c>
      <c r="AF153" s="37" t="s">
        <v>321</v>
      </c>
      <c r="AG153" s="37" t="s">
        <v>322</v>
      </c>
      <c r="AH153" s="37" t="s">
        <v>323</v>
      </c>
      <c r="AI153" s="37" t="s">
        <v>3439</v>
      </c>
      <c r="AJ153" s="37" t="s">
        <v>3440</v>
      </c>
      <c r="AK153" s="37"/>
      <c r="AL153" s="37" t="s">
        <v>3441</v>
      </c>
      <c r="AM153" s="37" t="s">
        <v>3442</v>
      </c>
      <c r="AN153" s="37" t="s">
        <v>3443</v>
      </c>
      <c r="AO153" s="37" t="n">
        <v>2022</v>
      </c>
      <c r="AP153" s="37"/>
      <c r="AQ153" s="37"/>
      <c r="AR153" s="37"/>
      <c r="AS153" s="37"/>
      <c r="AT153" s="37"/>
      <c r="AU153" s="37"/>
      <c r="AV153" s="37" t="s">
        <v>3444</v>
      </c>
      <c r="AW153" s="37" t="str">
        <f aca="false">HYPERLINK("http://dx.doi.org/10.1007/s12652-022-03701-7","http://dx.doi.org/10.1007/s12652-022-03701-7")</f>
        <v>http://dx.doi.org/10.1007/s12652-022-03701-7</v>
      </c>
      <c r="AX153" s="37" t="s">
        <v>702</v>
      </c>
      <c r="AY153" s="37" t="n">
        <v>15</v>
      </c>
      <c r="AZ153" s="37" t="s">
        <v>3445</v>
      </c>
      <c r="BA153" s="37" t="s">
        <v>331</v>
      </c>
      <c r="BB153" s="37" t="s">
        <v>3446</v>
      </c>
      <c r="BC153" s="37" t="s">
        <v>3447</v>
      </c>
      <c r="BD153" s="37"/>
      <c r="BE153" s="37"/>
      <c r="BF153" s="37" t="s">
        <v>334</v>
      </c>
      <c r="BG153" s="37" t="s">
        <v>3448</v>
      </c>
      <c r="BH153" s="37" t="str">
        <f aca="false">HYPERLINK("https%3A%2F%2Fwww.webofscience.com%2Fwos%2Fwoscc%2Ffull-record%2FWOS:000745773600001","View Full Record in Web of Science")</f>
        <v>View Full Record in Web of Science</v>
      </c>
      <c r="BI153" s="39"/>
      <c r="BJ153" s="39"/>
      <c r="BK153" s="39"/>
      <c r="BL153" s="39"/>
      <c r="BM153" s="39"/>
      <c r="BN153" s="39"/>
      <c r="BO153" s="39"/>
      <c r="BP153" s="39"/>
      <c r="BQ153" s="39"/>
      <c r="BR153" s="41" t="b">
        <f aca="false">TRUE()</f>
        <v>1</v>
      </c>
      <c r="BS153" s="39"/>
      <c r="BT153" s="39"/>
      <c r="BU153" s="39"/>
      <c r="BV153" s="39"/>
      <c r="BW153" s="39"/>
      <c r="BX153" s="39"/>
      <c r="BY153" s="41" t="b">
        <f aca="false">TRUE()</f>
        <v>1</v>
      </c>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41" t="b">
        <f aca="false">TRUE()</f>
        <v>1</v>
      </c>
      <c r="EB153" s="39"/>
      <c r="EC153" s="39"/>
      <c r="ED153" s="39"/>
      <c r="EE153" s="39"/>
      <c r="EF153" s="39"/>
      <c r="EG153" s="39"/>
      <c r="EH153" s="39"/>
      <c r="EI153" s="41" t="b">
        <f aca="false">TRUE()</f>
        <v>1</v>
      </c>
      <c r="EJ153" s="39"/>
      <c r="EK153" s="39"/>
      <c r="EL153" s="39"/>
      <c r="EM153" s="39"/>
      <c r="EN153" s="39"/>
      <c r="EO153" s="39"/>
      <c r="EP153" s="39"/>
      <c r="EQ153" s="39"/>
      <c r="ER153" s="39"/>
      <c r="ES153" s="39"/>
      <c r="ET153" s="39"/>
      <c r="EU153" s="39"/>
      <c r="EV153" s="39"/>
      <c r="EW153" s="39"/>
      <c r="EX153" s="39"/>
      <c r="EY153" s="39"/>
      <c r="EZ153" s="39"/>
      <c r="FA153" s="39"/>
      <c r="FB153" s="39"/>
      <c r="FC153" s="41" t="b">
        <f aca="false">TRUE()</f>
        <v>1</v>
      </c>
      <c r="FD153" s="39"/>
      <c r="FE153" s="39"/>
      <c r="FF153" s="39"/>
      <c r="FG153" s="39"/>
      <c r="FH153" s="39"/>
      <c r="FI153" s="39"/>
      <c r="FJ153" s="39"/>
      <c r="FK153" s="39"/>
      <c r="FL153" s="39"/>
      <c r="FM153" s="39"/>
      <c r="FN153" s="39"/>
      <c r="FO153" s="39"/>
      <c r="FP153" s="39"/>
      <c r="FQ153" s="39"/>
      <c r="FR153" s="39"/>
      <c r="FS153" s="39"/>
      <c r="FT153" s="39"/>
      <c r="FU153" s="39"/>
      <c r="FV153" s="39"/>
      <c r="FW153" s="39"/>
      <c r="FX153" s="39"/>
      <c r="FY153" s="39"/>
      <c r="FZ153" s="39"/>
      <c r="GA153" s="39"/>
      <c r="GB153" s="39"/>
      <c r="GC153" s="39"/>
      <c r="GD153" s="39"/>
      <c r="GE153" s="39"/>
      <c r="GF153" s="39"/>
      <c r="GG153" s="39"/>
      <c r="GH153" s="39"/>
      <c r="GI153" s="39"/>
      <c r="GJ153" s="39"/>
      <c r="GK153" s="39"/>
      <c r="GL153" s="39"/>
      <c r="GM153" s="41" t="b">
        <f aca="false">TRUE()</f>
        <v>1</v>
      </c>
      <c r="GN153" s="39"/>
      <c r="GO153" s="39"/>
      <c r="GP153" s="39"/>
      <c r="GQ153" s="39"/>
      <c r="GR153" s="39"/>
      <c r="GS153" s="39"/>
      <c r="GT153" s="39"/>
      <c r="GU153" s="39"/>
      <c r="GV153" s="39"/>
      <c r="GW153" s="39"/>
      <c r="GX153" s="39"/>
      <c r="GY153" s="39"/>
      <c r="GZ153" s="39"/>
      <c r="HA153" s="39"/>
      <c r="HB153" s="39"/>
      <c r="HC153" s="39"/>
      <c r="HD153" s="39"/>
      <c r="HE153" s="39"/>
      <c r="HF153" s="39"/>
      <c r="HG153" s="39"/>
      <c r="HH153" s="39"/>
      <c r="HI153" s="39"/>
      <c r="HJ153" s="39"/>
      <c r="HK153" s="39"/>
      <c r="HL153" s="39"/>
      <c r="HM153" s="39"/>
      <c r="HN153" s="39"/>
      <c r="HO153" s="39"/>
      <c r="HP153" s="39"/>
      <c r="HQ153" s="39"/>
      <c r="HR153" s="39"/>
      <c r="HS153" s="39"/>
      <c r="HT153" s="39"/>
      <c r="HU153" s="39"/>
      <c r="HV153" s="39"/>
      <c r="HW153" s="39"/>
      <c r="HX153" s="39"/>
      <c r="HY153" s="39"/>
      <c r="HZ153" s="39"/>
      <c r="IA153" s="39"/>
      <c r="IB153" s="39"/>
      <c r="IC153" s="39"/>
      <c r="ID153" s="39"/>
      <c r="IE153" s="39"/>
      <c r="IF153" s="39"/>
      <c r="IG153" s="39"/>
      <c r="IH153" s="39"/>
      <c r="II153" s="39"/>
      <c r="IJ153" s="39"/>
      <c r="IK153" s="39"/>
      <c r="IL153" s="39"/>
      <c r="IM153" s="39"/>
      <c r="IN153" s="39"/>
      <c r="IO153" s="39"/>
      <c r="IP153" s="39"/>
      <c r="IQ153" s="39"/>
      <c r="IR153" s="39"/>
      <c r="IS153" s="39"/>
      <c r="IT153" s="39"/>
      <c r="IU153" s="39"/>
      <c r="IV153" s="39"/>
      <c r="IW153" s="39"/>
      <c r="IX153" s="41" t="b">
        <f aca="false">TRUE()</f>
        <v>1</v>
      </c>
      <c r="IY153" s="39"/>
      <c r="IZ153" s="39"/>
      <c r="JA153" s="39"/>
      <c r="JB153" s="39"/>
      <c r="JC153" s="39"/>
      <c r="JD153" s="39"/>
      <c r="JE153" s="39"/>
      <c r="JF153" s="39"/>
      <c r="JG153" s="39"/>
      <c r="JH153" s="39"/>
      <c r="JI153" s="39"/>
      <c r="JJ153" s="39"/>
      <c r="JK153" s="39"/>
      <c r="JL153" s="39"/>
      <c r="JM153" s="39"/>
      <c r="JN153" s="39"/>
      <c r="JO153" s="39"/>
      <c r="JP153" s="39"/>
      <c r="JQ153" s="39"/>
      <c r="JR153" s="39"/>
      <c r="JS153" s="39"/>
      <c r="JT153" s="41" t="b">
        <f aca="false">TRUE()</f>
        <v>1</v>
      </c>
      <c r="JU153" s="39"/>
      <c r="JV153" s="39"/>
      <c r="JW153" s="39"/>
      <c r="JX153" s="39"/>
      <c r="JY153" s="39"/>
      <c r="JZ153" s="39"/>
      <c r="KA153" s="39"/>
      <c r="KB153" s="39"/>
      <c r="KC153" s="39"/>
      <c r="KD153" s="39"/>
      <c r="KE153" s="39"/>
      <c r="KF153" s="39"/>
      <c r="KG153" s="39"/>
      <c r="KH153" s="39"/>
      <c r="KI153" s="39"/>
      <c r="KJ153" s="39"/>
      <c r="KK153" s="39"/>
      <c r="KL153" s="39"/>
      <c r="KM153" s="39"/>
      <c r="KN153" s="39"/>
      <c r="KO153" s="39"/>
      <c r="KP153" s="39"/>
      <c r="KQ153" s="41" t="b">
        <f aca="false">TRUE()</f>
        <v>1</v>
      </c>
      <c r="KR153" s="39"/>
      <c r="KS153" s="39"/>
      <c r="KT153" s="41" t="b">
        <f aca="false">TRUE()</f>
        <v>1</v>
      </c>
      <c r="KU153" s="39"/>
    </row>
    <row r="154" customFormat="false" ht="14.4" hidden="false" customHeight="false" outlineLevel="0" collapsed="false">
      <c r="A154" s="37" t="s">
        <v>305</v>
      </c>
      <c r="B154" s="37" t="s">
        <v>3449</v>
      </c>
      <c r="C154" s="37"/>
      <c r="D154" s="37"/>
      <c r="E154" s="37"/>
      <c r="F154" s="37" t="s">
        <v>3450</v>
      </c>
      <c r="G154" s="37" t="s">
        <v>3451</v>
      </c>
      <c r="H154" s="37" t="s">
        <v>3452</v>
      </c>
      <c r="I154" s="37" t="s">
        <v>310</v>
      </c>
      <c r="J154" s="37" t="s">
        <v>311</v>
      </c>
      <c r="K154" s="37"/>
      <c r="L154" s="37"/>
      <c r="M154" s="37"/>
      <c r="N154" s="37"/>
      <c r="O154" s="37" t="s">
        <v>3453</v>
      </c>
      <c r="P154" s="37" t="s">
        <v>3454</v>
      </c>
      <c r="Q154" s="37" t="s">
        <v>3455</v>
      </c>
      <c r="R154" s="37" t="s">
        <v>3456</v>
      </c>
      <c r="S154" s="37"/>
      <c r="T154" s="37" t="s">
        <v>3457</v>
      </c>
      <c r="U154" s="37" t="s">
        <v>3458</v>
      </c>
      <c r="V154" s="37" t="s">
        <v>3459</v>
      </c>
      <c r="W154" s="37" t="s">
        <v>3460</v>
      </c>
      <c r="X154" s="37" t="s">
        <v>3461</v>
      </c>
      <c r="Y154" s="37" t="s">
        <v>3461</v>
      </c>
      <c r="Z154" s="37" t="s">
        <v>3462</v>
      </c>
      <c r="AA154" s="37" t="n">
        <v>63</v>
      </c>
      <c r="AB154" s="37" t="n">
        <v>0</v>
      </c>
      <c r="AC154" s="37" t="n">
        <v>0</v>
      </c>
      <c r="AD154" s="37" t="n">
        <v>9</v>
      </c>
      <c r="AE154" s="37" t="n">
        <v>9</v>
      </c>
      <c r="AF154" s="37" t="s">
        <v>428</v>
      </c>
      <c r="AG154" s="37" t="s">
        <v>429</v>
      </c>
      <c r="AH154" s="37" t="s">
        <v>430</v>
      </c>
      <c r="AI154" s="37" t="s">
        <v>3463</v>
      </c>
      <c r="AJ154" s="37" t="s">
        <v>3464</v>
      </c>
      <c r="AK154" s="37"/>
      <c r="AL154" s="37" t="s">
        <v>3465</v>
      </c>
      <c r="AM154" s="37" t="s">
        <v>3466</v>
      </c>
      <c r="AN154" s="37" t="s">
        <v>3467</v>
      </c>
      <c r="AO154" s="37" t="n">
        <v>2024</v>
      </c>
      <c r="AP154" s="37" t="n">
        <v>2024</v>
      </c>
      <c r="AQ154" s="37"/>
      <c r="AR154" s="37"/>
      <c r="AS154" s="37"/>
      <c r="AT154" s="37"/>
      <c r="AU154" s="37" t="n">
        <v>7562587</v>
      </c>
      <c r="AV154" s="37" t="s">
        <v>3468</v>
      </c>
      <c r="AW154" s="37" t="str">
        <f aca="false">HYPERLINK("http://dx.doi.org/10.1155/2024/7562587","http://dx.doi.org/10.1155/2024/7562587")</f>
        <v>http://dx.doi.org/10.1155/2024/7562587</v>
      </c>
      <c r="AX154" s="37"/>
      <c r="AY154" s="37" t="n">
        <v>22</v>
      </c>
      <c r="AZ154" s="37" t="s">
        <v>595</v>
      </c>
      <c r="BA154" s="37" t="s">
        <v>331</v>
      </c>
      <c r="BB154" s="37" t="s">
        <v>462</v>
      </c>
      <c r="BC154" s="37" t="s">
        <v>3469</v>
      </c>
      <c r="BD154" s="37"/>
      <c r="BE154" s="37" t="s">
        <v>684</v>
      </c>
      <c r="BF154" s="37" t="s">
        <v>334</v>
      </c>
      <c r="BG154" s="37" t="s">
        <v>3470</v>
      </c>
      <c r="BH154" s="37" t="str">
        <f aca="false">HYPERLINK("https%3A%2F%2Fwww.webofscience.com%2Fwos%2Fwoscc%2Ffull-record%2FWOS:001350821000002","View Full Record in Web of Science")</f>
        <v>View Full Record in Web of Science</v>
      </c>
      <c r="BI154" s="39"/>
      <c r="BJ154" s="39"/>
      <c r="BK154" s="39"/>
      <c r="BL154" s="39"/>
      <c r="BM154" s="39"/>
      <c r="BN154" s="39"/>
      <c r="BO154" s="39"/>
      <c r="BP154" s="39"/>
      <c r="BQ154" s="39"/>
      <c r="BR154" s="41" t="b">
        <f aca="false">TRUE()</f>
        <v>1</v>
      </c>
      <c r="BS154" s="39"/>
      <c r="BT154" s="39"/>
      <c r="BU154" s="39"/>
      <c r="BV154" s="39"/>
      <c r="BW154" s="39"/>
      <c r="BX154" s="39"/>
      <c r="BY154" s="41" t="b">
        <f aca="false">TRUE()</f>
        <v>1</v>
      </c>
      <c r="BZ154" s="39"/>
      <c r="CA154" s="39"/>
      <c r="CB154" s="39"/>
      <c r="CC154" s="39"/>
      <c r="CD154" s="39"/>
      <c r="CE154" s="39"/>
      <c r="CF154" s="39"/>
      <c r="CG154" s="39"/>
      <c r="CH154" s="39"/>
      <c r="CI154" s="39"/>
      <c r="CJ154" s="39"/>
      <c r="CK154" s="39"/>
      <c r="CL154" s="39"/>
      <c r="CM154" s="39"/>
      <c r="CN154" s="39"/>
      <c r="CO154" s="39"/>
      <c r="CP154" s="39"/>
      <c r="CQ154" s="39"/>
      <c r="CR154" s="39"/>
      <c r="CS154" s="39"/>
      <c r="CT154" s="39"/>
      <c r="CU154" s="39"/>
      <c r="CV154" s="39"/>
      <c r="CW154" s="39"/>
      <c r="CX154" s="39"/>
      <c r="CY154" s="39"/>
      <c r="CZ154" s="39"/>
      <c r="DA154" s="39"/>
      <c r="DB154" s="39"/>
      <c r="DC154" s="39"/>
      <c r="DD154" s="39"/>
      <c r="DE154" s="39"/>
      <c r="DF154" s="39"/>
      <c r="DG154" s="39"/>
      <c r="DH154" s="39"/>
      <c r="DI154" s="39"/>
      <c r="DJ154" s="39"/>
      <c r="DK154" s="39"/>
      <c r="DL154" s="39"/>
      <c r="DM154" s="39"/>
      <c r="DN154" s="39"/>
      <c r="DO154" s="39"/>
      <c r="DP154" s="39"/>
      <c r="DQ154" s="39"/>
      <c r="DR154" s="39"/>
      <c r="DS154" s="39"/>
      <c r="DT154" s="39"/>
      <c r="DU154" s="39"/>
      <c r="DV154" s="39"/>
      <c r="DW154" s="39"/>
      <c r="DX154" s="39"/>
      <c r="DY154" s="39"/>
      <c r="DZ154" s="39"/>
      <c r="EA154" s="39"/>
      <c r="EB154" s="39"/>
      <c r="EC154" s="39"/>
      <c r="ED154" s="39"/>
      <c r="EE154" s="39"/>
      <c r="EF154" s="39"/>
      <c r="EG154" s="39"/>
      <c r="EH154" s="39"/>
      <c r="EI154" s="41" t="b">
        <f aca="false">TRUE()</f>
        <v>1</v>
      </c>
      <c r="EJ154" s="39"/>
      <c r="EK154" s="39"/>
      <c r="EL154" s="39"/>
      <c r="EM154" s="39"/>
      <c r="EN154" s="39"/>
      <c r="EO154" s="39"/>
      <c r="EP154" s="39"/>
      <c r="EQ154" s="39"/>
      <c r="ER154" s="39"/>
      <c r="ES154" s="39"/>
      <c r="ET154" s="39"/>
      <c r="EU154" s="39"/>
      <c r="EV154" s="39"/>
      <c r="EW154" s="39"/>
      <c r="EX154" s="41" t="b">
        <f aca="false">TRUE()</f>
        <v>1</v>
      </c>
      <c r="EY154" s="39"/>
      <c r="EZ154" s="39"/>
      <c r="FA154" s="39"/>
      <c r="FB154" s="39"/>
      <c r="FC154" s="39"/>
      <c r="FD154" s="39"/>
      <c r="FE154" s="39"/>
      <c r="FF154" s="39"/>
      <c r="FG154" s="39"/>
      <c r="FH154" s="39"/>
      <c r="FI154" s="39"/>
      <c r="FJ154" s="39"/>
      <c r="FK154" s="39"/>
      <c r="FL154" s="39"/>
      <c r="FM154" s="39"/>
      <c r="FN154" s="39"/>
      <c r="FO154" s="39"/>
      <c r="FP154" s="39"/>
      <c r="FQ154" s="39"/>
      <c r="FR154" s="39"/>
      <c r="FS154" s="39"/>
      <c r="FT154" s="39"/>
      <c r="FU154" s="39"/>
      <c r="FV154" s="39"/>
      <c r="FW154" s="39"/>
      <c r="FX154" s="39"/>
      <c r="FY154" s="39"/>
      <c r="FZ154" s="39"/>
      <c r="GA154" s="39"/>
      <c r="GB154" s="39"/>
      <c r="GC154" s="39"/>
      <c r="GD154" s="39"/>
      <c r="GE154" s="39"/>
      <c r="GF154" s="39"/>
      <c r="GG154" s="39"/>
      <c r="GH154" s="39"/>
      <c r="GI154" s="39"/>
      <c r="GJ154" s="39"/>
      <c r="GK154" s="39"/>
      <c r="GL154" s="39"/>
      <c r="GM154" s="41" t="b">
        <f aca="false">TRUE()</f>
        <v>1</v>
      </c>
      <c r="GN154" s="39"/>
      <c r="GO154" s="39"/>
      <c r="GP154" s="39"/>
      <c r="GQ154" s="39"/>
      <c r="GR154" s="39"/>
      <c r="GS154" s="39"/>
      <c r="GT154" s="39"/>
      <c r="GU154" s="39"/>
      <c r="GV154" s="39"/>
      <c r="GW154" s="39"/>
      <c r="GX154" s="39"/>
      <c r="GY154" s="39"/>
      <c r="GZ154" s="39"/>
      <c r="HA154" s="39"/>
      <c r="HB154" s="39"/>
      <c r="HC154" s="39"/>
      <c r="HD154" s="39"/>
      <c r="HE154" s="39"/>
      <c r="HF154" s="39"/>
      <c r="HG154" s="39"/>
      <c r="HH154" s="39"/>
      <c r="HI154" s="39"/>
      <c r="HJ154" s="39"/>
      <c r="HK154" s="39"/>
      <c r="HL154" s="39"/>
      <c r="HM154" s="39"/>
      <c r="HN154" s="39"/>
      <c r="HO154" s="39"/>
      <c r="HP154" s="39"/>
      <c r="HQ154" s="39"/>
      <c r="HR154" s="39"/>
      <c r="HS154" s="39"/>
      <c r="HT154" s="39"/>
      <c r="HU154" s="39"/>
      <c r="HV154" s="39"/>
      <c r="HW154" s="39"/>
      <c r="HX154" s="39"/>
      <c r="HY154" s="39"/>
      <c r="HZ154" s="39"/>
      <c r="IA154" s="39"/>
      <c r="IB154" s="39"/>
      <c r="IC154" s="39"/>
      <c r="ID154" s="39"/>
      <c r="IE154" s="39"/>
      <c r="IF154" s="39"/>
      <c r="IG154" s="39"/>
      <c r="IH154" s="39"/>
      <c r="II154" s="39"/>
      <c r="IJ154" s="39"/>
      <c r="IK154" s="39"/>
      <c r="IL154" s="39"/>
      <c r="IM154" s="39"/>
      <c r="IN154" s="39"/>
      <c r="IO154" s="39"/>
      <c r="IP154" s="39"/>
      <c r="IQ154" s="39"/>
      <c r="IR154" s="39"/>
      <c r="IS154" s="39"/>
      <c r="IT154" s="39"/>
      <c r="IU154" s="39"/>
      <c r="IV154" s="39"/>
      <c r="IW154" s="39"/>
      <c r="IX154" s="39"/>
      <c r="IY154" s="39"/>
      <c r="IZ154" s="39"/>
      <c r="JA154" s="39"/>
      <c r="JB154" s="39"/>
      <c r="JC154" s="39"/>
      <c r="JD154" s="39"/>
      <c r="JE154" s="41" t="b">
        <f aca="false">TRUE()</f>
        <v>1</v>
      </c>
      <c r="JF154" s="39"/>
      <c r="JG154" s="39"/>
      <c r="JH154" s="39"/>
      <c r="JI154" s="39"/>
      <c r="JJ154" s="39"/>
      <c r="JK154" s="39"/>
      <c r="JL154" s="39"/>
      <c r="JM154" s="39"/>
      <c r="JN154" s="39"/>
      <c r="JO154" s="39"/>
      <c r="JP154" s="39"/>
      <c r="JQ154" s="39"/>
      <c r="JR154" s="39"/>
      <c r="JS154" s="39"/>
      <c r="JT154" s="41" t="b">
        <f aca="false">TRUE()</f>
        <v>1</v>
      </c>
      <c r="JU154" s="41" t="b">
        <f aca="false">TRUE()</f>
        <v>1</v>
      </c>
      <c r="JV154" s="39"/>
      <c r="JW154" s="39"/>
      <c r="JX154" s="39"/>
      <c r="JY154" s="39"/>
      <c r="JZ154" s="39"/>
      <c r="KA154" s="39"/>
      <c r="KB154" s="39"/>
      <c r="KC154" s="39"/>
      <c r="KD154" s="39"/>
      <c r="KE154" s="39"/>
      <c r="KF154" s="39"/>
      <c r="KG154" s="39"/>
      <c r="KH154" s="39"/>
      <c r="KI154" s="39"/>
      <c r="KJ154" s="39"/>
      <c r="KK154" s="39"/>
      <c r="KL154" s="39"/>
      <c r="KM154" s="39"/>
      <c r="KN154" s="39"/>
      <c r="KO154" s="39"/>
      <c r="KP154" s="41" t="b">
        <f aca="false">TRUE()</f>
        <v>1</v>
      </c>
      <c r="KQ154" s="41" t="b">
        <f aca="false">TRUE()</f>
        <v>1</v>
      </c>
      <c r="KR154" s="39"/>
      <c r="KS154" s="39"/>
      <c r="KT154" s="41" t="b">
        <f aca="false">TRUE()</f>
        <v>1</v>
      </c>
      <c r="KU154" s="39"/>
    </row>
    <row r="155" customFormat="false" ht="14.4" hidden="false" customHeight="false" outlineLevel="0" collapsed="false">
      <c r="A155" s="37" t="s">
        <v>305</v>
      </c>
      <c r="B155" s="37" t="s">
        <v>3471</v>
      </c>
      <c r="C155" s="37"/>
      <c r="D155" s="37"/>
      <c r="E155" s="37"/>
      <c r="F155" s="37" t="s">
        <v>3472</v>
      </c>
      <c r="G155" s="37" t="s">
        <v>3473</v>
      </c>
      <c r="H155" s="37" t="s">
        <v>340</v>
      </c>
      <c r="I155" s="37" t="s">
        <v>310</v>
      </c>
      <c r="J155" s="37" t="s">
        <v>311</v>
      </c>
      <c r="K155" s="37"/>
      <c r="L155" s="37"/>
      <c r="M155" s="37"/>
      <c r="N155" s="37"/>
      <c r="O155" s="37" t="s">
        <v>3474</v>
      </c>
      <c r="P155" s="37" t="s">
        <v>3475</v>
      </c>
      <c r="Q155" s="37" t="s">
        <v>3476</v>
      </c>
      <c r="R155" s="37" t="s">
        <v>3477</v>
      </c>
      <c r="S155" s="37" t="s">
        <v>3478</v>
      </c>
      <c r="T155" s="37" t="s">
        <v>3479</v>
      </c>
      <c r="U155" s="37" t="s">
        <v>3480</v>
      </c>
      <c r="V155" s="37" t="s">
        <v>3481</v>
      </c>
      <c r="W155" s="37" t="s">
        <v>3482</v>
      </c>
      <c r="X155" s="37" t="s">
        <v>3483</v>
      </c>
      <c r="Y155" s="37" t="s">
        <v>3484</v>
      </c>
      <c r="Z155" s="37" t="s">
        <v>3485</v>
      </c>
      <c r="AA155" s="37" t="n">
        <v>60</v>
      </c>
      <c r="AB155" s="37" t="n">
        <v>4</v>
      </c>
      <c r="AC155" s="37" t="n">
        <v>4</v>
      </c>
      <c r="AD155" s="37" t="n">
        <v>3</v>
      </c>
      <c r="AE155" s="37" t="n">
        <v>11</v>
      </c>
      <c r="AF155" s="37" t="s">
        <v>353</v>
      </c>
      <c r="AG155" s="37" t="s">
        <v>354</v>
      </c>
      <c r="AH155" s="37" t="s">
        <v>355</v>
      </c>
      <c r="AI155" s="37" t="s">
        <v>356</v>
      </c>
      <c r="AJ155" s="37" t="s">
        <v>357</v>
      </c>
      <c r="AK155" s="37"/>
      <c r="AL155" s="37" t="s">
        <v>358</v>
      </c>
      <c r="AM155" s="37" t="s">
        <v>359</v>
      </c>
      <c r="AN155" s="37" t="s">
        <v>132</v>
      </c>
      <c r="AO155" s="37" t="n">
        <v>2023</v>
      </c>
      <c r="AP155" s="37" t="n">
        <v>624</v>
      </c>
      <c r="AQ155" s="37"/>
      <c r="AR155" s="37"/>
      <c r="AS155" s="37"/>
      <c r="AT155" s="37"/>
      <c r="AU155" s="37" t="n">
        <v>129946</v>
      </c>
      <c r="AV155" s="37" t="s">
        <v>3486</v>
      </c>
      <c r="AW155" s="37" t="str">
        <f aca="false">HYPERLINK("http://dx.doi.org/10.1016/j.jhydrol.2023.129946","http://dx.doi.org/10.1016/j.jhydrol.2023.129946")</f>
        <v>http://dx.doi.org/10.1016/j.jhydrol.2023.129946</v>
      </c>
      <c r="AX155" s="37" t="s">
        <v>3487</v>
      </c>
      <c r="AY155" s="37" t="n">
        <v>17</v>
      </c>
      <c r="AZ155" s="37" t="s">
        <v>362</v>
      </c>
      <c r="BA155" s="37" t="s">
        <v>331</v>
      </c>
      <c r="BB155" s="37" t="s">
        <v>363</v>
      </c>
      <c r="BC155" s="37" t="s">
        <v>3488</v>
      </c>
      <c r="BD155" s="37"/>
      <c r="BE155" s="37" t="s">
        <v>684</v>
      </c>
      <c r="BF155" s="37" t="s">
        <v>334</v>
      </c>
      <c r="BG155" s="37" t="s">
        <v>3489</v>
      </c>
      <c r="BH155" s="37" t="str">
        <f aca="false">HYPERLINK("https%3A%2F%2Fwww.webofscience.com%2Fwos%2Fwoscc%2Ffull-record%2FWOS:001048771700001","View Full Record in Web of Science")</f>
        <v>View Full Record in Web of Science</v>
      </c>
      <c r="BI155" s="39"/>
      <c r="BJ155" s="39"/>
      <c r="BK155" s="39"/>
      <c r="BL155" s="39"/>
      <c r="BM155" s="39"/>
      <c r="BN155" s="39"/>
      <c r="BO155" s="41" t="b">
        <f aca="false">TRUE()</f>
        <v>1</v>
      </c>
      <c r="BP155" s="39"/>
      <c r="BQ155" s="39"/>
      <c r="BR155" s="41" t="b">
        <f aca="false">TRUE()</f>
        <v>1</v>
      </c>
      <c r="BS155" s="39"/>
      <c r="BT155" s="39"/>
      <c r="BU155" s="39"/>
      <c r="BV155" s="39"/>
      <c r="BW155" s="39"/>
      <c r="BX155" s="39"/>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41" t="b">
        <f aca="false">TRUE()</f>
        <v>1</v>
      </c>
      <c r="EC155" s="39"/>
      <c r="ED155" s="39"/>
      <c r="EE155" s="39"/>
      <c r="EF155" s="39"/>
      <c r="EG155" s="39"/>
      <c r="EH155" s="39"/>
      <c r="EI155" s="41" t="b">
        <f aca="false">TRUE()</f>
        <v>1</v>
      </c>
      <c r="EJ155" s="39"/>
      <c r="EK155" s="39"/>
      <c r="EL155" s="39"/>
      <c r="EM155" s="39"/>
      <c r="EN155" s="39"/>
      <c r="EO155" s="39"/>
      <c r="EP155" s="39"/>
      <c r="EQ155" s="39"/>
      <c r="ER155" s="39"/>
      <c r="ES155" s="39"/>
      <c r="ET155" s="39"/>
      <c r="EU155" s="39"/>
      <c r="EV155" s="39"/>
      <c r="EW155" s="39"/>
      <c r="EX155" s="39"/>
      <c r="EY155" s="41" t="b">
        <f aca="false">TRUE()</f>
        <v>1</v>
      </c>
      <c r="EZ155" s="39"/>
      <c r="FA155" s="39"/>
      <c r="FB155" s="39"/>
      <c r="FC155" s="39"/>
      <c r="FD155" s="39"/>
      <c r="FE155" s="39"/>
      <c r="FF155" s="39"/>
      <c r="FG155" s="39"/>
      <c r="FH155" s="39"/>
      <c r="FI155" s="39"/>
      <c r="FJ155" s="39"/>
      <c r="FK155" s="39"/>
      <c r="FL155" s="39"/>
      <c r="FM155" s="39"/>
      <c r="FN155" s="39"/>
      <c r="FO155" s="39"/>
      <c r="FP155" s="39"/>
      <c r="FQ155" s="39"/>
      <c r="FR155" s="39"/>
      <c r="FS155" s="39"/>
      <c r="FT155" s="39"/>
      <c r="FU155" s="39"/>
      <c r="FV155" s="39"/>
      <c r="FW155" s="39"/>
      <c r="FX155" s="39"/>
      <c r="FY155" s="39"/>
      <c r="FZ155" s="39"/>
      <c r="GA155" s="39"/>
      <c r="GB155" s="39"/>
      <c r="GC155" s="39"/>
      <c r="GD155" s="39"/>
      <c r="GE155" s="39"/>
      <c r="GF155" s="39"/>
      <c r="GG155" s="39"/>
      <c r="GH155" s="39"/>
      <c r="GI155" s="39"/>
      <c r="GJ155" s="39"/>
      <c r="GK155" s="39"/>
      <c r="GL155" s="39"/>
      <c r="GM155" s="39"/>
      <c r="GN155" s="39"/>
      <c r="GO155" s="39"/>
      <c r="GP155" s="39"/>
      <c r="GQ155" s="39"/>
      <c r="GR155" s="39"/>
      <c r="GS155" s="39"/>
      <c r="GT155" s="39"/>
      <c r="GU155" s="39"/>
      <c r="GV155" s="39"/>
      <c r="GW155" s="39"/>
      <c r="GX155" s="39"/>
      <c r="GY155" s="39"/>
      <c r="GZ155" s="39"/>
      <c r="HA155" s="39"/>
      <c r="HB155" s="39"/>
      <c r="HC155" s="39"/>
      <c r="HD155" s="39"/>
      <c r="HE155" s="39"/>
      <c r="HF155" s="39"/>
      <c r="HG155" s="39"/>
      <c r="HH155" s="39"/>
      <c r="HI155" s="39"/>
      <c r="HJ155" s="39"/>
      <c r="HK155" s="41" t="b">
        <f aca="false">TRUE()</f>
        <v>1</v>
      </c>
      <c r="HL155" s="39"/>
      <c r="HM155" s="39"/>
      <c r="HN155" s="39"/>
      <c r="HO155" s="39"/>
      <c r="HP155" s="39"/>
      <c r="HQ155" s="39"/>
      <c r="HR155" s="39"/>
      <c r="HS155" s="39"/>
      <c r="HT155" s="39"/>
      <c r="HU155" s="39"/>
      <c r="HV155" s="39"/>
      <c r="HW155" s="39"/>
      <c r="HX155" s="39"/>
      <c r="HY155" s="39"/>
      <c r="HZ155" s="39"/>
      <c r="IA155" s="39"/>
      <c r="IB155" s="39"/>
      <c r="IC155" s="41" t="b">
        <f aca="false">TRUE()</f>
        <v>1</v>
      </c>
      <c r="ID155" s="39"/>
      <c r="IE155" s="39"/>
      <c r="IF155" s="39"/>
      <c r="IG155" s="39"/>
      <c r="IH155" s="39"/>
      <c r="II155" s="39"/>
      <c r="IJ155" s="39"/>
      <c r="IK155" s="39"/>
      <c r="IL155" s="39"/>
      <c r="IM155" s="39"/>
      <c r="IN155" s="39"/>
      <c r="IO155" s="39"/>
      <c r="IP155" s="39"/>
      <c r="IQ155" s="39"/>
      <c r="IR155" s="39"/>
      <c r="IS155" s="39"/>
      <c r="IT155" s="39"/>
      <c r="IU155" s="39"/>
      <c r="IV155" s="39"/>
      <c r="IW155" s="39"/>
      <c r="IX155" s="39"/>
      <c r="IY155" s="39"/>
      <c r="IZ155" s="39"/>
      <c r="JA155" s="39"/>
      <c r="JB155" s="39"/>
      <c r="JC155" s="39"/>
      <c r="JD155" s="39"/>
      <c r="JE155" s="39"/>
      <c r="JF155" s="39"/>
      <c r="JG155" s="39"/>
      <c r="JH155" s="39"/>
      <c r="JI155" s="39"/>
      <c r="JJ155" s="39"/>
      <c r="JK155" s="39"/>
      <c r="JL155" s="39"/>
      <c r="JM155" s="39"/>
      <c r="JN155" s="39"/>
      <c r="JO155" s="39"/>
      <c r="JP155" s="39"/>
      <c r="JQ155" s="39"/>
      <c r="JR155" s="39"/>
      <c r="JS155" s="39"/>
      <c r="JT155" s="41" t="b">
        <f aca="false">TRUE()</f>
        <v>1</v>
      </c>
      <c r="JU155" s="41" t="b">
        <f aca="false">TRUE()</f>
        <v>1</v>
      </c>
      <c r="JV155" s="39"/>
      <c r="JW155" s="39"/>
      <c r="JX155" s="39"/>
      <c r="JY155" s="39"/>
      <c r="JZ155" s="39"/>
      <c r="KA155" s="39"/>
      <c r="KB155" s="39"/>
      <c r="KC155" s="39"/>
      <c r="KD155" s="39"/>
      <c r="KE155" s="39"/>
      <c r="KF155" s="39"/>
      <c r="KG155" s="39"/>
      <c r="KH155" s="39"/>
      <c r="KI155" s="39"/>
      <c r="KJ155" s="39"/>
      <c r="KK155" s="39"/>
      <c r="KL155" s="39"/>
      <c r="KM155" s="39"/>
      <c r="KN155" s="39"/>
      <c r="KO155" s="39"/>
      <c r="KP155" s="39"/>
      <c r="KQ155" s="41" t="b">
        <f aca="false">TRUE()</f>
        <v>1</v>
      </c>
      <c r="KR155" s="41" t="b">
        <f aca="false">TRUE()</f>
        <v>1</v>
      </c>
      <c r="KS155" s="39"/>
      <c r="KT155" s="41" t="b">
        <f aca="false">TRUE()</f>
        <v>1</v>
      </c>
      <c r="KU155" s="39"/>
    </row>
    <row r="156" customFormat="false" ht="14.4" hidden="false" customHeight="false" outlineLevel="0" collapsed="false">
      <c r="A156" s="37" t="s">
        <v>305</v>
      </c>
      <c r="B156" s="37" t="s">
        <v>3490</v>
      </c>
      <c r="C156" s="37"/>
      <c r="D156" s="37"/>
      <c r="E156" s="37"/>
      <c r="F156" s="37" t="s">
        <v>3491</v>
      </c>
      <c r="G156" s="37" t="s">
        <v>3492</v>
      </c>
      <c r="H156" s="37" t="s">
        <v>1570</v>
      </c>
      <c r="I156" s="37" t="s">
        <v>310</v>
      </c>
      <c r="J156" s="37" t="s">
        <v>311</v>
      </c>
      <c r="K156" s="37"/>
      <c r="L156" s="37"/>
      <c r="M156" s="37"/>
      <c r="N156" s="37"/>
      <c r="O156" s="37"/>
      <c r="P156" s="37" t="s">
        <v>3493</v>
      </c>
      <c r="Q156" s="37" t="s">
        <v>3494</v>
      </c>
      <c r="R156" s="37" t="s">
        <v>3495</v>
      </c>
      <c r="S156" s="37" t="s">
        <v>3496</v>
      </c>
      <c r="T156" s="37" t="s">
        <v>3090</v>
      </c>
      <c r="U156" s="37" t="s">
        <v>1403</v>
      </c>
      <c r="V156" s="37" t="s">
        <v>3497</v>
      </c>
      <c r="W156" s="37" t="s">
        <v>3498</v>
      </c>
      <c r="X156" s="37" t="s">
        <v>3499</v>
      </c>
      <c r="Y156" s="37" t="s">
        <v>3500</v>
      </c>
      <c r="Z156" s="37" t="s">
        <v>3501</v>
      </c>
      <c r="AA156" s="37" t="n">
        <v>67</v>
      </c>
      <c r="AB156" s="37" t="n">
        <v>13</v>
      </c>
      <c r="AC156" s="37" t="n">
        <v>14</v>
      </c>
      <c r="AD156" s="37" t="n">
        <v>59</v>
      </c>
      <c r="AE156" s="37" t="n">
        <v>99</v>
      </c>
      <c r="AF156" s="37" t="s">
        <v>1582</v>
      </c>
      <c r="AG156" s="37" t="s">
        <v>1583</v>
      </c>
      <c r="AH156" s="37" t="s">
        <v>1584</v>
      </c>
      <c r="AI156" s="37" t="s">
        <v>1585</v>
      </c>
      <c r="AJ156" s="37" t="s">
        <v>1586</v>
      </c>
      <c r="AK156" s="37"/>
      <c r="AL156" s="37" t="s">
        <v>1587</v>
      </c>
      <c r="AM156" s="37" t="s">
        <v>1588</v>
      </c>
      <c r="AN156" s="37" t="s">
        <v>3502</v>
      </c>
      <c r="AO156" s="37" t="n">
        <v>2024</v>
      </c>
      <c r="AP156" s="37" t="n">
        <v>28</v>
      </c>
      <c r="AQ156" s="37" t="n">
        <v>4</v>
      </c>
      <c r="AR156" s="37"/>
      <c r="AS156" s="37" t="n">
        <v>917</v>
      </c>
      <c r="AT156" s="37" t="n">
        <v>943</v>
      </c>
      <c r="AU156" s="37"/>
      <c r="AV156" s="37" t="s">
        <v>3503</v>
      </c>
      <c r="AW156" s="37" t="str">
        <f aca="false">HYPERLINK("http://dx.doi.org/10.5194/hess-28-917-2024","http://dx.doi.org/10.5194/hess-28-917-2024")</f>
        <v>http://dx.doi.org/10.5194/hess-28-917-2024</v>
      </c>
      <c r="AX156" s="37"/>
      <c r="AY156" s="37" t="n">
        <v>27</v>
      </c>
      <c r="AZ156" s="37" t="s">
        <v>1591</v>
      </c>
      <c r="BA156" s="37" t="s">
        <v>331</v>
      </c>
      <c r="BB156" s="37" t="s">
        <v>1592</v>
      </c>
      <c r="BC156" s="37" t="s">
        <v>3504</v>
      </c>
      <c r="BD156" s="37"/>
      <c r="BE156" s="37" t="s">
        <v>636</v>
      </c>
      <c r="BF156" s="37" t="s">
        <v>334</v>
      </c>
      <c r="BG156" s="37" t="s">
        <v>3505</v>
      </c>
      <c r="BH156" s="37" t="str">
        <f aca="false">HYPERLINK("https%3A%2F%2Fwww.webofscience.com%2Fwos%2Fwoscc%2Ffull-record%2FWOS:001190492500001","View Full Record in Web of Science")</f>
        <v>View Full Record in Web of Science</v>
      </c>
      <c r="BI156" s="39"/>
      <c r="BJ156" s="39"/>
      <c r="BK156" s="39"/>
      <c r="BL156" s="39"/>
      <c r="BM156" s="39"/>
      <c r="BN156" s="39"/>
      <c r="BO156" s="39"/>
      <c r="BP156" s="41" t="b">
        <f aca="false">TRUE()</f>
        <v>1</v>
      </c>
      <c r="BQ156" s="39"/>
      <c r="BR156" s="41" t="b">
        <f aca="false">TRUE()</f>
        <v>1</v>
      </c>
      <c r="BS156" s="39"/>
      <c r="BT156" s="39"/>
      <c r="BU156" s="39"/>
      <c r="BV156" s="39"/>
      <c r="BW156" s="39"/>
      <c r="BX156" s="39"/>
      <c r="BY156" s="39"/>
      <c r="BZ156" s="39"/>
      <c r="CA156" s="41" t="b">
        <f aca="false">TRUE()</f>
        <v>1</v>
      </c>
      <c r="CB156" s="39"/>
      <c r="CC156" s="39"/>
      <c r="CD156" s="41" t="b">
        <f aca="false">TRUE()</f>
        <v>1</v>
      </c>
      <c r="CE156" s="39"/>
      <c r="CF156" s="39"/>
      <c r="CG156" s="39"/>
      <c r="CH156" s="39"/>
      <c r="CI156" s="39"/>
      <c r="CJ156" s="39"/>
      <c r="CK156" s="39"/>
      <c r="CL156" s="39"/>
      <c r="CM156" s="39"/>
      <c r="CN156" s="39"/>
      <c r="CO156" s="39"/>
      <c r="CP156" s="39"/>
      <c r="CQ156" s="39"/>
      <c r="CR156" s="39"/>
      <c r="CS156" s="39"/>
      <c r="CT156" s="39"/>
      <c r="CU156" s="39"/>
      <c r="CV156" s="39"/>
      <c r="CW156" s="41" t="b">
        <f aca="false">TRUE()</f>
        <v>1</v>
      </c>
      <c r="CX156" s="39"/>
      <c r="CY156" s="39"/>
      <c r="CZ156" s="39"/>
      <c r="DA156" s="39"/>
      <c r="DB156" s="39"/>
      <c r="DC156" s="39"/>
      <c r="DD156" s="39"/>
      <c r="DE156" s="39"/>
      <c r="DF156" s="39"/>
      <c r="DG156" s="39"/>
      <c r="DH156" s="39"/>
      <c r="DI156" s="39"/>
      <c r="DJ156" s="39"/>
      <c r="DK156" s="39"/>
      <c r="DL156" s="39"/>
      <c r="DM156" s="39"/>
      <c r="DN156" s="39"/>
      <c r="DO156" s="39"/>
      <c r="DP156" s="39"/>
      <c r="DQ156" s="39"/>
      <c r="DR156" s="39"/>
      <c r="DS156" s="39"/>
      <c r="DT156" s="41" t="b">
        <f aca="false">TRUE()</f>
        <v>1</v>
      </c>
      <c r="DU156" s="41" t="b">
        <f aca="false">TRUE()</f>
        <v>1</v>
      </c>
      <c r="DV156" s="39"/>
      <c r="DW156" s="39"/>
      <c r="DX156" s="39"/>
      <c r="DY156" s="39"/>
      <c r="DZ156" s="39"/>
      <c r="EA156" s="41" t="b">
        <f aca="false">TRUE()</f>
        <v>1</v>
      </c>
      <c r="EB156" s="39"/>
      <c r="EC156" s="39"/>
      <c r="ED156" s="39"/>
      <c r="EE156" s="39"/>
      <c r="EF156" s="39"/>
      <c r="EG156" s="39"/>
      <c r="EH156" s="39"/>
      <c r="EI156" s="39"/>
      <c r="EJ156" s="39"/>
      <c r="EK156" s="39"/>
      <c r="EL156" s="39"/>
      <c r="EM156" s="39"/>
      <c r="EN156" s="39"/>
      <c r="EO156" s="39"/>
      <c r="EP156" s="39"/>
      <c r="EQ156" s="39"/>
      <c r="ER156" s="39"/>
      <c r="ES156" s="39"/>
      <c r="ET156" s="39"/>
      <c r="EU156" s="39"/>
      <c r="EV156" s="39"/>
      <c r="EW156" s="39"/>
      <c r="EX156" s="39"/>
      <c r="EY156" s="41" t="b">
        <f aca="false">TRUE()</f>
        <v>1</v>
      </c>
      <c r="EZ156" s="39"/>
      <c r="FA156" s="39"/>
      <c r="FB156" s="39"/>
      <c r="FC156" s="41" t="b">
        <f aca="false">TRUE()</f>
        <v>1</v>
      </c>
      <c r="FD156" s="39"/>
      <c r="FE156" s="39"/>
      <c r="FF156" s="39"/>
      <c r="FG156" s="39"/>
      <c r="FH156" s="39"/>
      <c r="FI156" s="39"/>
      <c r="FJ156" s="39"/>
      <c r="FK156" s="39"/>
      <c r="FL156" s="39"/>
      <c r="FM156" s="39"/>
      <c r="FN156" s="39"/>
      <c r="FO156" s="39"/>
      <c r="FP156" s="39"/>
      <c r="FQ156" s="39"/>
      <c r="FR156" s="39"/>
      <c r="FS156" s="39"/>
      <c r="FT156" s="39"/>
      <c r="FU156" s="39"/>
      <c r="FV156" s="39"/>
      <c r="FW156" s="39"/>
      <c r="FX156" s="39"/>
      <c r="FY156" s="39"/>
      <c r="FZ156" s="39"/>
      <c r="GA156" s="39"/>
      <c r="GB156" s="39"/>
      <c r="GC156" s="39"/>
      <c r="GD156" s="39"/>
      <c r="GE156" s="39"/>
      <c r="GF156" s="39"/>
      <c r="GG156" s="39"/>
      <c r="GH156" s="39"/>
      <c r="GI156" s="39"/>
      <c r="GJ156" s="39"/>
      <c r="GK156" s="39"/>
      <c r="GL156" s="39"/>
      <c r="GM156" s="39"/>
      <c r="GN156" s="39"/>
      <c r="GO156" s="41" t="b">
        <f aca="false">TRUE()</f>
        <v>1</v>
      </c>
      <c r="GP156" s="39"/>
      <c r="GQ156" s="39"/>
      <c r="GR156" s="39"/>
      <c r="GS156" s="39"/>
      <c r="GT156" s="39"/>
      <c r="GU156" s="39"/>
      <c r="GV156" s="39"/>
      <c r="GW156" s="39"/>
      <c r="GX156" s="39"/>
      <c r="GY156" s="39"/>
      <c r="GZ156" s="41" t="b">
        <f aca="false">TRUE()</f>
        <v>1</v>
      </c>
      <c r="HA156" s="39"/>
      <c r="HB156" s="39"/>
      <c r="HC156" s="39"/>
      <c r="HD156" s="39"/>
      <c r="HE156" s="39"/>
      <c r="HF156" s="39"/>
      <c r="HG156" s="39"/>
      <c r="HH156" s="39"/>
      <c r="HI156" s="39"/>
      <c r="HJ156" s="39"/>
      <c r="HK156" s="39"/>
      <c r="HL156" s="39"/>
      <c r="HM156" s="39"/>
      <c r="HN156" s="39"/>
      <c r="HO156" s="39"/>
      <c r="HP156" s="39"/>
      <c r="HQ156" s="39"/>
      <c r="HR156" s="39"/>
      <c r="HS156" s="39"/>
      <c r="HT156" s="39"/>
      <c r="HU156" s="39"/>
      <c r="HV156" s="39"/>
      <c r="HW156" s="39"/>
      <c r="HX156" s="39"/>
      <c r="HY156" s="39"/>
      <c r="HZ156" s="39"/>
      <c r="IA156" s="39"/>
      <c r="IB156" s="39"/>
      <c r="IC156" s="41" t="b">
        <f aca="false">TRUE()</f>
        <v>1</v>
      </c>
      <c r="ID156" s="39"/>
      <c r="IE156" s="39"/>
      <c r="IF156" s="39"/>
      <c r="IG156" s="39"/>
      <c r="IH156" s="39"/>
      <c r="II156" s="39"/>
      <c r="IJ156" s="39"/>
      <c r="IK156" s="39"/>
      <c r="IL156" s="39"/>
      <c r="IM156" s="39"/>
      <c r="IN156" s="39"/>
      <c r="IO156" s="39"/>
      <c r="IP156" s="39"/>
      <c r="IQ156" s="39"/>
      <c r="IR156" s="39"/>
      <c r="IS156" s="39"/>
      <c r="IT156" s="39"/>
      <c r="IU156" s="39"/>
      <c r="IV156" s="39"/>
      <c r="IW156" s="39"/>
      <c r="IX156" s="39"/>
      <c r="IY156" s="39"/>
      <c r="IZ156" s="39"/>
      <c r="JA156" s="39"/>
      <c r="JB156" s="39"/>
      <c r="JC156" s="39"/>
      <c r="JD156" s="39"/>
      <c r="JE156" s="39"/>
      <c r="JF156" s="39"/>
      <c r="JG156" s="39"/>
      <c r="JH156" s="39"/>
      <c r="JI156" s="39"/>
      <c r="JJ156" s="39"/>
      <c r="JK156" s="39"/>
      <c r="JL156" s="39"/>
      <c r="JM156" s="39"/>
      <c r="JN156" s="39"/>
      <c r="JO156" s="39"/>
      <c r="JP156" s="39"/>
      <c r="JQ156" s="39"/>
      <c r="JR156" s="39"/>
      <c r="JS156" s="39"/>
      <c r="JT156" s="41" t="b">
        <f aca="false">TRUE()</f>
        <v>1</v>
      </c>
      <c r="JU156" s="41" t="b">
        <f aca="false">TRUE()</f>
        <v>1</v>
      </c>
      <c r="JV156" s="39"/>
      <c r="JW156" s="39"/>
      <c r="JX156" s="39"/>
      <c r="JY156" s="39"/>
      <c r="JZ156" s="39"/>
      <c r="KA156" s="39"/>
      <c r="KB156" s="39"/>
      <c r="KC156" s="39"/>
      <c r="KD156" s="39"/>
      <c r="KE156" s="41" t="b">
        <f aca="false">TRUE()</f>
        <v>1</v>
      </c>
      <c r="KF156" s="39"/>
      <c r="KG156" s="39"/>
      <c r="KH156" s="39"/>
      <c r="KI156" s="39"/>
      <c r="KJ156" s="39"/>
      <c r="KK156" s="39"/>
      <c r="KL156" s="39"/>
      <c r="KM156" s="39"/>
      <c r="KN156" s="39"/>
      <c r="KO156" s="39"/>
      <c r="KP156" s="39"/>
      <c r="KQ156" s="41" t="b">
        <f aca="false">TRUE()</f>
        <v>1</v>
      </c>
      <c r="KR156" s="39"/>
      <c r="KS156" s="39"/>
      <c r="KT156" s="41" t="b">
        <f aca="false">TRUE()</f>
        <v>1</v>
      </c>
      <c r="KU156" s="39"/>
    </row>
    <row r="157" customFormat="false" ht="14.4" hidden="false" customHeight="false" outlineLevel="0" collapsed="false">
      <c r="A157" s="37" t="s">
        <v>305</v>
      </c>
      <c r="B157" s="37" t="s">
        <v>3506</v>
      </c>
      <c r="C157" s="37"/>
      <c r="D157" s="37"/>
      <c r="E157" s="37"/>
      <c r="F157" s="37" t="s">
        <v>3507</v>
      </c>
      <c r="G157" s="37" t="s">
        <v>3508</v>
      </c>
      <c r="H157" s="37" t="s">
        <v>1453</v>
      </c>
      <c r="I157" s="37" t="s">
        <v>310</v>
      </c>
      <c r="J157" s="37" t="s">
        <v>311</v>
      </c>
      <c r="K157" s="37"/>
      <c r="L157" s="37"/>
      <c r="M157" s="37"/>
      <c r="N157" s="37"/>
      <c r="O157" s="37" t="s">
        <v>3509</v>
      </c>
      <c r="P157" s="37" t="s">
        <v>3510</v>
      </c>
      <c r="Q157" s="37" t="s">
        <v>3511</v>
      </c>
      <c r="R157" s="37" t="s">
        <v>3512</v>
      </c>
      <c r="S157" s="37" t="s">
        <v>3513</v>
      </c>
      <c r="T157" s="37" t="s">
        <v>3514</v>
      </c>
      <c r="U157" s="37" t="s">
        <v>3515</v>
      </c>
      <c r="V157" s="37" t="s">
        <v>3516</v>
      </c>
      <c r="W157" s="37" t="s">
        <v>3517</v>
      </c>
      <c r="X157" s="37"/>
      <c r="Y157" s="37"/>
      <c r="Z157" s="37"/>
      <c r="AA157" s="37" t="n">
        <v>59</v>
      </c>
      <c r="AB157" s="37" t="n">
        <v>11</v>
      </c>
      <c r="AC157" s="37" t="n">
        <v>11</v>
      </c>
      <c r="AD157" s="37" t="n">
        <v>15</v>
      </c>
      <c r="AE157" s="37" t="n">
        <v>77</v>
      </c>
      <c r="AF157" s="37" t="s">
        <v>546</v>
      </c>
      <c r="AG157" s="37" t="s">
        <v>547</v>
      </c>
      <c r="AH157" s="37" t="s">
        <v>548</v>
      </c>
      <c r="AI157" s="37"/>
      <c r="AJ157" s="37" t="s">
        <v>1465</v>
      </c>
      <c r="AK157" s="37"/>
      <c r="AL157" s="37" t="s">
        <v>1466</v>
      </c>
      <c r="AM157" s="37" t="s">
        <v>1467</v>
      </c>
      <c r="AN157" s="37" t="s">
        <v>1046</v>
      </c>
      <c r="AO157" s="37" t="n">
        <v>2023</v>
      </c>
      <c r="AP157" s="37" t="n">
        <v>15</v>
      </c>
      <c r="AQ157" s="37" t="n">
        <v>3</v>
      </c>
      <c r="AR157" s="37"/>
      <c r="AS157" s="37"/>
      <c r="AT157" s="37"/>
      <c r="AU157" s="37" t="n">
        <v>667</v>
      </c>
      <c r="AV157" s="37" t="s">
        <v>3518</v>
      </c>
      <c r="AW157" s="37" t="str">
        <f aca="false">HYPERLINK("http://dx.doi.org/10.3390/rs15030667","http://dx.doi.org/10.3390/rs15030667")</f>
        <v>http://dx.doi.org/10.3390/rs15030667</v>
      </c>
      <c r="AX157" s="37"/>
      <c r="AY157" s="37" t="n">
        <v>20</v>
      </c>
      <c r="AZ157" s="37" t="s">
        <v>1469</v>
      </c>
      <c r="BA157" s="37" t="s">
        <v>331</v>
      </c>
      <c r="BB157" s="37" t="s">
        <v>1470</v>
      </c>
      <c r="BC157" s="37" t="s">
        <v>3519</v>
      </c>
      <c r="BD157" s="37"/>
      <c r="BE157" s="37" t="s">
        <v>503</v>
      </c>
      <c r="BF157" s="37" t="s">
        <v>334</v>
      </c>
      <c r="BG157" s="37" t="s">
        <v>3520</v>
      </c>
      <c r="BH157" s="37" t="str">
        <f aca="false">HYPERLINK("https%3A%2F%2Fwww.webofscience.com%2Fwos%2Fwoscc%2Ffull-record%2FWOS:000930179000001","View Full Record in Web of Science")</f>
        <v>View Full Record in Web of Science</v>
      </c>
      <c r="BI157" s="41" t="b">
        <f aca="false">TRUE()</f>
        <v>1</v>
      </c>
      <c r="BJ157" s="39"/>
      <c r="BK157" s="39"/>
      <c r="BL157" s="39"/>
      <c r="BM157" s="39"/>
      <c r="BN157" s="39"/>
      <c r="BO157" s="39"/>
      <c r="BP157" s="39"/>
      <c r="BQ157" s="39"/>
      <c r="BR157" s="39"/>
      <c r="BS157" s="39"/>
      <c r="BT157" s="39"/>
      <c r="BU157" s="39"/>
      <c r="BV157" s="39"/>
      <c r="BW157" s="41" t="b">
        <f aca="false">TRUE()</f>
        <v>1</v>
      </c>
      <c r="BX157" s="39"/>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41" t="b">
        <f aca="false">TRUE()</f>
        <v>1</v>
      </c>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41" t="b">
        <f aca="false">TRUE()</f>
        <v>1</v>
      </c>
      <c r="EB157" s="41" t="b">
        <f aca="false">TRUE()</f>
        <v>1</v>
      </c>
      <c r="EC157" s="39"/>
      <c r="ED157" s="39"/>
      <c r="EE157" s="39"/>
      <c r="EF157" s="39"/>
      <c r="EG157" s="39"/>
      <c r="EH157" s="39"/>
      <c r="EI157" s="41" t="b">
        <f aca="false">TRUE()</f>
        <v>1</v>
      </c>
      <c r="EJ157" s="39"/>
      <c r="EK157" s="39"/>
      <c r="EL157" s="39"/>
      <c r="EM157" s="39"/>
      <c r="EN157" s="39"/>
      <c r="EO157" s="39"/>
      <c r="EP157" s="39"/>
      <c r="EQ157" s="39"/>
      <c r="ER157" s="39"/>
      <c r="ES157" s="39"/>
      <c r="ET157" s="39"/>
      <c r="EU157" s="39"/>
      <c r="EV157" s="39"/>
      <c r="EW157" s="39"/>
      <c r="EX157" s="39"/>
      <c r="EY157" s="41" t="b">
        <f aca="false">TRUE()</f>
        <v>1</v>
      </c>
      <c r="EZ157" s="39"/>
      <c r="FA157" s="39"/>
      <c r="FB157" s="39"/>
      <c r="FC157" s="39"/>
      <c r="FD157" s="39"/>
      <c r="FE157" s="39"/>
      <c r="FF157" s="39"/>
      <c r="FG157" s="39"/>
      <c r="FH157" s="39"/>
      <c r="FI157" s="39"/>
      <c r="FJ157" s="39"/>
      <c r="FK157" s="41" t="b">
        <f aca="false">TRUE()</f>
        <v>1</v>
      </c>
      <c r="FL157" s="39"/>
      <c r="FM157" s="39"/>
      <c r="FN157" s="39"/>
      <c r="FO157" s="39"/>
      <c r="FP157" s="39"/>
      <c r="FQ157" s="39"/>
      <c r="FR157" s="39"/>
      <c r="FS157" s="39"/>
      <c r="FT157" s="39"/>
      <c r="FU157" s="39"/>
      <c r="FV157" s="39"/>
      <c r="FW157" s="39"/>
      <c r="FX157" s="39"/>
      <c r="FY157" s="39"/>
      <c r="FZ157" s="39"/>
      <c r="GA157" s="39"/>
      <c r="GB157" s="39"/>
      <c r="GC157" s="39"/>
      <c r="GD157" s="39"/>
      <c r="GE157" s="39"/>
      <c r="GF157" s="39"/>
      <c r="GG157" s="39"/>
      <c r="GH157" s="39"/>
      <c r="GI157" s="39"/>
      <c r="GJ157" s="39"/>
      <c r="GK157" s="39"/>
      <c r="GL157" s="41" t="b">
        <f aca="false">TRUE()</f>
        <v>1</v>
      </c>
      <c r="GM157" s="41" t="b">
        <f aca="false">TRUE()</f>
        <v>1</v>
      </c>
      <c r="GN157" s="39"/>
      <c r="GO157" s="39"/>
      <c r="GP157" s="39"/>
      <c r="GQ157" s="39"/>
      <c r="GR157" s="39"/>
      <c r="GS157" s="39"/>
      <c r="GT157" s="39"/>
      <c r="GU157" s="39"/>
      <c r="GV157" s="39"/>
      <c r="GW157" s="39"/>
      <c r="GX157" s="39"/>
      <c r="GY157" s="39"/>
      <c r="GZ157" s="39"/>
      <c r="HA157" s="39"/>
      <c r="HB157" s="39"/>
      <c r="HC157" s="39"/>
      <c r="HD157" s="39"/>
      <c r="HE157" s="39"/>
      <c r="HF157" s="39"/>
      <c r="HG157" s="39"/>
      <c r="HH157" s="39"/>
      <c r="HI157" s="39"/>
      <c r="HJ157" s="39"/>
      <c r="HK157" s="39"/>
      <c r="HL157" s="39"/>
      <c r="HM157" s="39"/>
      <c r="HN157" s="39"/>
      <c r="HO157" s="39"/>
      <c r="HP157" s="39"/>
      <c r="HQ157" s="39"/>
      <c r="HR157" s="39"/>
      <c r="HS157" s="39"/>
      <c r="HT157" s="39"/>
      <c r="HU157" s="39"/>
      <c r="HV157" s="39"/>
      <c r="HW157" s="39"/>
      <c r="HX157" s="39"/>
      <c r="HY157" s="39"/>
      <c r="HZ157" s="39"/>
      <c r="IA157" s="39"/>
      <c r="IB157" s="39"/>
      <c r="IC157" s="39"/>
      <c r="ID157" s="41" t="b">
        <f aca="false">TRUE()</f>
        <v>1</v>
      </c>
      <c r="IE157" s="39"/>
      <c r="IF157" s="39"/>
      <c r="IG157" s="39"/>
      <c r="IH157" s="39"/>
      <c r="II157" s="39"/>
      <c r="IJ157" s="39"/>
      <c r="IK157" s="39"/>
      <c r="IL157" s="39"/>
      <c r="IM157" s="39"/>
      <c r="IN157" s="39"/>
      <c r="IO157" s="39"/>
      <c r="IP157" s="39"/>
      <c r="IQ157" s="39"/>
      <c r="IR157" s="39"/>
      <c r="IS157" s="39"/>
      <c r="IT157" s="39"/>
      <c r="IU157" s="39"/>
      <c r="IV157" s="39"/>
      <c r="IW157" s="39"/>
      <c r="IX157" s="39"/>
      <c r="IY157" s="39"/>
      <c r="IZ157" s="39"/>
      <c r="JA157" s="39"/>
      <c r="JB157" s="39"/>
      <c r="JC157" s="39"/>
      <c r="JD157" s="39"/>
      <c r="JE157" s="39"/>
      <c r="JF157" s="39"/>
      <c r="JG157" s="39"/>
      <c r="JH157" s="39"/>
      <c r="JI157" s="39"/>
      <c r="JJ157" s="39"/>
      <c r="JK157" s="39"/>
      <c r="JL157" s="39"/>
      <c r="JM157" s="39"/>
      <c r="JN157" s="39"/>
      <c r="JO157" s="39"/>
      <c r="JP157" s="39"/>
      <c r="JQ157" s="39"/>
      <c r="JR157" s="39"/>
      <c r="JS157" s="39"/>
      <c r="JT157" s="41" t="b">
        <f aca="false">TRUE()</f>
        <v>1</v>
      </c>
      <c r="JU157" s="41" t="b">
        <f aca="false">TRUE()</f>
        <v>1</v>
      </c>
      <c r="JV157" s="39"/>
      <c r="JW157" s="39"/>
      <c r="JX157" s="39"/>
      <c r="JY157" s="39"/>
      <c r="JZ157" s="39"/>
      <c r="KA157" s="39"/>
      <c r="KB157" s="39"/>
      <c r="KC157" s="39"/>
      <c r="KD157" s="39"/>
      <c r="KE157" s="39"/>
      <c r="KF157" s="39"/>
      <c r="KG157" s="39"/>
      <c r="KH157" s="39"/>
      <c r="KI157" s="39"/>
      <c r="KJ157" s="39"/>
      <c r="KK157" s="39"/>
      <c r="KL157" s="39"/>
      <c r="KM157" s="39"/>
      <c r="KN157" s="39"/>
      <c r="KO157" s="39"/>
      <c r="KP157" s="41" t="b">
        <f aca="false">TRUE()</f>
        <v>1</v>
      </c>
      <c r="KQ157" s="41" t="b">
        <f aca="false">TRUE()</f>
        <v>1</v>
      </c>
      <c r="KR157" s="39"/>
      <c r="KS157" s="39"/>
      <c r="KT157" s="41" t="b">
        <f aca="false">TRUE()</f>
        <v>1</v>
      </c>
      <c r="KU157" s="39"/>
    </row>
    <row r="158" customFormat="false" ht="14.4" hidden="false" customHeight="false" outlineLevel="0" collapsed="false">
      <c r="A158" s="37" t="s">
        <v>305</v>
      </c>
      <c r="B158" s="37" t="s">
        <v>3521</v>
      </c>
      <c r="C158" s="37"/>
      <c r="D158" s="37"/>
      <c r="E158" s="37"/>
      <c r="F158" s="37" t="s">
        <v>3522</v>
      </c>
      <c r="G158" s="37" t="s">
        <v>3523</v>
      </c>
      <c r="H158" s="37" t="s">
        <v>952</v>
      </c>
      <c r="I158" s="37" t="s">
        <v>310</v>
      </c>
      <c r="J158" s="37" t="s">
        <v>311</v>
      </c>
      <c r="K158" s="37"/>
      <c r="L158" s="37"/>
      <c r="M158" s="37"/>
      <c r="N158" s="37"/>
      <c r="O158" s="37" t="s">
        <v>3524</v>
      </c>
      <c r="P158" s="37" t="s">
        <v>3525</v>
      </c>
      <c r="Q158" s="37" t="s">
        <v>3526</v>
      </c>
      <c r="R158" s="37" t="s">
        <v>3527</v>
      </c>
      <c r="S158" s="37" t="s">
        <v>3528</v>
      </c>
      <c r="T158" s="37" t="s">
        <v>3529</v>
      </c>
      <c r="U158" s="37" t="s">
        <v>3530</v>
      </c>
      <c r="V158" s="37"/>
      <c r="W158" s="37"/>
      <c r="X158" s="37"/>
      <c r="Y158" s="37"/>
      <c r="Z158" s="37"/>
      <c r="AA158" s="37" t="n">
        <v>64</v>
      </c>
      <c r="AB158" s="37" t="n">
        <v>0</v>
      </c>
      <c r="AC158" s="37" t="n">
        <v>0</v>
      </c>
      <c r="AD158" s="37" t="n">
        <v>0</v>
      </c>
      <c r="AE158" s="37" t="n">
        <v>0</v>
      </c>
      <c r="AF158" s="37" t="s">
        <v>321</v>
      </c>
      <c r="AG158" s="37" t="s">
        <v>322</v>
      </c>
      <c r="AH158" s="37" t="s">
        <v>323</v>
      </c>
      <c r="AI158" s="37" t="s">
        <v>965</v>
      </c>
      <c r="AJ158" s="37" t="s">
        <v>966</v>
      </c>
      <c r="AK158" s="37"/>
      <c r="AL158" s="37" t="s">
        <v>967</v>
      </c>
      <c r="AM158" s="37" t="s">
        <v>968</v>
      </c>
      <c r="AN158" s="37" t="s">
        <v>700</v>
      </c>
      <c r="AO158" s="37" t="n">
        <v>2025</v>
      </c>
      <c r="AP158" s="37" t="n">
        <v>15</v>
      </c>
      <c r="AQ158" s="37" t="n">
        <v>3</v>
      </c>
      <c r="AR158" s="37"/>
      <c r="AS158" s="37"/>
      <c r="AT158" s="37"/>
      <c r="AU158" s="37" t="n">
        <v>51</v>
      </c>
      <c r="AV158" s="37" t="s">
        <v>3531</v>
      </c>
      <c r="AW158" s="37" t="str">
        <f aca="false">HYPERLINK("http://dx.doi.org/10.1007/s13201-025-02377-6","http://dx.doi.org/10.1007/s13201-025-02377-6")</f>
        <v>http://dx.doi.org/10.1007/s13201-025-02377-6</v>
      </c>
      <c r="AX158" s="37"/>
      <c r="AY158" s="37" t="n">
        <v>24</v>
      </c>
      <c r="AZ158" s="37" t="s">
        <v>727</v>
      </c>
      <c r="BA158" s="37" t="s">
        <v>331</v>
      </c>
      <c r="BB158" s="37" t="s">
        <v>727</v>
      </c>
      <c r="BC158" s="37" t="s">
        <v>3532</v>
      </c>
      <c r="BD158" s="37"/>
      <c r="BE158" s="37" t="s">
        <v>503</v>
      </c>
      <c r="BF158" s="37" t="s">
        <v>334</v>
      </c>
      <c r="BG158" s="37" t="s">
        <v>3533</v>
      </c>
      <c r="BH158" s="37" t="str">
        <f aca="false">HYPERLINK("https%3A%2F%2Fwww.webofscience.com%2Fwos%2Fwoscc%2Ffull-record%2FWOS:001424958500005","View Full Record in Web of Science")</f>
        <v>View Full Record in Web of Science</v>
      </c>
      <c r="BI158" s="41" t="b">
        <f aca="false">TRUE()</f>
        <v>1</v>
      </c>
      <c r="BJ158" s="39"/>
      <c r="BK158" s="39"/>
      <c r="BL158" s="39"/>
      <c r="BM158" s="39"/>
      <c r="BN158" s="39"/>
      <c r="BO158" s="39"/>
      <c r="BP158" s="39"/>
      <c r="BQ158" s="39"/>
      <c r="BR158" s="39"/>
      <c r="BS158" s="39"/>
      <c r="BT158" s="39"/>
      <c r="BU158" s="39"/>
      <c r="BV158" s="39"/>
      <c r="BW158" s="39"/>
      <c r="BX158" s="39"/>
      <c r="BY158" s="39"/>
      <c r="BZ158" s="39"/>
      <c r="CA158" s="39"/>
      <c r="CB158" s="39"/>
      <c r="CC158" s="39"/>
      <c r="CD158" s="39"/>
      <c r="CE158" s="39"/>
      <c r="CF158" s="39"/>
      <c r="CG158" s="39"/>
      <c r="CH158" s="39"/>
      <c r="CI158" s="39"/>
      <c r="CJ158" s="39"/>
      <c r="CK158" s="39"/>
      <c r="CL158" s="39"/>
      <c r="CM158" s="39"/>
      <c r="CN158" s="39"/>
      <c r="CO158" s="39"/>
      <c r="CP158" s="39"/>
      <c r="CQ158" s="39"/>
      <c r="CR158" s="39"/>
      <c r="CS158" s="39"/>
      <c r="CT158" s="39"/>
      <c r="CU158" s="39"/>
      <c r="CV158" s="39"/>
      <c r="CW158" s="39"/>
      <c r="CX158" s="39"/>
      <c r="CY158" s="39"/>
      <c r="CZ158" s="39"/>
      <c r="DA158" s="39"/>
      <c r="DB158" s="39"/>
      <c r="DC158" s="39"/>
      <c r="DD158" s="39"/>
      <c r="DE158" s="39"/>
      <c r="DF158" s="39"/>
      <c r="DG158" s="39"/>
      <c r="DH158" s="39"/>
      <c r="DI158" s="39"/>
      <c r="DJ158" s="39"/>
      <c r="DK158" s="39"/>
      <c r="DL158" s="39"/>
      <c r="DM158" s="39"/>
      <c r="DN158" s="39"/>
      <c r="DO158" s="39"/>
      <c r="DP158" s="39"/>
      <c r="DQ158" s="39"/>
      <c r="DR158" s="39"/>
      <c r="DS158" s="39"/>
      <c r="DT158" s="39"/>
      <c r="DU158" s="39"/>
      <c r="DV158" s="39"/>
      <c r="DW158" s="39"/>
      <c r="DX158" s="39"/>
      <c r="DY158" s="39"/>
      <c r="DZ158" s="39"/>
      <c r="EA158" s="41" t="b">
        <f aca="false">TRUE()</f>
        <v>1</v>
      </c>
      <c r="EB158" s="41" t="b">
        <f aca="false">TRUE()</f>
        <v>1</v>
      </c>
      <c r="EC158" s="39"/>
      <c r="ED158" s="39"/>
      <c r="EE158" s="39"/>
      <c r="EF158" s="39"/>
      <c r="EG158" s="39"/>
      <c r="EH158" s="39"/>
      <c r="EI158" s="41" t="b">
        <f aca="false">TRUE()</f>
        <v>1</v>
      </c>
      <c r="EJ158" s="39"/>
      <c r="EK158" s="39"/>
      <c r="EL158" s="39"/>
      <c r="EM158" s="39"/>
      <c r="EN158" s="39"/>
      <c r="EO158" s="39"/>
      <c r="EP158" s="39"/>
      <c r="EQ158" s="39"/>
      <c r="ER158" s="41" t="b">
        <f aca="false">TRUE()</f>
        <v>1</v>
      </c>
      <c r="ES158" s="39"/>
      <c r="ET158" s="39"/>
      <c r="EU158" s="41" t="b">
        <f aca="false">TRUE()</f>
        <v>1</v>
      </c>
      <c r="EV158" s="39"/>
      <c r="EW158" s="39"/>
      <c r="EX158" s="41" t="b">
        <f aca="false">TRUE()</f>
        <v>1</v>
      </c>
      <c r="EY158" s="39"/>
      <c r="EZ158" s="39"/>
      <c r="FA158" s="39"/>
      <c r="FB158" s="39"/>
      <c r="FC158" s="39"/>
      <c r="FD158" s="39"/>
      <c r="FE158" s="39"/>
      <c r="FF158" s="39"/>
      <c r="FG158" s="39"/>
      <c r="FH158" s="39"/>
      <c r="FI158" s="39"/>
      <c r="FJ158" s="39"/>
      <c r="FK158" s="39"/>
      <c r="FL158" s="39"/>
      <c r="FM158" s="39"/>
      <c r="FN158" s="39"/>
      <c r="FO158" s="39"/>
      <c r="FP158" s="39"/>
      <c r="FQ158" s="39"/>
      <c r="FR158" s="39"/>
      <c r="FS158" s="39"/>
      <c r="FT158" s="39"/>
      <c r="FU158" s="39"/>
      <c r="FV158" s="39"/>
      <c r="FW158" s="39"/>
      <c r="FX158" s="39"/>
      <c r="FY158" s="39"/>
      <c r="FZ158" s="39"/>
      <c r="GA158" s="39"/>
      <c r="GB158" s="39"/>
      <c r="GC158" s="39"/>
      <c r="GD158" s="39"/>
      <c r="GE158" s="39"/>
      <c r="GF158" s="39"/>
      <c r="GG158" s="39"/>
      <c r="GH158" s="39"/>
      <c r="GI158" s="39"/>
      <c r="GJ158" s="39"/>
      <c r="GK158" s="39"/>
      <c r="GL158" s="39"/>
      <c r="GM158" s="41" t="b">
        <f aca="false">TRUE()</f>
        <v>1</v>
      </c>
      <c r="GN158" s="39"/>
      <c r="GO158" s="39"/>
      <c r="GP158" s="39"/>
      <c r="GQ158" s="39"/>
      <c r="GR158" s="39"/>
      <c r="GS158" s="39"/>
      <c r="GT158" s="39"/>
      <c r="GU158" s="39"/>
      <c r="GV158" s="39"/>
      <c r="GW158" s="39"/>
      <c r="GX158" s="39"/>
      <c r="GY158" s="39"/>
      <c r="GZ158" s="39"/>
      <c r="HA158" s="39"/>
      <c r="HB158" s="39"/>
      <c r="HC158" s="39"/>
      <c r="HD158" s="39"/>
      <c r="HE158" s="39"/>
      <c r="HF158" s="39"/>
      <c r="HG158" s="39"/>
      <c r="HH158" s="39"/>
      <c r="HI158" s="39"/>
      <c r="HJ158" s="39"/>
      <c r="HK158" s="41" t="b">
        <f aca="false">TRUE()</f>
        <v>1</v>
      </c>
      <c r="HL158" s="39"/>
      <c r="HM158" s="39"/>
      <c r="HN158" s="39"/>
      <c r="HO158" s="39"/>
      <c r="HP158" s="39"/>
      <c r="HQ158" s="39"/>
      <c r="HR158" s="39"/>
      <c r="HS158" s="39"/>
      <c r="HT158" s="39"/>
      <c r="HU158" s="39"/>
      <c r="HV158" s="39"/>
      <c r="HW158" s="39"/>
      <c r="HX158" s="41" t="b">
        <f aca="false">TRUE()</f>
        <v>1</v>
      </c>
      <c r="HY158" s="39"/>
      <c r="HZ158" s="39"/>
      <c r="IA158" s="39"/>
      <c r="IB158" s="39"/>
      <c r="IC158" s="39"/>
      <c r="ID158" s="39"/>
      <c r="IE158" s="39"/>
      <c r="IF158" s="39"/>
      <c r="IG158" s="39"/>
      <c r="IH158" s="39"/>
      <c r="II158" s="39"/>
      <c r="IJ158" s="39"/>
      <c r="IK158" s="39"/>
      <c r="IL158" s="39"/>
      <c r="IM158" s="39"/>
      <c r="IN158" s="39"/>
      <c r="IO158" s="39"/>
      <c r="IP158" s="39"/>
      <c r="IQ158" s="39"/>
      <c r="IR158" s="39"/>
      <c r="IS158" s="39"/>
      <c r="IT158" s="39"/>
      <c r="IU158" s="39"/>
      <c r="IV158" s="39"/>
      <c r="IW158" s="39"/>
      <c r="IX158" s="39"/>
      <c r="IY158" s="39"/>
      <c r="IZ158" s="39"/>
      <c r="JA158" s="39"/>
      <c r="JB158" s="39"/>
      <c r="JC158" s="39"/>
      <c r="JD158" s="39"/>
      <c r="JE158" s="39"/>
      <c r="JF158" s="39"/>
      <c r="JG158" s="39"/>
      <c r="JH158" s="39"/>
      <c r="JI158" s="39"/>
      <c r="JJ158" s="39"/>
      <c r="JK158" s="39"/>
      <c r="JL158" s="39"/>
      <c r="JM158" s="39"/>
      <c r="JN158" s="39"/>
      <c r="JO158" s="39"/>
      <c r="JP158" s="39"/>
      <c r="JQ158" s="39"/>
      <c r="JR158" s="39"/>
      <c r="JS158" s="39"/>
      <c r="JT158" s="41" t="b">
        <f aca="false">TRUE()</f>
        <v>1</v>
      </c>
      <c r="JU158" s="39"/>
      <c r="JV158" s="39"/>
      <c r="JW158" s="39"/>
      <c r="JX158" s="41" t="b">
        <f aca="false">TRUE()</f>
        <v>1</v>
      </c>
      <c r="JY158" s="39"/>
      <c r="JZ158" s="41" t="b">
        <f aca="false">TRUE()</f>
        <v>1</v>
      </c>
      <c r="KA158" s="39"/>
      <c r="KB158" s="39"/>
      <c r="KC158" s="39"/>
      <c r="KD158" s="39"/>
      <c r="KE158" s="39"/>
      <c r="KF158" s="39"/>
      <c r="KG158" s="39"/>
      <c r="KH158" s="39"/>
      <c r="KI158" s="39"/>
      <c r="KJ158" s="39"/>
      <c r="KK158" s="39"/>
      <c r="KL158" s="39"/>
      <c r="KM158" s="39"/>
      <c r="KN158" s="39"/>
      <c r="KO158" s="39"/>
      <c r="KP158" s="39"/>
      <c r="KQ158" s="39"/>
      <c r="KR158" s="41" t="b">
        <f aca="false">TRUE()</f>
        <v>1</v>
      </c>
      <c r="KS158" s="39"/>
      <c r="KT158" s="41" t="b">
        <f aca="false">TRUE()</f>
        <v>1</v>
      </c>
      <c r="KU158" s="3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2803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2025-04-07T13:21:07Z</dcterms:created>
  <dc:creator>Lorenzo Cavallaro</dc:creator>
  <dc:description/>
  <dc:language>it-IT</dc:language>
  <cp:lastModifiedBy/>
  <dcterms:modified xsi:type="dcterms:W3CDTF">2025-06-10T11:35:38Z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